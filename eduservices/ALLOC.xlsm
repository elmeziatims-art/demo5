
<file path=[Content_Types].xml><?xml version="1.0" encoding="utf-8"?>
<Types xmlns="http://schemas.openxmlformats.org/package/2006/content-types">
  <Default Extension="bin" ContentType="application/vnd.openxmlformats-officedocument.spreadsheetml.customProperty"/>
  <Default Extension="png" ContentType="image/png"/>
  <Default Extension="rels" ContentType="application/vnd.openxmlformats-package.relationships+xml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/>
  <workbookPr defaultThemeVersion="202300"/>
  <mc:AlternateContent xmlns:mc="http://schemas.openxmlformats.org/markup-compatibility/2006">
    <mc:Choice Requires="x15">
      <x15ac:absPath xmlns:x15ac="http://schemas.microsoft.com/office/spreadsheetml/2010/11/ac" url="C:\Users\elmez\AppData\Local\Temp\"/>
    </mc:Choice>
  </mc:AlternateContent>
  <xr:revisionPtr revIDLastSave="0" documentId="8_{B928B96C-77FF-41C2-91AC-ABBF80BCB7D4}" xr6:coauthVersionLast="47" xr6:coauthVersionMax="47" xr10:uidLastSave="{00000000-0000-0000-0000-000000000000}"/>
  <bookViews>
    <workbookView xWindow="-98" yWindow="-98" windowWidth="21795" windowHeight="12975" tabRatio="1000" firstSheet="1" activeTab="1" xr2:uid="{8B79C2BB-407D-4FA4-9397-53DB8E009D54}"/>
  </bookViews>
  <sheets>
    <sheet name="_TGK_HIDDEN" sheetId="2" state="veryHidden" r:id="rId1"/>
    <sheet name="Allocation" sheetId="14" r:id="rId2"/>
    <sheet name="_CALC_ALLOC" sheetId="17" state="hidden" r:id="rId3"/>
  </sheets>
  <definedNames>
    <definedName name="ALLOC_BRAND_CAMP">Allocation!$C$8</definedName>
    <definedName name="ALLOC_CAMP_CLASS">Allocation!$C$9</definedName>
    <definedName name="ALLOC_GRP_BRAND">Allocation!$C$6</definedName>
    <definedName name="ALLOC_GRP_MARQUE">Allocation!$C$7</definedName>
  </definedNames>
  <calcPr calcId="0" fullCalcOnLoad="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2"/>
    </ext>
  </extLst>
</workbook>
</file>

<file path=xl/calcChain.xml><?xml version="1.0" encoding="utf-8"?>
<calcChain xmlns="http://schemas.openxmlformats.org/spreadsheetml/2006/main">
  <c r="A3" i="17" l="1"/>
  <c r="B3" i="17"/>
  <c r="C3" i="17"/>
  <c r="D3" i="17"/>
  <c r="E3" i="17"/>
  <c r="F3" i="17"/>
  <c r="G3" i="17"/>
  <c r="H3" i="17"/>
  <c r="I3" i="17"/>
  <c r="A4" i="17"/>
  <c r="B4" i="17"/>
  <c r="C4" i="17"/>
  <c r="D4" i="17"/>
  <c r="E4" i="17"/>
  <c r="F4" i="17"/>
  <c r="G4" i="17"/>
  <c r="H4" i="17"/>
  <c r="I4" i="17"/>
  <c r="A5" i="17"/>
  <c r="B5" i="17"/>
  <c r="C5" i="17"/>
  <c r="D5" i="17"/>
  <c r="E5" i="17"/>
  <c r="F5" i="17"/>
  <c r="G5" i="17"/>
  <c r="H5" i="17"/>
  <c r="I5" i="17"/>
  <c r="A6" i="17"/>
  <c r="B6" i="17"/>
  <c r="C6" i="17"/>
  <c r="D6" i="17"/>
  <c r="E6" i="17"/>
  <c r="F6" i="17"/>
  <c r="G6" i="17"/>
  <c r="H6" i="17"/>
  <c r="I6" i="17"/>
  <c r="A7" i="17"/>
  <c r="B7" i="17"/>
  <c r="C7" i="17"/>
  <c r="D7" i="17"/>
  <c r="E7" i="17"/>
  <c r="F7" i="17"/>
  <c r="G7" i="17"/>
  <c r="H7" i="17"/>
  <c r="I7" i="17"/>
  <c r="A8" i="17"/>
  <c r="B8" i="17"/>
  <c r="C8" i="17"/>
  <c r="D8" i="17"/>
  <c r="E8" i="17"/>
  <c r="F8" i="17"/>
  <c r="G8" i="17"/>
  <c r="H8" i="17"/>
  <c r="I8" i="17"/>
  <c r="A9" i="17"/>
  <c r="B9" i="17"/>
  <c r="C9" i="17"/>
  <c r="D9" i="17"/>
  <c r="E9" i="17"/>
  <c r="F9" i="17"/>
  <c r="G9" i="17"/>
  <c r="H9" i="17"/>
  <c r="I9" i="17"/>
  <c r="A10" i="17"/>
  <c r="B10" i="17"/>
  <c r="C10" i="17"/>
  <c r="D10" i="17"/>
  <c r="E10" i="17"/>
  <c r="F10" i="17"/>
  <c r="G10" i="17"/>
  <c r="H10" i="17"/>
  <c r="I10" i="17"/>
  <c r="A11" i="17"/>
  <c r="B11" i="17"/>
  <c r="C11" i="17"/>
  <c r="D11" i="17"/>
  <c r="E11" i="17"/>
  <c r="F11" i="17"/>
  <c r="G11" i="17"/>
  <c r="H11" i="17"/>
  <c r="I11" i="17"/>
  <c r="A12" i="17"/>
  <c r="B12" i="17"/>
  <c r="C12" i="17"/>
  <c r="D12" i="17"/>
  <c r="E12" i="17"/>
  <c r="F12" i="17"/>
  <c r="G12" i="17"/>
  <c r="H12" i="17"/>
  <c r="I12" i="17"/>
  <c r="A13" i="17"/>
  <c r="B13" i="17"/>
  <c r="C13" i="17"/>
  <c r="D13" i="17"/>
  <c r="E13" i="17"/>
  <c r="F13" i="17"/>
  <c r="G13" i="17"/>
  <c r="H13" i="17"/>
  <c r="I13" i="17"/>
  <c r="A14" i="17"/>
  <c r="B14" i="17"/>
  <c r="C14" i="17"/>
  <c r="D14" i="17"/>
  <c r="E14" i="17"/>
  <c r="F14" i="17"/>
  <c r="G14" i="17"/>
  <c r="H14" i="17"/>
  <c r="I14" i="17"/>
  <c r="A15" i="17"/>
  <c r="B15" i="17"/>
  <c r="C15" i="17"/>
  <c r="D15" i="17"/>
  <c r="E15" i="17"/>
  <c r="F15" i="17"/>
  <c r="G15" i="17"/>
  <c r="H15" i="17"/>
  <c r="I15" i="17"/>
  <c r="A16" i="17"/>
  <c r="B16" i="17"/>
  <c r="C16" i="17"/>
  <c r="D16" i="17"/>
  <c r="E16" i="17"/>
  <c r="F16" i="17"/>
  <c r="G16" i="17"/>
  <c r="H16" i="17"/>
  <c r="I16" i="17"/>
  <c r="A17" i="17"/>
  <c r="B17" i="17"/>
  <c r="C17" i="17"/>
  <c r="D17" i="17"/>
  <c r="E17" i="17"/>
  <c r="F17" i="17"/>
  <c r="G17" i="17"/>
  <c r="H17" i="17"/>
  <c r="I17" i="17"/>
  <c r="A18" i="17"/>
  <c r="B18" i="17"/>
  <c r="C18" i="17"/>
  <c r="D18" i="17"/>
  <c r="E18" i="17"/>
  <c r="F18" i="17"/>
  <c r="G18" i="17"/>
  <c r="H18" i="17"/>
  <c r="I18" i="17"/>
  <c r="A19" i="17"/>
  <c r="B19" i="17"/>
  <c r="C19" i="17"/>
  <c r="D19" i="17"/>
  <c r="E19" i="17"/>
  <c r="F19" i="17"/>
  <c r="G19" i="17"/>
  <c r="H19" i="17"/>
  <c r="I19" i="17"/>
  <c r="A20" i="17"/>
  <c r="B20" i="17"/>
  <c r="C20" i="17"/>
  <c r="D20" i="17"/>
  <c r="E20" i="17"/>
  <c r="F20" i="17"/>
  <c r="G20" i="17"/>
  <c r="H20" i="17"/>
  <c r="I20" i="17"/>
  <c r="A21" i="17"/>
  <c r="B21" i="17"/>
  <c r="C21" i="17"/>
  <c r="D21" i="17"/>
  <c r="E21" i="17"/>
  <c r="F21" i="17"/>
  <c r="G21" i="17"/>
  <c r="H21" i="17"/>
  <c r="I21" i="17"/>
  <c r="A22" i="17"/>
  <c r="B22" i="17"/>
  <c r="C22" i="17"/>
  <c r="D22" i="17"/>
  <c r="E22" i="17"/>
  <c r="F22" i="17"/>
  <c r="G22" i="17"/>
  <c r="H22" i="17"/>
  <c r="I22" i="17"/>
  <c r="A23" i="17"/>
  <c r="B23" i="17"/>
  <c r="C23" i="17"/>
  <c r="D23" i="17"/>
  <c r="E23" i="17"/>
  <c r="F23" i="17"/>
  <c r="G23" i="17"/>
  <c r="H23" i="17"/>
  <c r="I23" i="17"/>
  <c r="A24" i="17"/>
  <c r="B24" i="17"/>
  <c r="C24" i="17"/>
  <c r="D24" i="17"/>
  <c r="E24" i="17"/>
  <c r="F24" i="17"/>
  <c r="G24" i="17"/>
  <c r="H24" i="17"/>
  <c r="I24" i="17"/>
  <c r="A25" i="17"/>
  <c r="B25" i="17"/>
  <c r="C25" i="17"/>
  <c r="D25" i="17"/>
  <c r="E25" i="17"/>
  <c r="F25" i="17"/>
  <c r="G25" i="17"/>
  <c r="H25" i="17"/>
  <c r="I25" i="17"/>
  <c r="A26" i="17"/>
  <c r="B26" i="17"/>
  <c r="C26" i="17"/>
  <c r="D26" i="17"/>
  <c r="E26" i="17"/>
  <c r="F26" i="17"/>
  <c r="G26" i="17"/>
  <c r="H26" i="17"/>
  <c r="I26" i="17"/>
  <c r="A27" i="17"/>
  <c r="B27" i="17"/>
  <c r="C27" i="17"/>
  <c r="D27" i="17"/>
  <c r="E27" i="17"/>
  <c r="F27" i="17"/>
  <c r="G27" i="17"/>
  <c r="H27" i="17"/>
  <c r="I27" i="17"/>
  <c r="A28" i="17"/>
  <c r="B28" i="17"/>
  <c r="C28" i="17"/>
  <c r="D28" i="17"/>
  <c r="E28" i="17"/>
  <c r="F28" i="17"/>
  <c r="G28" i="17"/>
  <c r="H28" i="17"/>
  <c r="I28" i="17"/>
  <c r="A29" i="17"/>
  <c r="B29" i="17"/>
  <c r="C29" i="17"/>
  <c r="D29" i="17"/>
  <c r="E29" i="17"/>
  <c r="F29" i="17"/>
  <c r="G29" i="17"/>
  <c r="H29" i="17"/>
  <c r="I29" i="17"/>
  <c r="A30" i="17"/>
  <c r="B30" i="17"/>
  <c r="C30" i="17"/>
  <c r="D30" i="17"/>
  <c r="E30" i="17"/>
  <c r="F30" i="17"/>
  <c r="G30" i="17"/>
  <c r="H30" i="17"/>
  <c r="I30" i="17"/>
  <c r="A31" i="17"/>
  <c r="B31" i="17"/>
  <c r="C31" i="17"/>
  <c r="D31" i="17"/>
  <c r="E31" i="17"/>
  <c r="F31" i="17"/>
  <c r="G31" i="17"/>
  <c r="H31" i="17"/>
  <c r="I31" i="17"/>
  <c r="A32" i="17"/>
  <c r="B32" i="17"/>
  <c r="C32" i="17"/>
  <c r="D32" i="17"/>
  <c r="E32" i="17"/>
  <c r="F32" i="17"/>
  <c r="G32" i="17"/>
  <c r="H32" i="17"/>
  <c r="I32" i="17"/>
  <c r="A33" i="17"/>
  <c r="B33" i="17"/>
  <c r="C33" i="17"/>
  <c r="D33" i="17"/>
  <c r="E33" i="17"/>
  <c r="F33" i="17"/>
  <c r="G33" i="17"/>
  <c r="H33" i="17"/>
  <c r="I33" i="17"/>
  <c r="A34" i="17"/>
  <c r="B34" i="17"/>
  <c r="C34" i="17"/>
  <c r="D34" i="17"/>
  <c r="E34" i="17"/>
  <c r="F34" i="17"/>
  <c r="G34" i="17"/>
  <c r="H34" i="17"/>
  <c r="I34" i="17"/>
  <c r="A35" i="17"/>
  <c r="B35" i="17"/>
  <c r="C35" i="17"/>
  <c r="D35" i="17"/>
  <c r="E35" i="17"/>
  <c r="F35" i="17"/>
  <c r="G35" i="17"/>
  <c r="H35" i="17"/>
  <c r="I35" i="17"/>
  <c r="A36" i="17"/>
  <c r="B36" i="17"/>
  <c r="C36" i="17"/>
  <c r="D36" i="17"/>
  <c r="E36" i="17"/>
  <c r="F36" i="17"/>
  <c r="G36" i="17"/>
  <c r="H36" i="17"/>
  <c r="I36" i="17"/>
  <c r="A37" i="17"/>
  <c r="B37" i="17"/>
  <c r="C37" i="17"/>
  <c r="D37" i="17"/>
  <c r="E37" i="17"/>
  <c r="F37" i="17"/>
  <c r="G37" i="17"/>
  <c r="H37" i="17"/>
  <c r="I37" i="17"/>
  <c r="A38" i="17"/>
  <c r="B38" i="17"/>
  <c r="C38" i="17"/>
  <c r="D38" i="17"/>
  <c r="E38" i="17"/>
  <c r="F38" i="17"/>
  <c r="G38" i="17"/>
  <c r="H38" i="17"/>
  <c r="I38" i="17"/>
  <c r="A39" i="17"/>
  <c r="B39" i="17"/>
  <c r="C39" i="17"/>
  <c r="D39" i="17"/>
  <c r="E39" i="17"/>
  <c r="F39" i="17"/>
  <c r="G39" i="17"/>
  <c r="H39" i="17"/>
  <c r="I39" i="17"/>
  <c r="A40" i="17"/>
  <c r="B40" i="17"/>
  <c r="C40" i="17"/>
  <c r="D40" i="17"/>
  <c r="E40" i="17"/>
  <c r="F40" i="17"/>
  <c r="G40" i="17"/>
  <c r="H40" i="17"/>
  <c r="I40" i="17"/>
  <c r="A41" i="17"/>
  <c r="B41" i="17"/>
  <c r="C41" i="17"/>
  <c r="D41" i="17"/>
  <c r="E41" i="17"/>
  <c r="F41" i="17"/>
  <c r="G41" i="17"/>
  <c r="H41" i="17"/>
  <c r="I41" i="17"/>
  <c r="A42" i="17"/>
  <c r="B42" i="17"/>
  <c r="C42" i="17"/>
  <c r="D42" i="17"/>
  <c r="E42" i="17"/>
  <c r="F42" i="17"/>
  <c r="G42" i="17"/>
  <c r="H42" i="17"/>
  <c r="I42" i="17"/>
  <c r="A43" i="17"/>
  <c r="B43" i="17"/>
  <c r="C43" i="17"/>
  <c r="D43" i="17"/>
  <c r="E43" i="17"/>
  <c r="F43" i="17"/>
  <c r="G43" i="17"/>
  <c r="H43" i="17"/>
  <c r="I43" i="17"/>
  <c r="A44" i="17"/>
  <c r="B44" i="17"/>
  <c r="C44" i="17"/>
  <c r="D44" i="17"/>
  <c r="E44" i="17"/>
  <c r="F44" i="17"/>
  <c r="G44" i="17"/>
  <c r="H44" i="17"/>
  <c r="I44" i="17"/>
  <c r="A45" i="17"/>
  <c r="B45" i="17"/>
  <c r="C45" i="17"/>
  <c r="D45" i="17"/>
  <c r="E45" i="17"/>
  <c r="F45" i="17"/>
  <c r="G45" i="17"/>
  <c r="H45" i="17"/>
  <c r="I45" i="17"/>
  <c r="A46" i="17"/>
  <c r="B46" i="17"/>
  <c r="C46" i="17"/>
  <c r="D46" i="17"/>
  <c r="E46" i="17"/>
  <c r="F46" i="17"/>
  <c r="G46" i="17"/>
  <c r="H46" i="17"/>
  <c r="I46" i="17"/>
  <c r="A47" i="17"/>
  <c r="B47" i="17"/>
  <c r="C47" i="17"/>
  <c r="D47" i="17"/>
  <c r="E47" i="17"/>
  <c r="F47" i="17"/>
  <c r="G47" i="17"/>
  <c r="H47" i="17"/>
  <c r="I47" i="17"/>
  <c r="A48" i="17"/>
  <c r="B48" i="17"/>
  <c r="C48" i="17"/>
  <c r="D48" i="17"/>
  <c r="E48" i="17"/>
  <c r="F48" i="17"/>
  <c r="G48" i="17"/>
  <c r="H48" i="17"/>
  <c r="I48" i="17"/>
  <c r="A49" i="17"/>
  <c r="B49" i="17"/>
  <c r="C49" i="17"/>
  <c r="D49" i="17"/>
  <c r="E49" i="17"/>
  <c r="F49" i="17"/>
  <c r="G49" i="17"/>
  <c r="H49" i="17"/>
  <c r="I49" i="17"/>
  <c r="A50" i="17"/>
  <c r="B50" i="17"/>
  <c r="C50" i="17"/>
  <c r="D50" i="17"/>
  <c r="E50" i="17"/>
  <c r="F50" i="17"/>
  <c r="G50" i="17"/>
  <c r="H50" i="17"/>
  <c r="I50" i="17"/>
  <c r="A51" i="17"/>
  <c r="B51" i="17"/>
  <c r="C51" i="17"/>
  <c r="D51" i="17"/>
  <c r="E51" i="17"/>
  <c r="F51" i="17"/>
  <c r="G51" i="17"/>
  <c r="H51" i="17"/>
  <c r="I51" i="17"/>
  <c r="A52" i="17"/>
  <c r="B52" i="17"/>
  <c r="C52" i="17"/>
  <c r="D52" i="17"/>
  <c r="E52" i="17"/>
  <c r="F52" i="17"/>
  <c r="G52" i="17"/>
  <c r="H52" i="17"/>
  <c r="I52" i="17"/>
  <c r="A53" i="17"/>
  <c r="B53" i="17"/>
  <c r="C53" i="17"/>
  <c r="D53" i="17"/>
  <c r="E53" i="17"/>
  <c r="F53" i="17"/>
  <c r="G53" i="17"/>
  <c r="H53" i="17"/>
  <c r="I53" i="17"/>
  <c r="A54" i="17"/>
  <c r="B54" i="17"/>
  <c r="C54" i="17"/>
  <c r="D54" i="17"/>
  <c r="E54" i="17"/>
  <c r="F54" i="17"/>
  <c r="G54" i="17"/>
  <c r="H54" i="17"/>
  <c r="I54" i="17"/>
  <c r="A55" i="17"/>
  <c r="B55" i="17"/>
  <c r="C55" i="17"/>
  <c r="D55" i="17"/>
  <c r="E55" i="17"/>
  <c r="F55" i="17"/>
  <c r="G55" i="17"/>
  <c r="H55" i="17"/>
  <c r="I55" i="17"/>
  <c r="A56" i="17"/>
  <c r="B56" i="17"/>
  <c r="C56" i="17"/>
  <c r="D56" i="17"/>
  <c r="E56" i="17"/>
  <c r="F56" i="17"/>
  <c r="G56" i="17"/>
  <c r="H56" i="17"/>
  <c r="I56" i="17"/>
  <c r="A57" i="17"/>
  <c r="B57" i="17"/>
  <c r="C57" i="17"/>
  <c r="D57" i="17"/>
  <c r="E57" i="17"/>
  <c r="F57" i="17"/>
  <c r="G57" i="17"/>
  <c r="H57" i="17"/>
  <c r="I57" i="17"/>
  <c r="A58" i="17"/>
  <c r="B58" i="17"/>
  <c r="C58" i="17"/>
  <c r="D58" i="17"/>
  <c r="E58" i="17"/>
  <c r="F58" i="17"/>
  <c r="G58" i="17"/>
  <c r="H58" i="17"/>
  <c r="I58" i="17"/>
  <c r="A59" i="17"/>
  <c r="B59" i="17"/>
  <c r="C59" i="17"/>
  <c r="D59" i="17"/>
  <c r="E59" i="17"/>
  <c r="F59" i="17"/>
  <c r="G59" i="17"/>
  <c r="H59" i="17"/>
  <c r="I59" i="17"/>
  <c r="A60" i="17"/>
  <c r="B60" i="17"/>
  <c r="C60" i="17"/>
  <c r="D60" i="17"/>
  <c r="E60" i="17"/>
  <c r="F60" i="17"/>
  <c r="G60" i="17"/>
  <c r="H60" i="17"/>
  <c r="I60" i="17"/>
  <c r="A61" i="17"/>
  <c r="B61" i="17"/>
  <c r="C61" i="17"/>
  <c r="D61" i="17"/>
  <c r="E61" i="17"/>
  <c r="F61" i="17"/>
  <c r="G61" i="17"/>
  <c r="H61" i="17"/>
  <c r="I61" i="17"/>
  <c r="A62" i="17"/>
  <c r="B62" i="17"/>
  <c r="C62" i="17"/>
  <c r="D62" i="17"/>
  <c r="E62" i="17"/>
  <c r="F62" i="17"/>
  <c r="G62" i="17"/>
  <c r="H62" i="17"/>
  <c r="I62" i="17"/>
  <c r="A63" i="17"/>
  <c r="B63" i="17"/>
  <c r="C63" i="17"/>
  <c r="D63" i="17"/>
  <c r="E63" i="17"/>
  <c r="F63" i="17"/>
  <c r="G63" i="17"/>
  <c r="H63" i="17"/>
  <c r="I63" i="17"/>
  <c r="A64" i="17"/>
  <c r="B64" i="17"/>
  <c r="C64" i="17"/>
  <c r="D64" i="17"/>
  <c r="E64" i="17"/>
  <c r="F64" i="17"/>
  <c r="G64" i="17"/>
  <c r="H64" i="17"/>
  <c r="I64" i="17"/>
  <c r="A65" i="17"/>
  <c r="B65" i="17"/>
  <c r="C65" i="17"/>
  <c r="D65" i="17"/>
  <c r="E65" i="17"/>
  <c r="F65" i="17"/>
  <c r="G65" i="17"/>
  <c r="H65" i="17"/>
  <c r="I65" i="17"/>
  <c r="A66" i="17"/>
  <c r="B66" i="17"/>
  <c r="C66" i="17"/>
  <c r="D66" i="17"/>
  <c r="E66" i="17"/>
  <c r="F66" i="17"/>
  <c r="G66" i="17"/>
  <c r="H66" i="17"/>
  <c r="I66" i="17"/>
  <c r="A67" i="17"/>
  <c r="B67" i="17"/>
  <c r="C67" i="17"/>
  <c r="D67" i="17"/>
  <c r="E67" i="17"/>
  <c r="F67" i="17"/>
  <c r="G67" i="17"/>
  <c r="H67" i="17"/>
  <c r="I67" i="17"/>
  <c r="A68" i="17"/>
  <c r="B68" i="17"/>
  <c r="C68" i="17"/>
  <c r="D68" i="17"/>
  <c r="E68" i="17"/>
  <c r="F68" i="17"/>
  <c r="G68" i="17"/>
  <c r="H68" i="17"/>
  <c r="I68" i="17"/>
  <c r="A69" i="17"/>
  <c r="B69" i="17"/>
  <c r="C69" i="17"/>
  <c r="D69" i="17"/>
  <c r="E69" i="17"/>
  <c r="F69" i="17"/>
  <c r="G69" i="17"/>
  <c r="H69" i="17"/>
  <c r="I69" i="17"/>
  <c r="A70" i="17"/>
  <c r="B70" i="17"/>
  <c r="C70" i="17"/>
  <c r="D70" i="17"/>
  <c r="E70" i="17"/>
  <c r="F70" i="17"/>
  <c r="G70" i="17"/>
  <c r="H70" i="17"/>
  <c r="I70" i="17"/>
  <c r="A71" i="17"/>
  <c r="B71" i="17"/>
  <c r="C71" i="17"/>
  <c r="D71" i="17"/>
  <c r="E71" i="17"/>
  <c r="F71" i="17"/>
  <c r="G71" i="17"/>
  <c r="H71" i="17"/>
  <c r="I71" i="17"/>
  <c r="A72" i="17"/>
  <c r="B72" i="17"/>
  <c r="C72" i="17"/>
  <c r="D72" i="17"/>
  <c r="E72" i="17"/>
  <c r="F72" i="17"/>
  <c r="G72" i="17"/>
  <c r="H72" i="17"/>
  <c r="I72" i="17"/>
  <c r="A73" i="17"/>
  <c r="B73" i="17"/>
  <c r="C73" i="17"/>
  <c r="D73" i="17"/>
  <c r="E73" i="17"/>
  <c r="F73" i="17"/>
  <c r="G73" i="17"/>
  <c r="H73" i="17"/>
  <c r="I73" i="17"/>
  <c r="A74" i="17"/>
  <c r="B74" i="17"/>
  <c r="C74" i="17"/>
  <c r="D74" i="17"/>
  <c r="E74" i="17"/>
  <c r="F74" i="17"/>
  <c r="G74" i="17"/>
  <c r="H74" i="17"/>
  <c r="I74" i="17"/>
  <c r="A75" i="17"/>
  <c r="B75" i="17"/>
  <c r="C75" i="17"/>
  <c r="D75" i="17"/>
  <c r="E75" i="17"/>
  <c r="F75" i="17"/>
  <c r="G75" i="17"/>
  <c r="H75" i="17"/>
  <c r="I75" i="17"/>
  <c r="A76" i="17"/>
  <c r="B76" i="17"/>
  <c r="C76" i="17"/>
  <c r="D76" i="17"/>
  <c r="E76" i="17"/>
  <c r="F76" i="17"/>
  <c r="G76" i="17"/>
  <c r="H76" i="17"/>
  <c r="I76" i="17"/>
  <c r="A77" i="17"/>
  <c r="B77" i="17"/>
  <c r="C77" i="17"/>
  <c r="D77" i="17"/>
  <c r="E77" i="17"/>
  <c r="F77" i="17"/>
  <c r="G77" i="17"/>
  <c r="H77" i="17"/>
  <c r="I77" i="17"/>
  <c r="A78" i="17"/>
  <c r="B78" i="17"/>
  <c r="C78" i="17"/>
  <c r="D78" i="17"/>
  <c r="E78" i="17"/>
  <c r="F78" i="17"/>
  <c r="G78" i="17"/>
  <c r="H78" i="17"/>
  <c r="I78" i="17"/>
  <c r="A79" i="17"/>
  <c r="B79" i="17"/>
  <c r="C79" i="17"/>
  <c r="D79" i="17"/>
  <c r="E79" i="17"/>
  <c r="F79" i="17"/>
  <c r="G79" i="17"/>
  <c r="H79" i="17"/>
  <c r="I79" i="17"/>
  <c r="A80" i="17"/>
  <c r="B80" i="17"/>
  <c r="C80" i="17"/>
  <c r="D80" i="17"/>
  <c r="E80" i="17"/>
  <c r="F80" i="17"/>
  <c r="G80" i="17"/>
  <c r="H80" i="17"/>
  <c r="I80" i="17"/>
  <c r="A81" i="17"/>
  <c r="B81" i="17"/>
  <c r="C81" i="17"/>
  <c r="D81" i="17"/>
  <c r="E81" i="17"/>
  <c r="F81" i="17"/>
  <c r="G81" i="17"/>
  <c r="H81" i="17"/>
  <c r="I81" i="17"/>
  <c r="A82" i="17"/>
  <c r="B82" i="17"/>
  <c r="C82" i="17"/>
  <c r="D82" i="17"/>
  <c r="E82" i="17"/>
  <c r="F82" i="17"/>
  <c r="G82" i="17"/>
  <c r="H82" i="17"/>
  <c r="I82" i="17"/>
  <c r="A83" i="17"/>
  <c r="B83" i="17"/>
  <c r="C83" i="17"/>
  <c r="D83" i="17"/>
  <c r="E83" i="17"/>
  <c r="F83" i="17"/>
  <c r="G83" i="17"/>
  <c r="H83" i="17"/>
  <c r="I83" i="17"/>
  <c r="A84" i="17"/>
  <c r="B84" i="17"/>
  <c r="C84" i="17"/>
  <c r="D84" i="17"/>
  <c r="E84" i="17"/>
  <c r="F84" i="17"/>
  <c r="G84" i="17"/>
  <c r="H84" i="17"/>
  <c r="I84" i="17"/>
  <c r="A85" i="17"/>
  <c r="B85" i="17"/>
  <c r="C85" i="17"/>
  <c r="D85" i="17"/>
  <c r="E85" i="17"/>
  <c r="F85" i="17"/>
  <c r="G85" i="17"/>
  <c r="H85" i="17"/>
  <c r="I85" i="17"/>
  <c r="A86" i="17"/>
  <c r="B86" i="17"/>
  <c r="C86" i="17"/>
  <c r="D86" i="17"/>
  <c r="E86" i="17"/>
  <c r="F86" i="17"/>
  <c r="G86" i="17"/>
  <c r="H86" i="17"/>
  <c r="I86" i="17"/>
  <c r="A87" i="17"/>
  <c r="B87" i="17"/>
  <c r="C87" i="17"/>
  <c r="D87" i="17"/>
  <c r="E87" i="17"/>
  <c r="F87" i="17"/>
  <c r="G87" i="17"/>
  <c r="H87" i="17"/>
  <c r="I87" i="17"/>
  <c r="A88" i="17"/>
  <c r="B88" i="17"/>
  <c r="C88" i="17"/>
  <c r="D88" i="17"/>
  <c r="E88" i="17"/>
  <c r="F88" i="17"/>
  <c r="G88" i="17"/>
  <c r="H88" i="17"/>
  <c r="I88" i="17"/>
  <c r="A89" i="17"/>
  <c r="B89" i="17"/>
  <c r="C89" i="17"/>
  <c r="D89" i="17"/>
  <c r="E89" i="17"/>
  <c r="F89" i="17"/>
  <c r="G89" i="17"/>
  <c r="H89" i="17"/>
  <c r="I89" i="17"/>
  <c r="A90" i="17"/>
  <c r="B90" i="17"/>
  <c r="C90" i="17"/>
  <c r="D90" i="17"/>
  <c r="E90" i="17"/>
  <c r="F90" i="17"/>
  <c r="G90" i="17"/>
  <c r="H90" i="17"/>
  <c r="I90" i="17"/>
  <c r="A91" i="17"/>
  <c r="B91" i="17"/>
  <c r="C91" i="17"/>
  <c r="D91" i="17"/>
  <c r="E91" i="17"/>
  <c r="F91" i="17"/>
  <c r="G91" i="17"/>
  <c r="H91" i="17"/>
  <c r="I91" i="17"/>
  <c r="A92" i="17"/>
  <c r="B92" i="17"/>
  <c r="C92" i="17"/>
  <c r="D92" i="17"/>
  <c r="E92" i="17"/>
  <c r="F92" i="17"/>
  <c r="G92" i="17"/>
  <c r="H92" i="17"/>
  <c r="I92" i="17"/>
  <c r="A93" i="17"/>
  <c r="B93" i="17"/>
  <c r="C93" i="17"/>
  <c r="D93" i="17"/>
  <c r="E93" i="17"/>
  <c r="F93" i="17"/>
  <c r="G93" i="17"/>
  <c r="H93" i="17"/>
  <c r="I93" i="17"/>
  <c r="A94" i="17"/>
  <c r="B94" i="17"/>
  <c r="C94" i="17"/>
  <c r="D94" i="17"/>
  <c r="E94" i="17"/>
  <c r="F94" i="17"/>
  <c r="G94" i="17"/>
  <c r="H94" i="17"/>
  <c r="I94" i="17"/>
  <c r="A95" i="17"/>
  <c r="B95" i="17"/>
  <c r="C95" i="17"/>
  <c r="D95" i="17"/>
  <c r="E95" i="17"/>
  <c r="F95" i="17"/>
  <c r="G95" i="17"/>
  <c r="H95" i="17"/>
  <c r="I95" i="17"/>
  <c r="A96" i="17"/>
  <c r="B96" i="17"/>
  <c r="C96" i="17"/>
  <c r="D96" i="17"/>
  <c r="E96" i="17"/>
  <c r="F96" i="17"/>
  <c r="G96" i="17"/>
  <c r="H96" i="17"/>
  <c r="I96" i="17"/>
  <c r="A97" i="17"/>
  <c r="B97" i="17"/>
  <c r="C97" i="17"/>
  <c r="D97" i="17"/>
  <c r="E97" i="17"/>
  <c r="F97" i="17"/>
  <c r="G97" i="17"/>
  <c r="H97" i="17"/>
  <c r="I97" i="17"/>
  <c r="A98" i="17"/>
  <c r="B98" i="17"/>
  <c r="C98" i="17"/>
  <c r="D98" i="17"/>
  <c r="E98" i="17"/>
  <c r="F98" i="17"/>
  <c r="G98" i="17"/>
  <c r="H98" i="17"/>
  <c r="I98" i="17"/>
  <c r="A99" i="17"/>
  <c r="B99" i="17"/>
  <c r="C99" i="17"/>
  <c r="D99" i="17"/>
  <c r="E99" i="17"/>
  <c r="F99" i="17"/>
  <c r="G99" i="17"/>
  <c r="H99" i="17"/>
  <c r="I99" i="17"/>
  <c r="A100" i="17"/>
  <c r="B100" i="17"/>
  <c r="C100" i="17"/>
  <c r="D100" i="17"/>
  <c r="E100" i="17"/>
  <c r="F100" i="17"/>
  <c r="G100" i="17"/>
  <c r="H100" i="17"/>
  <c r="I100" i="17"/>
  <c r="A101" i="17"/>
  <c r="B101" i="17"/>
  <c r="C101" i="17"/>
  <c r="D101" i="17"/>
  <c r="E101" i="17"/>
  <c r="F101" i="17"/>
  <c r="G101" i="17"/>
  <c r="H101" i="17"/>
  <c r="I101" i="17"/>
  <c r="A102" i="17"/>
  <c r="B102" i="17"/>
  <c r="C102" i="17"/>
  <c r="D102" i="17"/>
  <c r="E102" i="17"/>
  <c r="F102" i="17"/>
  <c r="G102" i="17"/>
  <c r="H102" i="17"/>
  <c r="I102" i="17"/>
  <c r="A103" i="17"/>
  <c r="B103" i="17"/>
  <c r="C103" i="17"/>
  <c r="D103" i="17"/>
  <c r="E103" i="17"/>
  <c r="F103" i="17"/>
  <c r="G103" i="17"/>
  <c r="H103" i="17"/>
  <c r="I103" i="17"/>
  <c r="A104" i="17"/>
  <c r="B104" i="17"/>
  <c r="C104" i="17"/>
  <c r="D104" i="17"/>
  <c r="E104" i="17"/>
  <c r="F104" i="17"/>
  <c r="G104" i="17"/>
  <c r="H104" i="17"/>
  <c r="I104" i="17"/>
  <c r="A105" i="17"/>
  <c r="B105" i="17"/>
  <c r="C105" i="17"/>
  <c r="D105" i="17"/>
  <c r="E105" i="17"/>
  <c r="F105" i="17"/>
  <c r="G105" i="17"/>
  <c r="H105" i="17"/>
  <c r="I105" i="17"/>
  <c r="A106" i="17"/>
  <c r="B106" i="17"/>
  <c r="C106" i="17"/>
  <c r="D106" i="17"/>
  <c r="E106" i="17"/>
  <c r="F106" i="17"/>
  <c r="G106" i="17"/>
  <c r="H106" i="17"/>
  <c r="I106" i="17"/>
  <c r="A107" i="17"/>
  <c r="B107" i="17"/>
  <c r="C107" i="17"/>
  <c r="D107" i="17"/>
  <c r="E107" i="17"/>
  <c r="F107" i="17"/>
  <c r="G107" i="17"/>
  <c r="H107" i="17"/>
  <c r="I107" i="17"/>
  <c r="A108" i="17"/>
  <c r="B108" i="17"/>
  <c r="C108" i="17"/>
  <c r="D108" i="17"/>
  <c r="E108" i="17"/>
  <c r="F108" i="17"/>
  <c r="G108" i="17"/>
  <c r="H108" i="17"/>
  <c r="I108" i="17"/>
  <c r="A109" i="17"/>
  <c r="B109" i="17"/>
  <c r="C109" i="17"/>
  <c r="D109" i="17"/>
  <c r="E109" i="17"/>
  <c r="F109" i="17"/>
  <c r="G109" i="17"/>
  <c r="H109" i="17"/>
  <c r="I109" i="17"/>
  <c r="A110" i="17"/>
  <c r="B110" i="17"/>
  <c r="C110" i="17"/>
  <c r="D110" i="17"/>
  <c r="E110" i="17"/>
  <c r="F110" i="17"/>
  <c r="G110" i="17"/>
  <c r="H110" i="17"/>
  <c r="I110" i="17"/>
  <c r="A111" i="17"/>
  <c r="B111" i="17"/>
  <c r="C111" i="17"/>
  <c r="D111" i="17"/>
  <c r="E111" i="17"/>
  <c r="F111" i="17"/>
  <c r="G111" i="17"/>
  <c r="H111" i="17"/>
  <c r="I111" i="17"/>
  <c r="A112" i="17"/>
  <c r="B112" i="17"/>
  <c r="C112" i="17"/>
  <c r="D112" i="17"/>
  <c r="E112" i="17"/>
  <c r="F112" i="17"/>
  <c r="G112" i="17"/>
  <c r="H112" i="17"/>
  <c r="I112" i="17"/>
  <c r="A113" i="17"/>
  <c r="B113" i="17"/>
  <c r="C113" i="17"/>
  <c r="D113" i="17"/>
  <c r="E113" i="17"/>
  <c r="F113" i="17"/>
  <c r="G113" i="17"/>
  <c r="H113" i="17"/>
  <c r="I113" i="17"/>
  <c r="A114" i="17"/>
  <c r="B114" i="17"/>
  <c r="C114" i="17"/>
  <c r="D114" i="17"/>
  <c r="E114" i="17"/>
  <c r="F114" i="17"/>
  <c r="G114" i="17"/>
  <c r="H114" i="17"/>
  <c r="I114" i="17"/>
  <c r="A115" i="17"/>
  <c r="B115" i="17"/>
  <c r="C115" i="17"/>
  <c r="D115" i="17"/>
  <c r="E115" i="17"/>
  <c r="F115" i="17"/>
  <c r="G115" i="17"/>
  <c r="H115" i="17"/>
  <c r="I115" i="17"/>
  <c r="A116" i="17"/>
  <c r="B116" i="17"/>
  <c r="C116" i="17"/>
  <c r="D116" i="17"/>
  <c r="E116" i="17"/>
  <c r="F116" i="17"/>
  <c r="G116" i="17"/>
  <c r="H116" i="17"/>
  <c r="I116" i="17"/>
  <c r="A117" i="17"/>
  <c r="B117" i="17"/>
  <c r="C117" i="17"/>
  <c r="D117" i="17"/>
  <c r="E117" i="17"/>
  <c r="F117" i="17"/>
  <c r="G117" i="17"/>
  <c r="H117" i="17"/>
  <c r="I117" i="17"/>
  <c r="A118" i="17"/>
  <c r="B118" i="17"/>
  <c r="C118" i="17"/>
  <c r="D118" i="17"/>
  <c r="E118" i="17"/>
  <c r="F118" i="17"/>
  <c r="G118" i="17"/>
  <c r="H118" i="17"/>
  <c r="I118" i="17"/>
  <c r="A119" i="17"/>
  <c r="B119" i="17"/>
  <c r="C119" i="17"/>
  <c r="D119" i="17"/>
  <c r="E119" i="17"/>
  <c r="F119" i="17"/>
  <c r="G119" i="17"/>
  <c r="H119" i="17"/>
  <c r="I119" i="17"/>
  <c r="A120" i="17"/>
  <c r="B120" i="17"/>
  <c r="C120" i="17"/>
  <c r="D120" i="17"/>
  <c r="E120" i="17"/>
  <c r="F120" i="17"/>
  <c r="G120" i="17"/>
  <c r="H120" i="17"/>
  <c r="I120" i="17"/>
  <c r="A121" i="17"/>
  <c r="B121" i="17"/>
  <c r="C121" i="17"/>
  <c r="D121" i="17"/>
  <c r="E121" i="17"/>
  <c r="F121" i="17"/>
  <c r="G121" i="17"/>
  <c r="H121" i="17"/>
  <c r="I121" i="17"/>
  <c r="A122" i="17"/>
  <c r="B122" i="17"/>
  <c r="C122" i="17"/>
  <c r="D122" i="17"/>
  <c r="E122" i="17"/>
  <c r="F122" i="17"/>
  <c r="G122" i="17"/>
  <c r="H122" i="17"/>
  <c r="I122" i="17"/>
  <c r="A123" i="17"/>
  <c r="B123" i="17"/>
  <c r="C123" i="17"/>
  <c r="D123" i="17"/>
  <c r="E123" i="17"/>
  <c r="F123" i="17"/>
  <c r="G123" i="17"/>
  <c r="H123" i="17"/>
  <c r="I123" i="17"/>
  <c r="A124" i="17"/>
  <c r="B124" i="17"/>
  <c r="C124" i="17"/>
  <c r="D124" i="17"/>
  <c r="E124" i="17"/>
  <c r="F124" i="17"/>
  <c r="G124" i="17"/>
  <c r="H124" i="17"/>
  <c r="I124" i="17"/>
  <c r="A125" i="17"/>
  <c r="B125" i="17"/>
  <c r="C125" i="17"/>
  <c r="D125" i="17"/>
  <c r="E125" i="17"/>
  <c r="F125" i="17"/>
  <c r="G125" i="17"/>
  <c r="H125" i="17"/>
  <c r="I125" i="17"/>
  <c r="A126" i="17"/>
  <c r="B126" i="17"/>
  <c r="C126" i="17"/>
  <c r="D126" i="17"/>
  <c r="E126" i="17"/>
  <c r="F126" i="17"/>
  <c r="G126" i="17"/>
  <c r="H126" i="17"/>
  <c r="I126" i="17"/>
  <c r="A127" i="17"/>
  <c r="B127" i="17"/>
  <c r="C127" i="17"/>
  <c r="D127" i="17"/>
  <c r="E127" i="17"/>
  <c r="F127" i="17"/>
  <c r="G127" i="17"/>
  <c r="H127" i="17"/>
  <c r="I127" i="17"/>
  <c r="A128" i="17"/>
  <c r="B128" i="17"/>
  <c r="C128" i="17"/>
  <c r="D128" i="17"/>
  <c r="E128" i="17"/>
  <c r="F128" i="17"/>
  <c r="G128" i="17"/>
  <c r="H128" i="17"/>
  <c r="I128" i="17"/>
  <c r="A129" i="17"/>
  <c r="B129" i="17"/>
  <c r="C129" i="17"/>
  <c r="D129" i="17"/>
  <c r="E129" i="17"/>
  <c r="F129" i="17"/>
  <c r="G129" i="17"/>
  <c r="H129" i="17"/>
  <c r="I129" i="17"/>
  <c r="A130" i="17"/>
  <c r="B130" i="17"/>
  <c r="C130" i="17"/>
  <c r="D130" i="17"/>
  <c r="E130" i="17"/>
  <c r="F130" i="17"/>
  <c r="G130" i="17"/>
  <c r="H130" i="17"/>
  <c r="I130" i="17"/>
  <c r="A131" i="17"/>
  <c r="B131" i="17"/>
  <c r="C131" i="17"/>
  <c r="D131" i="17"/>
  <c r="E131" i="17"/>
  <c r="F131" i="17"/>
  <c r="G131" i="17"/>
  <c r="H131" i="17"/>
  <c r="I131" i="17"/>
  <c r="A132" i="17"/>
  <c r="B132" i="17"/>
  <c r="C132" i="17"/>
  <c r="D132" i="17"/>
  <c r="E132" i="17"/>
  <c r="F132" i="17"/>
  <c r="G132" i="17"/>
  <c r="H132" i="17"/>
  <c r="I132" i="17"/>
  <c r="A133" i="17"/>
  <c r="B133" i="17"/>
  <c r="C133" i="17"/>
  <c r="D133" i="17"/>
  <c r="E133" i="17"/>
  <c r="F133" i="17"/>
  <c r="G133" i="17"/>
  <c r="H133" i="17"/>
  <c r="I133" i="17"/>
  <c r="A134" i="17"/>
  <c r="B134" i="17"/>
  <c r="C134" i="17"/>
  <c r="D134" i="17"/>
  <c r="E134" i="17"/>
  <c r="F134" i="17"/>
  <c r="G134" i="17"/>
  <c r="H134" i="17"/>
  <c r="I134" i="17"/>
  <c r="A135" i="17"/>
  <c r="B135" i="17"/>
  <c r="C135" i="17"/>
  <c r="D135" i="17"/>
  <c r="E135" i="17"/>
  <c r="F135" i="17"/>
  <c r="G135" i="17"/>
  <c r="H135" i="17"/>
  <c r="I135" i="17"/>
  <c r="A136" i="17"/>
  <c r="B136" i="17"/>
  <c r="C136" i="17"/>
  <c r="D136" i="17"/>
  <c r="E136" i="17"/>
  <c r="F136" i="17"/>
  <c r="G136" i="17"/>
  <c r="H136" i="17"/>
  <c r="I136" i="17"/>
  <c r="A137" i="17"/>
  <c r="B137" i="17"/>
  <c r="C137" i="17"/>
  <c r="D137" i="17"/>
  <c r="E137" i="17"/>
  <c r="F137" i="17"/>
  <c r="G137" i="17"/>
  <c r="H137" i="17"/>
  <c r="I137" i="17"/>
  <c r="A138" i="17"/>
  <c r="B138" i="17"/>
  <c r="C138" i="17"/>
  <c r="D138" i="17"/>
  <c r="E138" i="17"/>
  <c r="F138" i="17"/>
  <c r="G138" i="17"/>
  <c r="H138" i="17"/>
  <c r="I138" i="17"/>
  <c r="A139" i="17"/>
  <c r="B139" i="17"/>
  <c r="C139" i="17"/>
  <c r="D139" i="17"/>
  <c r="E139" i="17"/>
  <c r="F139" i="17"/>
  <c r="G139" i="17"/>
  <c r="H139" i="17"/>
  <c r="I139" i="17"/>
  <c r="A140" i="17"/>
  <c r="B140" i="17"/>
  <c r="C140" i="17"/>
  <c r="D140" i="17"/>
  <c r="E140" i="17"/>
  <c r="F140" i="17"/>
  <c r="G140" i="17"/>
  <c r="H140" i="17"/>
  <c r="I140" i="17"/>
  <c r="A141" i="17"/>
  <c r="B141" i="17"/>
  <c r="C141" i="17"/>
  <c r="D141" i="17"/>
  <c r="E141" i="17"/>
  <c r="F141" i="17"/>
  <c r="G141" i="17"/>
  <c r="H141" i="17"/>
  <c r="I141" i="17"/>
  <c r="A142" i="17"/>
  <c r="B142" i="17"/>
  <c r="C142" i="17"/>
  <c r="D142" i="17"/>
  <c r="E142" i="17"/>
  <c r="F142" i="17"/>
  <c r="G142" i="17"/>
  <c r="H142" i="17"/>
  <c r="I142" i="17"/>
  <c r="A143" i="17"/>
  <c r="B143" i="17"/>
  <c r="C143" i="17"/>
  <c r="D143" i="17"/>
  <c r="E143" i="17"/>
  <c r="F143" i="17"/>
  <c r="G143" i="17"/>
  <c r="H143" i="17"/>
  <c r="I143" i="17"/>
  <c r="A144" i="17"/>
  <c r="B144" i="17"/>
  <c r="C144" i="17"/>
  <c r="D144" i="17"/>
  <c r="E144" i="17"/>
  <c r="F144" i="17"/>
  <c r="G144" i="17"/>
  <c r="H144" i="17"/>
  <c r="I144" i="17"/>
  <c r="A145" i="17"/>
  <c r="B145" i="17"/>
  <c r="C145" i="17"/>
  <c r="D145" i="17"/>
  <c r="E145" i="17"/>
  <c r="F145" i="17"/>
  <c r="G145" i="17"/>
  <c r="H145" i="17"/>
  <c r="I145" i="17"/>
  <c r="A146" i="17"/>
  <c r="B146" i="17"/>
  <c r="C146" i="17"/>
  <c r="D146" i="17"/>
  <c r="E146" i="17"/>
  <c r="F146" i="17"/>
  <c r="G146" i="17"/>
  <c r="H146" i="17"/>
  <c r="I146" i="17"/>
  <c r="A147" i="17"/>
  <c r="B147" i="17"/>
  <c r="C147" i="17"/>
  <c r="D147" i="17"/>
  <c r="E147" i="17"/>
  <c r="F147" i="17"/>
  <c r="G147" i="17"/>
  <c r="H147" i="17"/>
  <c r="I147" i="17"/>
  <c r="A148" i="17"/>
  <c r="B148" i="17"/>
  <c r="C148" i="17"/>
  <c r="D148" i="17"/>
  <c r="E148" i="17"/>
  <c r="F148" i="17"/>
  <c r="G148" i="17"/>
  <c r="H148" i="17"/>
  <c r="I148" i="17"/>
  <c r="A149" i="17"/>
  <c r="B149" i="17"/>
  <c r="C149" i="17"/>
  <c r="D149" i="17"/>
  <c r="E149" i="17"/>
  <c r="F149" i="17"/>
  <c r="G149" i="17"/>
  <c r="H149" i="17"/>
  <c r="I149" i="17"/>
  <c r="A150" i="17"/>
  <c r="B150" i="17"/>
  <c r="C150" i="17"/>
  <c r="D150" i="17"/>
  <c r="E150" i="17"/>
  <c r="F150" i="17"/>
  <c r="G150" i="17"/>
  <c r="H150" i="17"/>
  <c r="I150" i="17"/>
  <c r="A151" i="17"/>
  <c r="B151" i="17"/>
  <c r="C151" i="17"/>
  <c r="D151" i="17"/>
  <c r="E151" i="17"/>
  <c r="F151" i="17"/>
  <c r="G151" i="17"/>
  <c r="H151" i="17"/>
  <c r="I151" i="17"/>
  <c r="A152" i="17"/>
  <c r="B152" i="17"/>
  <c r="C152" i="17"/>
  <c r="D152" i="17"/>
  <c r="E152" i="17"/>
  <c r="F152" i="17"/>
  <c r="G152" i="17"/>
  <c r="H152" i="17"/>
  <c r="I152" i="17"/>
  <c r="A153" i="17"/>
  <c r="B153" i="17"/>
  <c r="C153" i="17"/>
  <c r="D153" i="17"/>
  <c r="E153" i="17"/>
  <c r="F153" i="17"/>
  <c r="G153" i="17"/>
  <c r="H153" i="17"/>
  <c r="I153" i="17"/>
  <c r="A154" i="17"/>
  <c r="B154" i="17"/>
  <c r="C154" i="17"/>
  <c r="D154" i="17"/>
  <c r="E154" i="17"/>
  <c r="F154" i="17"/>
  <c r="G154" i="17"/>
  <c r="H154" i="17"/>
  <c r="I154" i="17"/>
  <c r="A155" i="17"/>
  <c r="B155" i="17"/>
  <c r="C155" i="17"/>
  <c r="D155" i="17"/>
  <c r="E155" i="17"/>
  <c r="F155" i="17"/>
  <c r="G155" i="17"/>
  <c r="H155" i="17"/>
  <c r="I155" i="17"/>
  <c r="A156" i="17"/>
  <c r="B156" i="17"/>
  <c r="C156" i="17"/>
  <c r="D156" i="17"/>
  <c r="E156" i="17"/>
  <c r="F156" i="17"/>
  <c r="G156" i="17"/>
  <c r="H156" i="17"/>
  <c r="I156" i="17"/>
  <c r="A157" i="17"/>
  <c r="B157" i="17"/>
  <c r="C157" i="17"/>
  <c r="D157" i="17"/>
  <c r="E157" i="17"/>
  <c r="F157" i="17"/>
  <c r="G157" i="17"/>
  <c r="H157" i="17"/>
  <c r="I157" i="17"/>
  <c r="A158" i="17"/>
  <c r="B158" i="17"/>
  <c r="C158" i="17"/>
  <c r="D158" i="17"/>
  <c r="E158" i="17"/>
  <c r="F158" i="17"/>
  <c r="G158" i="17"/>
  <c r="H158" i="17"/>
  <c r="I158" i="17"/>
  <c r="A159" i="17"/>
  <c r="B159" i="17"/>
  <c r="C159" i="17"/>
  <c r="D159" i="17"/>
  <c r="E159" i="17"/>
  <c r="F159" i="17"/>
  <c r="G159" i="17"/>
  <c r="H159" i="17"/>
  <c r="I159" i="17"/>
  <c r="A160" i="17"/>
  <c r="B160" i="17"/>
  <c r="C160" i="17"/>
  <c r="D160" i="17"/>
  <c r="E160" i="17"/>
  <c r="F160" i="17"/>
  <c r="G160" i="17"/>
  <c r="H160" i="17"/>
  <c r="I160" i="17"/>
  <c r="A161" i="17"/>
  <c r="B161" i="17"/>
  <c r="C161" i="17"/>
  <c r="D161" i="17"/>
  <c r="E161" i="17"/>
  <c r="F161" i="17"/>
  <c r="G161" i="17"/>
  <c r="H161" i="17"/>
  <c r="I161" i="17"/>
  <c r="A162" i="17"/>
  <c r="B162" i="17"/>
  <c r="C162" i="17"/>
  <c r="D162" i="17"/>
  <c r="E162" i="17"/>
  <c r="F162" i="17"/>
  <c r="G162" i="17"/>
  <c r="H162" i="17"/>
  <c r="I162" i="17"/>
  <c r="A163" i="17"/>
  <c r="B163" i="17"/>
  <c r="C163" i="17"/>
  <c r="D163" i="17"/>
  <c r="E163" i="17"/>
  <c r="F163" i="17"/>
  <c r="G163" i="17"/>
  <c r="H163" i="17"/>
  <c r="I163" i="17"/>
  <c r="A164" i="17"/>
  <c r="B164" i="17"/>
  <c r="C164" i="17"/>
  <c r="D164" i="17"/>
  <c r="E164" i="17"/>
  <c r="F164" i="17"/>
  <c r="G164" i="17"/>
  <c r="H164" i="17"/>
  <c r="I164" i="17"/>
  <c r="A165" i="17"/>
  <c r="B165" i="17"/>
  <c r="C165" i="17"/>
  <c r="D165" i="17"/>
  <c r="E165" i="17"/>
  <c r="F165" i="17"/>
  <c r="G165" i="17"/>
  <c r="H165" i="17"/>
  <c r="I165" i="17"/>
  <c r="A166" i="17"/>
  <c r="B166" i="17"/>
  <c r="C166" i="17"/>
  <c r="D166" i="17"/>
  <c r="E166" i="17"/>
  <c r="F166" i="17"/>
  <c r="G166" i="17"/>
  <c r="H166" i="17"/>
  <c r="I166" i="17"/>
  <c r="A167" i="17"/>
  <c r="B167" i="17"/>
  <c r="C167" i="17"/>
  <c r="D167" i="17"/>
  <c r="E167" i="17"/>
  <c r="F167" i="17"/>
  <c r="G167" i="17"/>
  <c r="H167" i="17"/>
  <c r="I167" i="17"/>
  <c r="A168" i="17"/>
  <c r="B168" i="17"/>
  <c r="C168" i="17"/>
  <c r="D168" i="17"/>
  <c r="E168" i="17"/>
  <c r="F168" i="17"/>
  <c r="G168" i="17"/>
  <c r="H168" i="17"/>
  <c r="I168" i="17"/>
  <c r="A169" i="17"/>
  <c r="B169" i="17"/>
  <c r="C169" i="17"/>
  <c r="D169" i="17"/>
  <c r="E169" i="17"/>
  <c r="F169" i="17"/>
  <c r="G169" i="17"/>
  <c r="H169" i="17"/>
  <c r="I169" i="17"/>
  <c r="A170" i="17"/>
  <c r="B170" i="17"/>
  <c r="C170" i="17"/>
  <c r="D170" i="17"/>
  <c r="E170" i="17"/>
  <c r="F170" i="17"/>
  <c r="G170" i="17"/>
  <c r="H170" i="17"/>
  <c r="I170" i="17"/>
  <c r="A171" i="17"/>
  <c r="B171" i="17"/>
  <c r="C171" i="17"/>
  <c r="D171" i="17"/>
  <c r="E171" i="17"/>
  <c r="F171" i="17"/>
  <c r="G171" i="17"/>
  <c r="H171" i="17"/>
  <c r="I171" i="17"/>
  <c r="A172" i="17"/>
  <c r="B172" i="17"/>
  <c r="C172" i="17"/>
  <c r="D172" i="17"/>
  <c r="E172" i="17"/>
  <c r="F172" i="17"/>
  <c r="G172" i="17"/>
  <c r="H172" i="17"/>
  <c r="I172" i="17"/>
  <c r="A173" i="17"/>
  <c r="B173" i="17"/>
  <c r="C173" i="17"/>
  <c r="D173" i="17"/>
  <c r="E173" i="17"/>
  <c r="F173" i="17"/>
  <c r="G173" i="17"/>
  <c r="H173" i="17"/>
  <c r="I173" i="17"/>
  <c r="A174" i="17"/>
  <c r="B174" i="17"/>
  <c r="C174" i="17"/>
  <c r="D174" i="17"/>
  <c r="E174" i="17"/>
  <c r="F174" i="17"/>
  <c r="G174" i="17"/>
  <c r="H174" i="17"/>
  <c r="I174" i="17"/>
  <c r="A175" i="17"/>
  <c r="B175" i="17"/>
  <c r="C175" i="17"/>
  <c r="D175" i="17"/>
  <c r="E175" i="17"/>
  <c r="F175" i="17"/>
  <c r="G175" i="17"/>
  <c r="H175" i="17"/>
  <c r="I175" i="17"/>
  <c r="A176" i="17"/>
  <c r="B176" i="17"/>
  <c r="C176" i="17"/>
  <c r="D176" i="17"/>
  <c r="E176" i="17"/>
  <c r="F176" i="17"/>
  <c r="G176" i="17"/>
  <c r="H176" i="17"/>
  <c r="I176" i="17"/>
  <c r="A177" i="17"/>
  <c r="B177" i="17"/>
  <c r="C177" i="17"/>
  <c r="D177" i="17"/>
  <c r="E177" i="17"/>
  <c r="F177" i="17"/>
  <c r="G177" i="17"/>
  <c r="H177" i="17"/>
  <c r="I177" i="17"/>
  <c r="A178" i="17"/>
  <c r="B178" i="17"/>
  <c r="C178" i="17"/>
  <c r="D178" i="17"/>
  <c r="E178" i="17"/>
  <c r="F178" i="17"/>
  <c r="G178" i="17"/>
  <c r="H178" i="17"/>
  <c r="I178" i="17"/>
  <c r="A179" i="17"/>
  <c r="B179" i="17"/>
  <c r="C179" i="17"/>
  <c r="D179" i="17"/>
  <c r="E179" i="17"/>
  <c r="F179" i="17"/>
  <c r="G179" i="17"/>
  <c r="H179" i="17"/>
  <c r="I179" i="17"/>
  <c r="A180" i="17"/>
  <c r="B180" i="17"/>
  <c r="C180" i="17"/>
  <c r="D180" i="17"/>
  <c r="E180" i="17"/>
  <c r="F180" i="17"/>
  <c r="G180" i="17"/>
  <c r="H180" i="17"/>
  <c r="I180" i="17"/>
  <c r="A181" i="17"/>
  <c r="B181" i="17"/>
  <c r="C181" i="17"/>
  <c r="D181" i="17"/>
  <c r="E181" i="17"/>
  <c r="F181" i="17"/>
  <c r="G181" i="17"/>
  <c r="H181" i="17"/>
  <c r="I181" i="17"/>
  <c r="A182" i="17"/>
  <c r="B182" i="17"/>
  <c r="C182" i="17"/>
  <c r="D182" i="17"/>
  <c r="E182" i="17"/>
  <c r="F182" i="17"/>
  <c r="G182" i="17"/>
  <c r="H182" i="17"/>
  <c r="I182" i="17"/>
  <c r="A183" i="17"/>
  <c r="B183" i="17"/>
  <c r="C183" i="17"/>
  <c r="D183" i="17"/>
  <c r="E183" i="17"/>
  <c r="F183" i="17"/>
  <c r="G183" i="17"/>
  <c r="H183" i="17"/>
  <c r="I183" i="17"/>
  <c r="A184" i="17"/>
  <c r="B184" i="17"/>
  <c r="C184" i="17"/>
  <c r="D184" i="17"/>
  <c r="E184" i="17"/>
  <c r="F184" i="17"/>
  <c r="G184" i="17"/>
  <c r="H184" i="17"/>
  <c r="I184" i="17"/>
  <c r="A185" i="17"/>
  <c r="B185" i="17"/>
  <c r="C185" i="17"/>
  <c r="D185" i="17"/>
  <c r="E185" i="17"/>
  <c r="F185" i="17"/>
  <c r="G185" i="17"/>
  <c r="H185" i="17"/>
  <c r="I185" i="17"/>
  <c r="A186" i="17"/>
  <c r="B186" i="17"/>
  <c r="C186" i="17"/>
  <c r="D186" i="17"/>
  <c r="E186" i="17"/>
  <c r="F186" i="17"/>
  <c r="G186" i="17"/>
  <c r="H186" i="17"/>
  <c r="I186" i="17"/>
  <c r="A187" i="17"/>
  <c r="B187" i="17"/>
  <c r="C187" i="17"/>
  <c r="D187" i="17"/>
  <c r="E187" i="17"/>
  <c r="F187" i="17"/>
  <c r="G187" i="17"/>
  <c r="H187" i="17"/>
  <c r="I187" i="17"/>
  <c r="A188" i="17"/>
  <c r="B188" i="17"/>
  <c r="C188" i="17"/>
  <c r="D188" i="17"/>
  <c r="E188" i="17"/>
  <c r="F188" i="17"/>
  <c r="G188" i="17"/>
  <c r="H188" i="17"/>
  <c r="I188" i="17"/>
  <c r="A189" i="17"/>
  <c r="B189" i="17"/>
  <c r="C189" i="17"/>
  <c r="D189" i="17"/>
  <c r="E189" i="17"/>
  <c r="F189" i="17"/>
  <c r="G189" i="17"/>
  <c r="H189" i="17"/>
  <c r="I189" i="17"/>
  <c r="A190" i="17"/>
  <c r="B190" i="17"/>
  <c r="C190" i="17"/>
  <c r="D190" i="17"/>
  <c r="E190" i="17"/>
  <c r="F190" i="17"/>
  <c r="G190" i="17"/>
  <c r="H190" i="17"/>
  <c r="I190" i="17"/>
  <c r="A191" i="17"/>
  <c r="B191" i="17"/>
  <c r="C191" i="17"/>
  <c r="D191" i="17"/>
  <c r="E191" i="17"/>
  <c r="F191" i="17"/>
  <c r="G191" i="17"/>
  <c r="H191" i="17"/>
  <c r="I191" i="17"/>
  <c r="A192" i="17"/>
  <c r="B192" i="17"/>
  <c r="C192" i="17"/>
  <c r="D192" i="17"/>
  <c r="E192" i="17"/>
  <c r="F192" i="17"/>
  <c r="G192" i="17"/>
  <c r="H192" i="17"/>
  <c r="I192" i="17"/>
  <c r="A193" i="17"/>
  <c r="B193" i="17"/>
  <c r="C193" i="17"/>
  <c r="D193" i="17"/>
  <c r="E193" i="17"/>
  <c r="F193" i="17"/>
  <c r="G193" i="17"/>
  <c r="H193" i="17"/>
  <c r="I193" i="17"/>
  <c r="A194" i="17"/>
  <c r="B194" i="17"/>
  <c r="C194" i="17"/>
  <c r="D194" i="17"/>
  <c r="E194" i="17"/>
  <c r="F194" i="17"/>
  <c r="G194" i="17"/>
  <c r="H194" i="17"/>
  <c r="I194" i="17"/>
  <c r="A195" i="17"/>
  <c r="B195" i="17"/>
  <c r="C195" i="17"/>
  <c r="D195" i="17"/>
  <c r="E195" i="17"/>
  <c r="F195" i="17"/>
  <c r="G195" i="17"/>
  <c r="H195" i="17"/>
  <c r="I195" i="17"/>
  <c r="A196" i="17"/>
  <c r="B196" i="17"/>
  <c r="C196" i="17"/>
  <c r="D196" i="17"/>
  <c r="E196" i="17"/>
  <c r="F196" i="17"/>
  <c r="G196" i="17"/>
  <c r="H196" i="17"/>
  <c r="I196" i="17"/>
  <c r="A197" i="17"/>
  <c r="B197" i="17"/>
  <c r="C197" i="17"/>
  <c r="D197" i="17"/>
  <c r="E197" i="17"/>
  <c r="F197" i="17"/>
  <c r="G197" i="17"/>
  <c r="H197" i="17"/>
  <c r="I197" i="17"/>
  <c r="A198" i="17"/>
  <c r="B198" i="17"/>
  <c r="C198" i="17"/>
  <c r="D198" i="17"/>
  <c r="E198" i="17"/>
  <c r="F198" i="17"/>
  <c r="G198" i="17"/>
  <c r="H198" i="17"/>
  <c r="I198" i="17"/>
  <c r="A199" i="17"/>
  <c r="B199" i="17"/>
  <c r="C199" i="17"/>
  <c r="D199" i="17"/>
  <c r="E199" i="17"/>
  <c r="F199" i="17"/>
  <c r="G199" i="17"/>
  <c r="H199" i="17"/>
  <c r="I199" i="17"/>
  <c r="A200" i="17"/>
  <c r="B200" i="17"/>
  <c r="C200" i="17"/>
  <c r="D200" i="17"/>
  <c r="E200" i="17"/>
  <c r="F200" i="17"/>
  <c r="G200" i="17"/>
  <c r="H200" i="17"/>
  <c r="I200" i="17"/>
  <c r="A201" i="17"/>
  <c r="B201" i="17"/>
  <c r="C201" i="17"/>
  <c r="D201" i="17"/>
  <c r="E201" i="17"/>
  <c r="F201" i="17"/>
  <c r="G201" i="17"/>
  <c r="H201" i="17"/>
  <c r="I201" i="17"/>
  <c r="A202" i="17"/>
  <c r="B202" i="17"/>
  <c r="C202" i="17"/>
  <c r="D202" i="17"/>
  <c r="E202" i="17"/>
  <c r="F202" i="17"/>
  <c r="G202" i="17"/>
  <c r="H202" i="17"/>
  <c r="I202" i="17"/>
  <c r="A203" i="17"/>
  <c r="B203" i="17"/>
  <c r="C203" i="17"/>
  <c r="D203" i="17"/>
  <c r="E203" i="17"/>
  <c r="F203" i="17"/>
  <c r="G203" i="17"/>
  <c r="H203" i="17"/>
  <c r="I203" i="17"/>
  <c r="A204" i="17"/>
  <c r="B204" i="17"/>
  <c r="C204" i="17"/>
  <c r="D204" i="17"/>
  <c r="E204" i="17"/>
  <c r="F204" i="17"/>
  <c r="G204" i="17"/>
  <c r="H204" i="17"/>
  <c r="I204" i="17"/>
  <c r="A205" i="17"/>
  <c r="B205" i="17"/>
  <c r="C205" i="17"/>
  <c r="D205" i="17"/>
  <c r="E205" i="17"/>
  <c r="F205" i="17"/>
  <c r="G205" i="17"/>
  <c r="H205" i="17"/>
  <c r="I205" i="17"/>
  <c r="A206" i="17"/>
  <c r="B206" i="17"/>
  <c r="C206" i="17"/>
  <c r="D206" i="17"/>
  <c r="E206" i="17"/>
  <c r="F206" i="17"/>
  <c r="G206" i="17"/>
  <c r="H206" i="17"/>
  <c r="I206" i="17"/>
  <c r="A207" i="17"/>
  <c r="B207" i="17"/>
  <c r="C207" i="17"/>
  <c r="D207" i="17"/>
  <c r="E207" i="17"/>
  <c r="F207" i="17"/>
  <c r="G207" i="17"/>
  <c r="H207" i="17"/>
  <c r="I207" i="17"/>
  <c r="A208" i="17"/>
  <c r="B208" i="17"/>
  <c r="C208" i="17"/>
  <c r="D208" i="17"/>
  <c r="E208" i="17"/>
  <c r="F208" i="17"/>
  <c r="G208" i="17"/>
  <c r="H208" i="17"/>
  <c r="I208" i="17"/>
  <c r="A209" i="17"/>
  <c r="B209" i="17"/>
  <c r="C209" i="17"/>
  <c r="D209" i="17"/>
  <c r="E209" i="17"/>
  <c r="F209" i="17"/>
  <c r="G209" i="17"/>
  <c r="H209" i="17"/>
  <c r="I209" i="17"/>
  <c r="A210" i="17"/>
  <c r="B210" i="17"/>
  <c r="C210" i="17"/>
  <c r="D210" i="17"/>
  <c r="E210" i="17"/>
  <c r="F210" i="17"/>
  <c r="G210" i="17"/>
  <c r="H210" i="17"/>
  <c r="I210" i="17"/>
  <c r="A211" i="17"/>
  <c r="B211" i="17"/>
  <c r="C211" i="17"/>
  <c r="D211" i="17"/>
  <c r="E211" i="17"/>
  <c r="F211" i="17"/>
  <c r="G211" i="17"/>
  <c r="H211" i="17"/>
  <c r="I211" i="17"/>
  <c r="A212" i="17"/>
  <c r="B212" i="17"/>
  <c r="C212" i="17"/>
  <c r="D212" i="17"/>
  <c r="E212" i="17"/>
  <c r="F212" i="17"/>
  <c r="G212" i="17"/>
  <c r="H212" i="17"/>
  <c r="I212" i="17"/>
  <c r="A213" i="17"/>
  <c r="B213" i="17"/>
  <c r="C213" i="17"/>
  <c r="D213" i="17"/>
  <c r="E213" i="17"/>
  <c r="F213" i="17"/>
  <c r="G213" i="17"/>
  <c r="H213" i="17"/>
  <c r="I213" i="17"/>
  <c r="A214" i="17"/>
  <c r="B214" i="17"/>
  <c r="C214" i="17"/>
  <c r="D214" i="17"/>
  <c r="E214" i="17"/>
  <c r="F214" i="17"/>
  <c r="G214" i="17"/>
  <c r="H214" i="17"/>
  <c r="I214" i="17"/>
  <c r="A215" i="17"/>
  <c r="B215" i="17"/>
  <c r="C215" i="17"/>
  <c r="D215" i="17"/>
  <c r="E215" i="17"/>
  <c r="F215" i="17"/>
  <c r="G215" i="17"/>
  <c r="H215" i="17"/>
  <c r="I215" i="17"/>
  <c r="A216" i="17"/>
  <c r="B216" i="17"/>
  <c r="C216" i="17"/>
  <c r="D216" i="17"/>
  <c r="E216" i="17"/>
  <c r="F216" i="17"/>
  <c r="G216" i="17"/>
  <c r="H216" i="17"/>
  <c r="I216" i="17"/>
  <c r="A217" i="17"/>
  <c r="B217" i="17"/>
  <c r="C217" i="17"/>
  <c r="D217" i="17"/>
  <c r="E217" i="17"/>
  <c r="F217" i="17"/>
  <c r="G217" i="17"/>
  <c r="H217" i="17"/>
  <c r="I217" i="17"/>
  <c r="A218" i="17"/>
  <c r="B218" i="17"/>
  <c r="C218" i="17"/>
  <c r="D218" i="17"/>
  <c r="E218" i="17"/>
  <c r="F218" i="17"/>
  <c r="G218" i="17"/>
  <c r="H218" i="17"/>
  <c r="I218" i="17"/>
  <c r="A219" i="17"/>
  <c r="B219" i="17"/>
  <c r="C219" i="17"/>
  <c r="D219" i="17"/>
  <c r="E219" i="17"/>
  <c r="F219" i="17"/>
  <c r="G219" i="17"/>
  <c r="H219" i="17"/>
  <c r="I219" i="17"/>
  <c r="A220" i="17"/>
  <c r="B220" i="17"/>
  <c r="C220" i="17"/>
  <c r="D220" i="17"/>
  <c r="E220" i="17"/>
  <c r="F220" i="17"/>
  <c r="G220" i="17"/>
  <c r="H220" i="17"/>
  <c r="I220" i="17"/>
  <c r="A221" i="17"/>
  <c r="B221" i="17"/>
  <c r="C221" i="17"/>
  <c r="D221" i="17"/>
  <c r="E221" i="17"/>
  <c r="F221" i="17"/>
  <c r="G221" i="17"/>
  <c r="H221" i="17"/>
  <c r="I221" i="17"/>
  <c r="A222" i="17"/>
  <c r="B222" i="17"/>
  <c r="C222" i="17"/>
  <c r="D222" i="17"/>
  <c r="E222" i="17"/>
  <c r="F222" i="17"/>
  <c r="G222" i="17"/>
  <c r="H222" i="17"/>
  <c r="I222" i="17"/>
  <c r="A223" i="17"/>
  <c r="B223" i="17"/>
  <c r="C223" i="17"/>
  <c r="D223" i="17"/>
  <c r="E223" i="17"/>
  <c r="F223" i="17"/>
  <c r="G223" i="17"/>
  <c r="H223" i="17"/>
  <c r="I223" i="17"/>
  <c r="A224" i="17"/>
  <c r="B224" i="17"/>
  <c r="C224" i="17"/>
  <c r="D224" i="17"/>
  <c r="E224" i="17"/>
  <c r="F224" i="17"/>
  <c r="G224" i="17"/>
  <c r="H224" i="17"/>
  <c r="I224" i="17"/>
  <c r="A225" i="17"/>
  <c r="B225" i="17"/>
  <c r="C225" i="17"/>
  <c r="D225" i="17"/>
  <c r="E225" i="17"/>
  <c r="F225" i="17"/>
  <c r="G225" i="17"/>
  <c r="H225" i="17"/>
  <c r="I225" i="17"/>
  <c r="A226" i="17"/>
  <c r="B226" i="17"/>
  <c r="C226" i="17"/>
  <c r="D226" i="17"/>
  <c r="E226" i="17"/>
  <c r="F226" i="17"/>
  <c r="G226" i="17"/>
  <c r="H226" i="17"/>
  <c r="I226" i="17"/>
  <c r="A227" i="17"/>
  <c r="B227" i="17"/>
  <c r="C227" i="17"/>
  <c r="D227" i="17"/>
  <c r="E227" i="17"/>
  <c r="F227" i="17"/>
  <c r="G227" i="17"/>
  <c r="H227" i="17"/>
  <c r="I227" i="17"/>
  <c r="A228" i="17"/>
  <c r="B228" i="17"/>
  <c r="C228" i="17"/>
  <c r="D228" i="17"/>
  <c r="E228" i="17"/>
  <c r="F228" i="17"/>
  <c r="G228" i="17"/>
  <c r="H228" i="17"/>
  <c r="I228" i="17"/>
  <c r="A229" i="17"/>
  <c r="B229" i="17"/>
  <c r="C229" i="17"/>
  <c r="D229" i="17"/>
  <c r="E229" i="17"/>
  <c r="F229" i="17"/>
  <c r="G229" i="17"/>
  <c r="H229" i="17"/>
  <c r="I229" i="17"/>
  <c r="A230" i="17"/>
  <c r="B230" i="17"/>
  <c r="C230" i="17"/>
  <c r="D230" i="17"/>
  <c r="E230" i="17"/>
  <c r="F230" i="17"/>
  <c r="G230" i="17"/>
  <c r="H230" i="17"/>
  <c r="I230" i="17"/>
  <c r="A231" i="17"/>
  <c r="B231" i="17"/>
  <c r="C231" i="17"/>
  <c r="D231" i="17"/>
  <c r="E231" i="17"/>
  <c r="F231" i="17"/>
  <c r="G231" i="17"/>
  <c r="H231" i="17"/>
  <c r="I231" i="17"/>
  <c r="A232" i="17"/>
  <c r="B232" i="17"/>
  <c r="C232" i="17"/>
  <c r="D232" i="17"/>
  <c r="E232" i="17"/>
  <c r="F232" i="17"/>
  <c r="G232" i="17"/>
  <c r="H232" i="17"/>
  <c r="I232" i="17"/>
  <c r="A233" i="17"/>
  <c r="B233" i="17"/>
  <c r="C233" i="17"/>
  <c r="D233" i="17"/>
  <c r="E233" i="17"/>
  <c r="F233" i="17"/>
  <c r="G233" i="17"/>
  <c r="H233" i="17"/>
  <c r="I233" i="17"/>
  <c r="A234" i="17"/>
  <c r="B234" i="17"/>
  <c r="C234" i="17"/>
  <c r="D234" i="17"/>
  <c r="E234" i="17"/>
  <c r="F234" i="17"/>
  <c r="G234" i="17"/>
  <c r="H234" i="17"/>
  <c r="I234" i="17"/>
  <c r="A235" i="17"/>
  <c r="B235" i="17"/>
  <c r="C235" i="17"/>
  <c r="D235" i="17"/>
  <c r="E235" i="17"/>
  <c r="F235" i="17"/>
  <c r="G235" i="17"/>
  <c r="H235" i="17"/>
  <c r="I235" i="17"/>
  <c r="A236" i="17"/>
  <c r="B236" i="17"/>
  <c r="C236" i="17"/>
  <c r="D236" i="17"/>
  <c r="E236" i="17"/>
  <c r="F236" i="17"/>
  <c r="G236" i="17"/>
  <c r="H236" i="17"/>
  <c r="I236" i="17"/>
  <c r="A237" i="17"/>
  <c r="B237" i="17"/>
  <c r="C237" i="17"/>
  <c r="D237" i="17"/>
  <c r="E237" i="17"/>
  <c r="F237" i="17"/>
  <c r="G237" i="17"/>
  <c r="H237" i="17"/>
  <c r="I237" i="17"/>
  <c r="A238" i="17"/>
  <c r="B238" i="17"/>
  <c r="C238" i="17"/>
  <c r="D238" i="17"/>
  <c r="E238" i="17"/>
  <c r="F238" i="17"/>
  <c r="G238" i="17"/>
  <c r="H238" i="17"/>
  <c r="I238" i="17"/>
  <c r="A239" i="17"/>
  <c r="B239" i="17"/>
  <c r="C239" i="17"/>
  <c r="D239" i="17"/>
  <c r="E239" i="17"/>
  <c r="F239" i="17"/>
  <c r="G239" i="17"/>
  <c r="H239" i="17"/>
  <c r="I239" i="17"/>
  <c r="A240" i="17"/>
  <c r="B240" i="17"/>
  <c r="C240" i="17"/>
  <c r="D240" i="17"/>
  <c r="E240" i="17"/>
  <c r="F240" i="17"/>
  <c r="G240" i="17"/>
  <c r="H240" i="17"/>
  <c r="I240" i="17"/>
  <c r="A241" i="17"/>
  <c r="B241" i="17"/>
  <c r="C241" i="17"/>
  <c r="D241" i="17"/>
  <c r="E241" i="17"/>
  <c r="F241" i="17"/>
  <c r="G241" i="17"/>
  <c r="H241" i="17"/>
  <c r="I241" i="17"/>
  <c r="A242" i="17"/>
  <c r="B242" i="17"/>
  <c r="C242" i="17"/>
  <c r="D242" i="17"/>
  <c r="E242" i="17"/>
  <c r="F242" i="17"/>
  <c r="G242" i="17"/>
  <c r="H242" i="17"/>
  <c r="I242" i="17"/>
  <c r="A243" i="17"/>
  <c r="B243" i="17"/>
  <c r="C243" i="17"/>
  <c r="D243" i="17"/>
  <c r="E243" i="17"/>
  <c r="F243" i="17"/>
  <c r="G243" i="17"/>
  <c r="H243" i="17"/>
  <c r="I243" i="17"/>
  <c r="A244" i="17"/>
  <c r="B244" i="17"/>
  <c r="C244" i="17"/>
  <c r="D244" i="17"/>
  <c r="E244" i="17"/>
  <c r="F244" i="17"/>
  <c r="G244" i="17"/>
  <c r="H244" i="17"/>
  <c r="I244" i="17"/>
  <c r="A245" i="17"/>
  <c r="B245" i="17"/>
  <c r="C245" i="17"/>
  <c r="D245" i="17"/>
  <c r="E245" i="17"/>
  <c r="F245" i="17"/>
  <c r="G245" i="17"/>
  <c r="H245" i="17"/>
  <c r="I245" i="17"/>
  <c r="A246" i="17"/>
  <c r="B246" i="17"/>
  <c r="C246" i="17"/>
  <c r="D246" i="17"/>
  <c r="E246" i="17"/>
  <c r="F246" i="17"/>
  <c r="G246" i="17"/>
  <c r="H246" i="17"/>
  <c r="I246" i="17"/>
  <c r="A247" i="17"/>
  <c r="B247" i="17"/>
  <c r="C247" i="17"/>
  <c r="D247" i="17"/>
  <c r="E247" i="17"/>
  <c r="F247" i="17"/>
  <c r="G247" i="17"/>
  <c r="H247" i="17"/>
  <c r="I247" i="17"/>
  <c r="A248" i="17"/>
  <c r="B248" i="17"/>
  <c r="C248" i="17"/>
  <c r="D248" i="17"/>
  <c r="E248" i="17"/>
  <c r="F248" i="17"/>
  <c r="G248" i="17"/>
  <c r="H248" i="17"/>
  <c r="I248" i="17"/>
  <c r="A249" i="17"/>
  <c r="B249" i="17"/>
  <c r="C249" i="17"/>
  <c r="D249" i="17"/>
  <c r="E249" i="17"/>
  <c r="F249" i="17"/>
  <c r="G249" i="17"/>
  <c r="H249" i="17"/>
  <c r="I249" i="17"/>
  <c r="A250" i="17"/>
  <c r="B250" i="17"/>
  <c r="C250" i="17"/>
  <c r="D250" i="17"/>
  <c r="E250" i="17"/>
  <c r="F250" i="17"/>
  <c r="G250" i="17"/>
  <c r="H250" i="17"/>
  <c r="I250" i="17"/>
  <c r="A251" i="17"/>
  <c r="B251" i="17"/>
  <c r="C251" i="17"/>
  <c r="D251" i="17"/>
  <c r="E251" i="17"/>
  <c r="F251" i="17"/>
  <c r="G251" i="17"/>
  <c r="H251" i="17"/>
  <c r="I251" i="17"/>
  <c r="A252" i="17"/>
  <c r="B252" i="17"/>
  <c r="C252" i="17"/>
  <c r="D252" i="17"/>
  <c r="E252" i="17"/>
  <c r="F252" i="17"/>
  <c r="G252" i="17"/>
  <c r="H252" i="17"/>
  <c r="I252" i="17"/>
  <c r="A253" i="17"/>
  <c r="B253" i="17"/>
  <c r="C253" i="17"/>
  <c r="D253" i="17"/>
  <c r="E253" i="17"/>
  <c r="F253" i="17"/>
  <c r="G253" i="17"/>
  <c r="H253" i="17"/>
  <c r="I253" i="17"/>
  <c r="A254" i="17"/>
  <c r="B254" i="17"/>
  <c r="C254" i="17"/>
  <c r="D254" i="17"/>
  <c r="E254" i="17"/>
  <c r="F254" i="17"/>
  <c r="G254" i="17"/>
  <c r="H254" i="17"/>
  <c r="I254" i="17"/>
  <c r="A255" i="17"/>
  <c r="B255" i="17"/>
  <c r="C255" i="17"/>
  <c r="D255" i="17"/>
  <c r="E255" i="17"/>
  <c r="F255" i="17"/>
  <c r="G255" i="17"/>
  <c r="H255" i="17"/>
  <c r="I255" i="17"/>
  <c r="A256" i="17"/>
  <c r="B256" i="17"/>
  <c r="C256" i="17"/>
  <c r="D256" i="17"/>
  <c r="E256" i="17"/>
  <c r="F256" i="17"/>
  <c r="G256" i="17"/>
  <c r="H256" i="17"/>
  <c r="I256" i="17"/>
  <c r="A257" i="17"/>
  <c r="B257" i="17"/>
  <c r="C257" i="17"/>
  <c r="D257" i="17"/>
  <c r="E257" i="17"/>
  <c r="F257" i="17"/>
  <c r="G257" i="17"/>
  <c r="H257" i="17"/>
  <c r="I257" i="17"/>
  <c r="A258" i="17"/>
  <c r="B258" i="17"/>
  <c r="C258" i="17"/>
  <c r="D258" i="17"/>
  <c r="E258" i="17"/>
  <c r="F258" i="17"/>
  <c r="G258" i="17"/>
  <c r="H258" i="17"/>
  <c r="I258" i="17"/>
  <c r="A259" i="17"/>
  <c r="B259" i="17"/>
  <c r="C259" i="17"/>
  <c r="D259" i="17"/>
  <c r="E259" i="17"/>
  <c r="F259" i="17"/>
  <c r="G259" i="17"/>
  <c r="H259" i="17"/>
  <c r="I259" i="17"/>
  <c r="A260" i="17"/>
  <c r="B260" i="17"/>
  <c r="C260" i="17"/>
  <c r="D260" i="17"/>
  <c r="E260" i="17"/>
  <c r="F260" i="17"/>
  <c r="G260" i="17"/>
  <c r="H260" i="17"/>
  <c r="I260" i="17"/>
  <c r="A261" i="17"/>
  <c r="B261" i="17"/>
  <c r="C261" i="17"/>
  <c r="D261" i="17"/>
  <c r="E261" i="17"/>
  <c r="F261" i="17"/>
  <c r="G261" i="17"/>
  <c r="H261" i="17"/>
  <c r="I261" i="17"/>
  <c r="A262" i="17"/>
  <c r="B262" i="17"/>
  <c r="C262" i="17"/>
  <c r="D262" i="17"/>
  <c r="E262" i="17"/>
  <c r="F262" i="17"/>
  <c r="G262" i="17"/>
  <c r="H262" i="17"/>
  <c r="I262" i="17"/>
  <c r="A263" i="17"/>
  <c r="B263" i="17"/>
  <c r="C263" i="17"/>
  <c r="D263" i="17"/>
  <c r="E263" i="17"/>
  <c r="F263" i="17"/>
  <c r="G263" i="17"/>
  <c r="H263" i="17"/>
  <c r="I263" i="17"/>
  <c r="A264" i="17"/>
  <c r="B264" i="17"/>
  <c r="C264" i="17"/>
  <c r="D264" i="17"/>
  <c r="E264" i="17"/>
  <c r="F264" i="17"/>
  <c r="G264" i="17"/>
  <c r="H264" i="17"/>
  <c r="I264" i="17"/>
  <c r="A265" i="17"/>
  <c r="B265" i="17"/>
  <c r="C265" i="17"/>
  <c r="D265" i="17"/>
  <c r="E265" i="17"/>
  <c r="F265" i="17"/>
  <c r="G265" i="17"/>
  <c r="H265" i="17"/>
  <c r="I265" i="17"/>
  <c r="A266" i="17"/>
  <c r="B266" i="17"/>
  <c r="C266" i="17"/>
  <c r="D266" i="17"/>
  <c r="E266" i="17"/>
  <c r="F266" i="17"/>
  <c r="G266" i="17"/>
  <c r="H266" i="17"/>
  <c r="I266" i="17"/>
  <c r="A267" i="17"/>
  <c r="B267" i="17"/>
  <c r="C267" i="17"/>
  <c r="D267" i="17"/>
  <c r="E267" i="17"/>
  <c r="F267" i="17"/>
  <c r="G267" i="17"/>
  <c r="H267" i="17"/>
  <c r="I267" i="17"/>
  <c r="A268" i="17"/>
  <c r="B268" i="17"/>
  <c r="C268" i="17"/>
  <c r="D268" i="17"/>
  <c r="E268" i="17"/>
  <c r="F268" i="17"/>
  <c r="G268" i="17"/>
  <c r="H268" i="17"/>
  <c r="I268" i="17"/>
  <c r="A269" i="17"/>
  <c r="B269" i="17"/>
  <c r="C269" i="17"/>
  <c r="D269" i="17"/>
  <c r="E269" i="17"/>
  <c r="F269" i="17"/>
  <c r="G269" i="17"/>
  <c r="H269" i="17"/>
  <c r="I269" i="17"/>
  <c r="A270" i="17"/>
  <c r="B270" i="17"/>
  <c r="C270" i="17"/>
  <c r="D270" i="17"/>
  <c r="E270" i="17"/>
  <c r="F270" i="17"/>
  <c r="G270" i="17"/>
  <c r="H270" i="17"/>
  <c r="I270" i="17"/>
  <c r="A271" i="17"/>
  <c r="B271" i="17"/>
  <c r="C271" i="17"/>
  <c r="D271" i="17"/>
  <c r="E271" i="17"/>
  <c r="F271" i="17"/>
  <c r="G271" i="17"/>
  <c r="H271" i="17"/>
  <c r="I271" i="17"/>
  <c r="A272" i="17"/>
  <c r="B272" i="17"/>
  <c r="C272" i="17"/>
  <c r="D272" i="17"/>
  <c r="E272" i="17"/>
  <c r="F272" i="17"/>
  <c r="G272" i="17"/>
  <c r="H272" i="17"/>
  <c r="I272" i="17"/>
  <c r="A273" i="17"/>
  <c r="B273" i="17"/>
  <c r="C273" i="17"/>
  <c r="D273" i="17"/>
  <c r="E273" i="17"/>
  <c r="F273" i="17"/>
  <c r="G273" i="17"/>
  <c r="H273" i="17"/>
  <c r="I273" i="17"/>
  <c r="A274" i="17"/>
  <c r="B274" i="17"/>
  <c r="C274" i="17"/>
  <c r="D274" i="17"/>
  <c r="E274" i="17"/>
  <c r="F274" i="17"/>
  <c r="G274" i="17"/>
  <c r="H274" i="17"/>
  <c r="I274" i="17"/>
  <c r="A275" i="17"/>
  <c r="B275" i="17"/>
  <c r="C275" i="17"/>
  <c r="D275" i="17"/>
  <c r="E275" i="17"/>
  <c r="F275" i="17"/>
  <c r="G275" i="17"/>
  <c r="H275" i="17"/>
  <c r="I275" i="17"/>
  <c r="A276" i="17"/>
  <c r="B276" i="17"/>
  <c r="C276" i="17"/>
  <c r="D276" i="17"/>
  <c r="E276" i="17"/>
  <c r="F276" i="17"/>
  <c r="G276" i="17"/>
  <c r="H276" i="17"/>
  <c r="I276" i="17"/>
  <c r="A277" i="17"/>
  <c r="B277" i="17"/>
  <c r="C277" i="17"/>
  <c r="D277" i="17"/>
  <c r="E277" i="17"/>
  <c r="F277" i="17"/>
  <c r="G277" i="17"/>
  <c r="H277" i="17"/>
  <c r="I277" i="17"/>
  <c r="A278" i="17"/>
  <c r="B278" i="17"/>
  <c r="C278" i="17"/>
  <c r="D278" i="17"/>
  <c r="E278" i="17"/>
  <c r="F278" i="17"/>
  <c r="G278" i="17"/>
  <c r="H278" i="17"/>
  <c r="I278" i="17"/>
  <c r="A279" i="17"/>
  <c r="B279" i="17"/>
  <c r="C279" i="17"/>
  <c r="D279" i="17"/>
  <c r="E279" i="17"/>
  <c r="F279" i="17"/>
  <c r="G279" i="17"/>
  <c r="H279" i="17"/>
  <c r="I279" i="17"/>
  <c r="A280" i="17"/>
  <c r="B280" i="17"/>
  <c r="C280" i="17"/>
  <c r="D280" i="17"/>
  <c r="E280" i="17"/>
  <c r="F280" i="17"/>
  <c r="G280" i="17"/>
  <c r="H280" i="17"/>
  <c r="I280" i="17"/>
  <c r="A281" i="17"/>
  <c r="B281" i="17"/>
  <c r="C281" i="17"/>
  <c r="D281" i="17"/>
  <c r="E281" i="17"/>
  <c r="F281" i="17"/>
  <c r="G281" i="17"/>
  <c r="H281" i="17"/>
  <c r="I281" i="17"/>
  <c r="A282" i="17"/>
  <c r="B282" i="17"/>
  <c r="C282" i="17"/>
  <c r="D282" i="17"/>
  <c r="E282" i="17"/>
  <c r="F282" i="17"/>
  <c r="G282" i="17"/>
  <c r="H282" i="17"/>
  <c r="I282" i="17"/>
  <c r="A283" i="17"/>
  <c r="B283" i="17"/>
  <c r="C283" i="17"/>
  <c r="D283" i="17"/>
  <c r="E283" i="17"/>
  <c r="F283" i="17"/>
  <c r="G283" i="17"/>
  <c r="H283" i="17"/>
  <c r="I283" i="17"/>
  <c r="A284" i="17"/>
  <c r="B284" i="17"/>
  <c r="C284" i="17"/>
  <c r="D284" i="17"/>
  <c r="E284" i="17"/>
  <c r="F284" i="17"/>
  <c r="G284" i="17"/>
  <c r="H284" i="17"/>
  <c r="I284" i="17"/>
  <c r="A285" i="17"/>
  <c r="B285" i="17"/>
  <c r="C285" i="17"/>
  <c r="D285" i="17"/>
  <c r="E285" i="17"/>
  <c r="F285" i="17"/>
  <c r="G285" i="17"/>
  <c r="H285" i="17"/>
  <c r="I285" i="17"/>
  <c r="A286" i="17"/>
  <c r="B286" i="17"/>
  <c r="C286" i="17"/>
  <c r="D286" i="17"/>
  <c r="E286" i="17"/>
  <c r="F286" i="17"/>
  <c r="G286" i="17"/>
  <c r="H286" i="17"/>
  <c r="I286" i="17"/>
  <c r="A287" i="17"/>
  <c r="B287" i="17"/>
  <c r="C287" i="17"/>
  <c r="D287" i="17"/>
  <c r="E287" i="17"/>
  <c r="F287" i="17"/>
  <c r="G287" i="17"/>
  <c r="H287" i="17"/>
  <c r="I287" i="17"/>
  <c r="A288" i="17"/>
  <c r="B288" i="17"/>
  <c r="C288" i="17"/>
  <c r="D288" i="17"/>
  <c r="E288" i="17"/>
  <c r="F288" i="17"/>
  <c r="G288" i="17"/>
  <c r="H288" i="17"/>
  <c r="I288" i="17"/>
  <c r="A289" i="17"/>
  <c r="B289" i="17"/>
  <c r="C289" i="17"/>
  <c r="D289" i="17"/>
  <c r="E289" i="17"/>
  <c r="F289" i="17"/>
  <c r="G289" i="17"/>
  <c r="H289" i="17"/>
  <c r="I289" i="17"/>
  <c r="A290" i="17"/>
  <c r="B290" i="17"/>
  <c r="C290" i="17"/>
  <c r="D290" i="17"/>
  <c r="E290" i="17"/>
  <c r="F290" i="17"/>
  <c r="G290" i="17"/>
  <c r="H290" i="17"/>
  <c r="I290" i="17"/>
  <c r="A291" i="17"/>
  <c r="B291" i="17"/>
  <c r="C291" i="17"/>
  <c r="D291" i="17"/>
  <c r="E291" i="17"/>
  <c r="F291" i="17"/>
  <c r="G291" i="17"/>
  <c r="H291" i="17"/>
  <c r="I291" i="17"/>
  <c r="A292" i="17"/>
  <c r="B292" i="17"/>
  <c r="C292" i="17"/>
  <c r="D292" i="17"/>
  <c r="E292" i="17"/>
  <c r="F292" i="17"/>
  <c r="G292" i="17"/>
  <c r="H292" i="17"/>
  <c r="I292" i="17"/>
  <c r="A293" i="17"/>
  <c r="B293" i="17"/>
  <c r="C293" i="17"/>
  <c r="D293" i="17"/>
  <c r="E293" i="17"/>
  <c r="F293" i="17"/>
  <c r="G293" i="17"/>
  <c r="H293" i="17"/>
  <c r="I293" i="17"/>
  <c r="A294" i="17"/>
  <c r="B294" i="17"/>
  <c r="C294" i="17"/>
  <c r="D294" i="17"/>
  <c r="E294" i="17"/>
  <c r="F294" i="17"/>
  <c r="G294" i="17"/>
  <c r="H294" i="17"/>
  <c r="I294" i="17"/>
  <c r="A295" i="17"/>
  <c r="B295" i="17"/>
  <c r="C295" i="17"/>
  <c r="D295" i="17"/>
  <c r="E295" i="17"/>
  <c r="F295" i="17"/>
  <c r="G295" i="17"/>
  <c r="H295" i="17"/>
  <c r="I295" i="17"/>
  <c r="A296" i="17"/>
  <c r="B296" i="17"/>
  <c r="C296" i="17"/>
  <c r="D296" i="17"/>
  <c r="E296" i="17"/>
  <c r="F296" i="17"/>
  <c r="G296" i="17"/>
  <c r="H296" i="17"/>
  <c r="I296" i="17"/>
  <c r="A297" i="17"/>
  <c r="B297" i="17"/>
  <c r="C297" i="17"/>
  <c r="D297" i="17"/>
  <c r="E297" i="17"/>
  <c r="F297" i="17"/>
  <c r="G297" i="17"/>
  <c r="H297" i="17"/>
  <c r="I297" i="17"/>
  <c r="A298" i="17"/>
  <c r="B298" i="17"/>
  <c r="C298" i="17"/>
  <c r="D298" i="17"/>
  <c r="E298" i="17"/>
  <c r="F298" i="17"/>
  <c r="G298" i="17"/>
  <c r="H298" i="17"/>
  <c r="I298" i="17"/>
  <c r="A299" i="17"/>
  <c r="B299" i="17"/>
  <c r="C299" i="17"/>
  <c r="D299" i="17"/>
  <c r="E299" i="17"/>
  <c r="F299" i="17"/>
  <c r="G299" i="17"/>
  <c r="H299" i="17"/>
  <c r="I299" i="17"/>
  <c r="A300" i="17"/>
  <c r="B300" i="17"/>
  <c r="C300" i="17"/>
  <c r="D300" i="17"/>
  <c r="E300" i="17"/>
  <c r="F300" i="17"/>
  <c r="G300" i="17"/>
  <c r="H300" i="17"/>
  <c r="I300" i="17"/>
  <c r="A301" i="17"/>
  <c r="B301" i="17"/>
  <c r="C301" i="17"/>
  <c r="D301" i="17"/>
  <c r="E301" i="17"/>
  <c r="F301" i="17"/>
  <c r="G301" i="17"/>
  <c r="H301" i="17"/>
  <c r="I301" i="17"/>
  <c r="A302" i="17"/>
  <c r="B302" i="17"/>
  <c r="C302" i="17"/>
  <c r="D302" i="17"/>
  <c r="E302" i="17"/>
  <c r="F302" i="17"/>
  <c r="G302" i="17"/>
  <c r="H302" i="17"/>
  <c r="I302" i="17"/>
  <c r="A303" i="17"/>
  <c r="B303" i="17"/>
  <c r="C303" i="17"/>
  <c r="D303" i="17"/>
  <c r="E303" i="17"/>
  <c r="F303" i="17"/>
  <c r="G303" i="17"/>
  <c r="H303" i="17"/>
  <c r="I303" i="17"/>
  <c r="A304" i="17"/>
  <c r="B304" i="17"/>
  <c r="C304" i="17"/>
  <c r="D304" i="17"/>
  <c r="E304" i="17"/>
  <c r="F304" i="17"/>
  <c r="G304" i="17"/>
  <c r="H304" i="17"/>
  <c r="I304" i="17"/>
  <c r="A305" i="17"/>
  <c r="B305" i="17"/>
  <c r="C305" i="17"/>
  <c r="D305" i="17"/>
  <c r="E305" i="17"/>
  <c r="F305" i="17"/>
  <c r="G305" i="17"/>
  <c r="H305" i="17"/>
  <c r="I305" i="17"/>
  <c r="A306" i="17"/>
  <c r="B306" i="17"/>
  <c r="C306" i="17"/>
  <c r="D306" i="17"/>
  <c r="E306" i="17"/>
  <c r="F306" i="17"/>
  <c r="G306" i="17"/>
  <c r="H306" i="17"/>
  <c r="I306" i="17"/>
  <c r="A307" i="17"/>
  <c r="B307" i="17"/>
  <c r="C307" i="17"/>
  <c r="D307" i="17"/>
  <c r="E307" i="17"/>
  <c r="F307" i="17"/>
  <c r="G307" i="17"/>
  <c r="H307" i="17"/>
  <c r="I307" i="17"/>
  <c r="A308" i="17"/>
  <c r="B308" i="17"/>
  <c r="C308" i="17"/>
  <c r="D308" i="17"/>
  <c r="E308" i="17"/>
  <c r="F308" i="17"/>
  <c r="G308" i="17"/>
  <c r="H308" i="17"/>
  <c r="I308" i="17"/>
  <c r="A309" i="17"/>
  <c r="B309" i="17"/>
  <c r="C309" i="17"/>
  <c r="D309" i="17"/>
  <c r="E309" i="17"/>
  <c r="F309" i="17"/>
  <c r="G309" i="17"/>
  <c r="H309" i="17"/>
  <c r="I309" i="17"/>
  <c r="A310" i="17"/>
  <c r="B310" i="17"/>
  <c r="C310" i="17"/>
  <c r="D310" i="17"/>
  <c r="E310" i="17"/>
  <c r="F310" i="17"/>
  <c r="G310" i="17"/>
  <c r="H310" i="17"/>
  <c r="I310" i="17"/>
  <c r="A311" i="17"/>
  <c r="B311" i="17"/>
  <c r="C311" i="17"/>
  <c r="D311" i="17"/>
  <c r="E311" i="17"/>
  <c r="F311" i="17"/>
  <c r="G311" i="17"/>
  <c r="H311" i="17"/>
  <c r="I311" i="17"/>
  <c r="A312" i="17"/>
  <c r="B312" i="17"/>
  <c r="C312" i="17"/>
  <c r="D312" i="17"/>
  <c r="E312" i="17"/>
  <c r="F312" i="17"/>
  <c r="G312" i="17"/>
  <c r="H312" i="17"/>
  <c r="I312" i="17"/>
  <c r="A313" i="17"/>
  <c r="B313" i="17"/>
  <c r="C313" i="17"/>
  <c r="D313" i="17"/>
  <c r="E313" i="17"/>
  <c r="F313" i="17"/>
  <c r="G313" i="17"/>
  <c r="H313" i="17"/>
  <c r="I313" i="17"/>
  <c r="A314" i="17"/>
  <c r="B314" i="17"/>
  <c r="C314" i="17"/>
  <c r="D314" i="17"/>
  <c r="E314" i="17"/>
  <c r="F314" i="17"/>
  <c r="G314" i="17"/>
  <c r="H314" i="17"/>
  <c r="I314" i="17"/>
  <c r="A315" i="17"/>
  <c r="B315" i="17"/>
  <c r="C315" i="17"/>
  <c r="D315" i="17"/>
  <c r="E315" i="17"/>
  <c r="F315" i="17"/>
  <c r="G315" i="17"/>
  <c r="H315" i="17"/>
  <c r="I315" i="17"/>
  <c r="A316" i="17"/>
  <c r="B316" i="17"/>
  <c r="C316" i="17"/>
  <c r="D316" i="17"/>
  <c r="E316" i="17"/>
  <c r="F316" i="17"/>
  <c r="G316" i="17"/>
  <c r="H316" i="17"/>
  <c r="I316" i="17"/>
  <c r="A317" i="17"/>
  <c r="B317" i="17"/>
  <c r="C317" i="17"/>
  <c r="D317" i="17"/>
  <c r="E317" i="17"/>
  <c r="F317" i="17"/>
  <c r="G317" i="17"/>
  <c r="H317" i="17"/>
  <c r="I317" i="17"/>
  <c r="A318" i="17"/>
  <c r="B318" i="17"/>
  <c r="C318" i="17"/>
  <c r="D318" i="17"/>
  <c r="E318" i="17"/>
  <c r="F318" i="17"/>
  <c r="G318" i="17"/>
  <c r="H318" i="17"/>
  <c r="I318" i="17"/>
  <c r="A319" i="17"/>
  <c r="B319" i="17"/>
  <c r="C319" i="17"/>
  <c r="D319" i="17"/>
  <c r="E319" i="17"/>
  <c r="F319" i="17"/>
  <c r="G319" i="17"/>
  <c r="H319" i="17"/>
  <c r="I319" i="17"/>
  <c r="A320" i="17"/>
  <c r="B320" i="17"/>
  <c r="C320" i="17"/>
  <c r="D320" i="17"/>
  <c r="E320" i="17"/>
  <c r="F320" i="17"/>
  <c r="G320" i="17"/>
  <c r="H320" i="17"/>
  <c r="I320" i="17"/>
  <c r="A321" i="17"/>
  <c r="B321" i="17"/>
  <c r="C321" i="17"/>
  <c r="D321" i="17"/>
  <c r="E321" i="17"/>
  <c r="F321" i="17"/>
  <c r="G321" i="17"/>
  <c r="H321" i="17"/>
  <c r="I321" i="17"/>
  <c r="A322" i="17"/>
  <c r="B322" i="17"/>
  <c r="C322" i="17"/>
  <c r="D322" i="17"/>
  <c r="E322" i="17"/>
  <c r="F322" i="17"/>
  <c r="G322" i="17"/>
  <c r="H322" i="17"/>
  <c r="I322" i="17"/>
  <c r="A323" i="17"/>
  <c r="B323" i="17"/>
  <c r="C323" i="17"/>
  <c r="D323" i="17"/>
  <c r="E323" i="17"/>
  <c r="F323" i="17"/>
  <c r="G323" i="17"/>
  <c r="H323" i="17"/>
  <c r="I323" i="17"/>
  <c r="A324" i="17"/>
  <c r="B324" i="17"/>
  <c r="C324" i="17"/>
  <c r="D324" i="17"/>
  <c r="E324" i="17"/>
  <c r="F324" i="17"/>
  <c r="G324" i="17"/>
  <c r="H324" i="17"/>
  <c r="I324" i="17"/>
  <c r="A325" i="17"/>
  <c r="B325" i="17"/>
  <c r="C325" i="17"/>
  <c r="D325" i="17"/>
  <c r="E325" i="17"/>
  <c r="F325" i="17"/>
  <c r="G325" i="17"/>
  <c r="H325" i="17"/>
  <c r="I325" i="17"/>
  <c r="A326" i="17"/>
  <c r="B326" i="17"/>
  <c r="C326" i="17"/>
  <c r="D326" i="17"/>
  <c r="E326" i="17"/>
  <c r="F326" i="17"/>
  <c r="G326" i="17"/>
  <c r="H326" i="17"/>
  <c r="I326" i="17"/>
  <c r="A327" i="17"/>
  <c r="B327" i="17"/>
  <c r="C327" i="17"/>
  <c r="D327" i="17"/>
  <c r="E327" i="17"/>
  <c r="F327" i="17"/>
  <c r="G327" i="17"/>
  <c r="H327" i="17"/>
  <c r="I327" i="17"/>
  <c r="A328" i="17"/>
  <c r="B328" i="17"/>
  <c r="C328" i="17"/>
  <c r="D328" i="17"/>
  <c r="E328" i="17"/>
  <c r="F328" i="17"/>
  <c r="G328" i="17"/>
  <c r="H328" i="17"/>
  <c r="I328" i="17"/>
  <c r="A329" i="17"/>
  <c r="B329" i="17"/>
  <c r="C329" i="17"/>
  <c r="D329" i="17"/>
  <c r="E329" i="17"/>
  <c r="F329" i="17"/>
  <c r="G329" i="17"/>
  <c r="H329" i="17"/>
  <c r="I329" i="17"/>
  <c r="A330" i="17"/>
  <c r="B330" i="17"/>
  <c r="C330" i="17"/>
  <c r="D330" i="17"/>
  <c r="E330" i="17"/>
  <c r="F330" i="17"/>
  <c r="G330" i="17"/>
  <c r="H330" i="17"/>
  <c r="I330" i="17"/>
  <c r="A331" i="17"/>
  <c r="B331" i="17"/>
  <c r="C331" i="17"/>
  <c r="D331" i="17"/>
  <c r="E331" i="17"/>
  <c r="F331" i="17"/>
  <c r="G331" i="17"/>
  <c r="H331" i="17"/>
  <c r="I331" i="17"/>
  <c r="A332" i="17"/>
  <c r="B332" i="17"/>
  <c r="C332" i="17"/>
  <c r="D332" i="17"/>
  <c r="E332" i="17"/>
  <c r="F332" i="17"/>
  <c r="G332" i="17"/>
  <c r="H332" i="17"/>
  <c r="I332" i="17"/>
  <c r="A333" i="17"/>
  <c r="B333" i="17"/>
  <c r="C333" i="17"/>
  <c r="D333" i="17"/>
  <c r="E333" i="17"/>
  <c r="F333" i="17"/>
  <c r="G333" i="17"/>
  <c r="H333" i="17"/>
  <c r="I333" i="17"/>
  <c r="A334" i="17"/>
  <c r="B334" i="17"/>
  <c r="C334" i="17"/>
  <c r="D334" i="17"/>
  <c r="E334" i="17"/>
  <c r="F334" i="17"/>
  <c r="G334" i="17"/>
  <c r="H334" i="17"/>
  <c r="I334" i="17"/>
  <c r="A335" i="17"/>
  <c r="B335" i="17"/>
  <c r="C335" i="17"/>
  <c r="D335" i="17"/>
  <c r="E335" i="17"/>
  <c r="F335" i="17"/>
  <c r="G335" i="17"/>
  <c r="H335" i="17"/>
  <c r="I335" i="17"/>
  <c r="A336" i="17"/>
  <c r="B336" i="17"/>
  <c r="C336" i="17"/>
  <c r="D336" i="17"/>
  <c r="E336" i="17"/>
  <c r="F336" i="17"/>
  <c r="G336" i="17"/>
  <c r="H336" i="17"/>
  <c r="I336" i="17"/>
  <c r="A337" i="17"/>
  <c r="B337" i="17"/>
  <c r="C337" i="17"/>
  <c r="D337" i="17"/>
  <c r="E337" i="17"/>
  <c r="F337" i="17"/>
  <c r="G337" i="17"/>
  <c r="H337" i="17"/>
  <c r="I337" i="17"/>
  <c r="A338" i="17"/>
  <c r="B338" i="17"/>
  <c r="C338" i="17"/>
  <c r="D338" i="17"/>
  <c r="E338" i="17"/>
  <c r="F338" i="17"/>
  <c r="G338" i="17"/>
  <c r="H338" i="17"/>
  <c r="I338" i="17"/>
  <c r="A339" i="17"/>
  <c r="B339" i="17"/>
  <c r="C339" i="17"/>
  <c r="D339" i="17"/>
  <c r="E339" i="17"/>
  <c r="F339" i="17"/>
  <c r="G339" i="17"/>
  <c r="H339" i="17"/>
  <c r="I339" i="17"/>
  <c r="A340" i="17"/>
  <c r="B340" i="17"/>
  <c r="C340" i="17"/>
  <c r="D340" i="17"/>
  <c r="E340" i="17"/>
  <c r="F340" i="17"/>
  <c r="G340" i="17"/>
  <c r="H340" i="17"/>
  <c r="I340" i="17"/>
  <c r="A341" i="17"/>
  <c r="B341" i="17"/>
  <c r="C341" i="17"/>
  <c r="D341" i="17"/>
  <c r="E341" i="17"/>
  <c r="F341" i="17"/>
  <c r="G341" i="17"/>
  <c r="H341" i="17"/>
  <c r="I341" i="17"/>
  <c r="A342" i="17"/>
  <c r="B342" i="17"/>
  <c r="C342" i="17"/>
  <c r="D342" i="17"/>
  <c r="E342" i="17"/>
  <c r="F342" i="17"/>
  <c r="G342" i="17"/>
  <c r="H342" i="17"/>
  <c r="I342" i="17"/>
  <c r="A343" i="17"/>
  <c r="B343" i="17"/>
  <c r="C343" i="17"/>
  <c r="D343" i="17"/>
  <c r="E343" i="17"/>
  <c r="F343" i="17"/>
  <c r="G343" i="17"/>
  <c r="H343" i="17"/>
  <c r="I343" i="17"/>
  <c r="A344" i="17"/>
  <c r="B344" i="17"/>
  <c r="C344" i="17"/>
  <c r="D344" i="17"/>
  <c r="E344" i="17"/>
  <c r="F344" i="17"/>
  <c r="G344" i="17"/>
  <c r="H344" i="17"/>
  <c r="I344" i="17"/>
  <c r="A345" i="17"/>
  <c r="B345" i="17"/>
  <c r="C345" i="17"/>
  <c r="D345" i="17"/>
  <c r="E345" i="17"/>
  <c r="F345" i="17"/>
  <c r="G345" i="17"/>
  <c r="H345" i="17"/>
  <c r="I345" i="17"/>
  <c r="A346" i="17"/>
  <c r="B346" i="17"/>
  <c r="C346" i="17"/>
  <c r="D346" i="17"/>
  <c r="E346" i="17"/>
  <c r="F346" i="17"/>
  <c r="G346" i="17"/>
  <c r="H346" i="17"/>
  <c r="I346" i="17"/>
  <c r="A347" i="17"/>
  <c r="B347" i="17"/>
  <c r="C347" i="17"/>
  <c r="D347" i="17"/>
  <c r="E347" i="17"/>
  <c r="F347" i="17"/>
  <c r="G347" i="17"/>
  <c r="H347" i="17"/>
  <c r="I347" i="17"/>
  <c r="A348" i="17"/>
  <c r="B348" i="17"/>
  <c r="C348" i="17"/>
  <c r="D348" i="17"/>
  <c r="E348" i="17"/>
  <c r="F348" i="17"/>
  <c r="G348" i="17"/>
  <c r="H348" i="17"/>
  <c r="I348" i="17"/>
  <c r="A349" i="17"/>
  <c r="B349" i="17"/>
  <c r="C349" i="17"/>
  <c r="D349" i="17"/>
  <c r="E349" i="17"/>
  <c r="F349" i="17"/>
  <c r="G349" i="17"/>
  <c r="H349" i="17"/>
  <c r="I349" i="17"/>
  <c r="B2" i="17"/>
  <c r="C2" i="17"/>
  <c r="D2" i="17"/>
  <c r="E2" i="17"/>
  <c r="F2" i="17"/>
  <c r="G2" i="17"/>
  <c r="H2" i="17"/>
  <c r="I2" i="17"/>
  <c r="A2" i="17"/>
  <c r="P1" i="14" l="1"/>
  <c r="J3" i="17" l="1"/>
  <c r="K3" i="17"/>
  <c r="L3" i="17"/>
  <c r="M3" i="17"/>
  <c r="N3" i="17"/>
  <c r="O3" i="17"/>
  <c r="P3" i="17"/>
  <c r="Q3" i="17"/>
  <c r="R3" i="17"/>
  <c r="S3" i="17"/>
  <c r="T3" i="17"/>
  <c r="U3" i="17"/>
  <c r="V3" i="17"/>
  <c r="W3" i="17"/>
  <c r="X3" i="17"/>
  <c r="Y3" i="17"/>
  <c r="Z3" i="17"/>
  <c r="AA3" i="17"/>
  <c r="AB3" i="17"/>
  <c r="AC3" i="17"/>
  <c r="AD3" i="17"/>
  <c r="AE3" i="17"/>
  <c r="AF3" i="17"/>
  <c r="AG3" i="17"/>
  <c r="AH3" i="17"/>
  <c r="AI3" i="17"/>
  <c r="AJ3" i="17"/>
  <c r="AK3" i="17"/>
  <c r="AL3" i="17"/>
  <c r="AM3" i="17"/>
  <c r="AN3" i="17"/>
  <c r="AO3" i="17"/>
  <c r="AP3" i="17"/>
  <c r="AQ3" i="17"/>
  <c r="AR3" i="17"/>
  <c r="AS3" i="17"/>
  <c r="J4" i="17"/>
  <c r="K4" i="17"/>
  <c r="Z5" i="17"/>
  <c r="J5" i="17"/>
  <c r="K5" i="17"/>
  <c r="O5" i="17"/>
  <c r="Q5" i="17"/>
  <c r="R5" i="17"/>
  <c r="S5" i="17"/>
  <c r="Y5" i="17"/>
  <c r="AA5" i="17"/>
  <c r="AB5" i="17"/>
  <c r="AC5" i="17"/>
  <c r="AH5" i="17"/>
  <c r="AI5" i="17"/>
  <c r="AK5" i="17"/>
  <c r="AQ5" i="17"/>
  <c r="AR5" i="17"/>
  <c r="AS5" i="17"/>
  <c r="J6" i="17"/>
  <c r="AJ6" i="17"/>
  <c r="AK6" i="17"/>
  <c r="AL6" i="17"/>
  <c r="J7" i="17"/>
  <c r="N8" i="17"/>
  <c r="J8" i="17"/>
  <c r="K8" i="17"/>
  <c r="L8" i="17"/>
  <c r="M8" i="17"/>
  <c r="Q8" i="17"/>
  <c r="R8" i="17"/>
  <c r="S8" i="17"/>
  <c r="T8" i="17"/>
  <c r="U8" i="17"/>
  <c r="Y8" i="17"/>
  <c r="Z8" i="17"/>
  <c r="AA8" i="17"/>
  <c r="AB8" i="17"/>
  <c r="AC8" i="17"/>
  <c r="AD8" i="17"/>
  <c r="AF8" i="17"/>
  <c r="AG8" i="17"/>
  <c r="AH8" i="17"/>
  <c r="AI8" i="17"/>
  <c r="AJ8" i="17"/>
  <c r="AK8" i="17"/>
  <c r="AL8" i="17"/>
  <c r="AM8" i="17"/>
  <c r="AN8" i="17"/>
  <c r="AO8" i="17"/>
  <c r="AP8" i="17"/>
  <c r="AQ8" i="17"/>
  <c r="AR8" i="17"/>
  <c r="AS8" i="17"/>
  <c r="J9" i="17"/>
  <c r="AS10" i="17"/>
  <c r="J10" i="17"/>
  <c r="T10" i="17"/>
  <c r="AA10" i="17"/>
  <c r="J11" i="17"/>
  <c r="AC11" i="17"/>
  <c r="AD11" i="17"/>
  <c r="AI11" i="17"/>
  <c r="J12" i="17"/>
  <c r="T12" i="17"/>
  <c r="Y12" i="17"/>
  <c r="AH12" i="17"/>
  <c r="AJ12" i="17"/>
  <c r="AL12" i="17"/>
  <c r="AM12" i="17"/>
  <c r="W13" i="17"/>
  <c r="J13" i="17"/>
  <c r="K13" i="17"/>
  <c r="N13" i="17"/>
  <c r="O13" i="17"/>
  <c r="Q13" i="17"/>
  <c r="R13" i="17"/>
  <c r="T13" i="17"/>
  <c r="Y13" i="17"/>
  <c r="Z13" i="17"/>
  <c r="AA13" i="17"/>
  <c r="AB13" i="17"/>
  <c r="AC13" i="17"/>
  <c r="AH13" i="17"/>
  <c r="AJ13" i="17"/>
  <c r="AK13" i="17"/>
  <c r="AL13" i="17"/>
  <c r="AP13" i="17"/>
  <c r="AQ13" i="17"/>
  <c r="AS13" i="17"/>
  <c r="J14" i="17"/>
  <c r="Y14" i="17"/>
  <c r="J15" i="17"/>
  <c r="M15" i="17"/>
  <c r="O15" i="17"/>
  <c r="P15" i="17"/>
  <c r="Q15" i="17"/>
  <c r="X15" i="17"/>
  <c r="Y15" i="17"/>
  <c r="Z15" i="17"/>
  <c r="AA15" i="17"/>
  <c r="AB15" i="17"/>
  <c r="AG15" i="17"/>
  <c r="AJ15" i="17"/>
  <c r="AK15" i="17"/>
  <c r="AO15" i="17"/>
  <c r="AP15" i="17"/>
  <c r="AR15" i="17"/>
  <c r="AS15" i="17"/>
  <c r="J16" i="17"/>
  <c r="K16" i="17"/>
  <c r="L16" i="17"/>
  <c r="M16" i="17"/>
  <c r="N16" i="17"/>
  <c r="O16" i="17"/>
  <c r="P16" i="17"/>
  <c r="Q16" i="17"/>
  <c r="R16" i="17"/>
  <c r="S16" i="17"/>
  <c r="T16" i="17"/>
  <c r="U16" i="17"/>
  <c r="V16" i="17"/>
  <c r="W16" i="17"/>
  <c r="X16" i="17"/>
  <c r="Y16" i="17"/>
  <c r="Z16" i="17"/>
  <c r="AA16" i="17"/>
  <c r="AB16" i="17"/>
  <c r="AC16" i="17"/>
  <c r="AD16" i="17"/>
  <c r="AE16" i="17"/>
  <c r="AF16" i="17"/>
  <c r="AG16" i="17"/>
  <c r="AH16" i="17"/>
  <c r="AI16" i="17"/>
  <c r="AJ16" i="17"/>
  <c r="AK16" i="17"/>
  <c r="AL16" i="17"/>
  <c r="AM16" i="17"/>
  <c r="AN16" i="17"/>
  <c r="AO16" i="17"/>
  <c r="AP16" i="17"/>
  <c r="AQ16" i="17"/>
  <c r="AR16" i="17"/>
  <c r="AS16" i="17"/>
  <c r="J17" i="17"/>
  <c r="R17" i="17"/>
  <c r="AE17" i="17"/>
  <c r="AH17" i="17"/>
  <c r="AQ17" i="17"/>
  <c r="AS17" i="17"/>
  <c r="J18" i="17"/>
  <c r="U18" i="17"/>
  <c r="AC18" i="17"/>
  <c r="J19" i="17"/>
  <c r="AG19" i="17"/>
  <c r="J20" i="17"/>
  <c r="N20" i="17"/>
  <c r="O20" i="17"/>
  <c r="P20" i="17"/>
  <c r="Q20" i="17"/>
  <c r="S20" i="17"/>
  <c r="W20" i="17"/>
  <c r="X20" i="17"/>
  <c r="Y20" i="17"/>
  <c r="Z20" i="17"/>
  <c r="AA20" i="17"/>
  <c r="AB20" i="17"/>
  <c r="AG20" i="17"/>
  <c r="AH20" i="17"/>
  <c r="AI20" i="17"/>
  <c r="AJ20" i="17"/>
  <c r="AL20" i="17"/>
  <c r="AO20" i="17"/>
  <c r="AP20" i="17"/>
  <c r="AR20" i="17"/>
  <c r="J21" i="17"/>
  <c r="AG21" i="17"/>
  <c r="AH21" i="17"/>
  <c r="AI21" i="17"/>
  <c r="AJ21" i="17"/>
  <c r="J22" i="17"/>
  <c r="W22" i="17"/>
  <c r="X22" i="17"/>
  <c r="J23" i="17"/>
  <c r="Y23" i="17"/>
  <c r="J24" i="17"/>
  <c r="N24" i="17"/>
  <c r="W24" i="17"/>
  <c r="X24" i="17"/>
  <c r="Y24" i="17"/>
  <c r="AD24" i="17"/>
  <c r="AN24" i="17"/>
  <c r="J25" i="17"/>
  <c r="O25" i="17"/>
  <c r="AI25" i="17"/>
  <c r="J26" i="17"/>
  <c r="K26" i="17"/>
  <c r="Q26" i="17"/>
  <c r="S26" i="17"/>
  <c r="V26" i="17"/>
  <c r="W26" i="17"/>
  <c r="X26" i="17"/>
  <c r="Y26" i="17"/>
  <c r="AF26" i="17"/>
  <c r="AG26" i="17"/>
  <c r="AH26" i="17"/>
  <c r="AI26" i="17"/>
  <c r="AM26" i="17"/>
  <c r="AO26" i="17"/>
  <c r="J27" i="17"/>
  <c r="V27" i="17"/>
  <c r="AC27" i="17"/>
  <c r="J28" i="17"/>
  <c r="X28" i="17"/>
  <c r="AD28" i="17"/>
  <c r="AE28" i="17"/>
  <c r="J29" i="17"/>
  <c r="J30" i="17"/>
  <c r="W30" i="17"/>
  <c r="J31" i="17"/>
  <c r="Q31" i="17"/>
  <c r="J32" i="17"/>
  <c r="N32" i="17"/>
  <c r="O32" i="17"/>
  <c r="P32" i="17"/>
  <c r="Q32" i="17"/>
  <c r="AD32" i="17"/>
  <c r="AE32" i="17"/>
  <c r="AF32" i="17"/>
  <c r="AG32" i="17"/>
  <c r="AN32" i="17"/>
  <c r="AO32" i="17"/>
  <c r="J33" i="17"/>
  <c r="P33" i="17"/>
  <c r="AC33" i="17"/>
  <c r="AQ33" i="17"/>
  <c r="AS33" i="17"/>
  <c r="J34" i="17"/>
  <c r="AE35" i="17"/>
  <c r="J35" i="17"/>
  <c r="N35" i="17"/>
  <c r="O35" i="17"/>
  <c r="W35" i="17"/>
  <c r="X35" i="17"/>
  <c r="Y35" i="17"/>
  <c r="AA35" i="17"/>
  <c r="AO35" i="17"/>
  <c r="AQ35" i="17"/>
  <c r="AR35" i="17"/>
  <c r="J36" i="17"/>
  <c r="Q36" i="17"/>
  <c r="R36" i="17"/>
  <c r="V36" i="17"/>
  <c r="AO36" i="17"/>
  <c r="AP36" i="17"/>
  <c r="AQ36" i="17"/>
  <c r="J37" i="17"/>
  <c r="L37" i="17"/>
  <c r="O37" i="17"/>
  <c r="P37" i="17"/>
  <c r="Q37" i="17"/>
  <c r="T37" i="17"/>
  <c r="U37" i="17"/>
  <c r="V37" i="17"/>
  <c r="Y37" i="17"/>
  <c r="AB37" i="17"/>
  <c r="AC37" i="17"/>
  <c r="AD37" i="17"/>
  <c r="AE37" i="17"/>
  <c r="AF37" i="17"/>
  <c r="AJ37" i="17"/>
  <c r="AK37" i="17"/>
  <c r="AL37" i="17"/>
  <c r="AM37" i="17"/>
  <c r="AN37" i="17"/>
  <c r="AO37" i="17"/>
  <c r="AR37" i="17"/>
  <c r="AS37" i="17"/>
  <c r="N38" i="17"/>
  <c r="J38" i="17"/>
  <c r="T39" i="17"/>
  <c r="J39" i="17"/>
  <c r="AA39" i="17"/>
  <c r="AB39" i="17"/>
  <c r="AK40" i="17"/>
  <c r="J40" i="17"/>
  <c r="AQ40" i="17"/>
  <c r="AS40" i="17"/>
  <c r="J41" i="17"/>
  <c r="Q42" i="17"/>
  <c r="J42" i="17"/>
  <c r="R42" i="17"/>
  <c r="AP42" i="17"/>
  <c r="J43" i="17"/>
  <c r="L43" i="17"/>
  <c r="Q43" i="17"/>
  <c r="T43" i="17"/>
  <c r="U43" i="17"/>
  <c r="V43" i="17"/>
  <c r="AC43" i="17"/>
  <c r="AD43" i="17"/>
  <c r="AE43" i="17"/>
  <c r="AF43" i="17"/>
  <c r="AM43" i="17"/>
  <c r="AN43" i="17"/>
  <c r="AO43" i="17"/>
  <c r="AR43" i="17"/>
  <c r="J44" i="17"/>
  <c r="Y44" i="17"/>
  <c r="Z44" i="17"/>
  <c r="O45" i="17"/>
  <c r="J45" i="17"/>
  <c r="K45" i="17"/>
  <c r="L45" i="17"/>
  <c r="M45" i="17"/>
  <c r="N45" i="17"/>
  <c r="Q45" i="17"/>
  <c r="S45" i="17"/>
  <c r="T45" i="17"/>
  <c r="U45" i="17"/>
  <c r="V45" i="17"/>
  <c r="Y45" i="17"/>
  <c r="Z45" i="17"/>
  <c r="AA45" i="17"/>
  <c r="AC45" i="17"/>
  <c r="AD45" i="17"/>
  <c r="AG45" i="17"/>
  <c r="AH45" i="17"/>
  <c r="AI45" i="17"/>
  <c r="AJ45" i="17"/>
  <c r="AK45" i="17"/>
  <c r="AO45" i="17"/>
  <c r="AP45" i="17"/>
  <c r="AQ45" i="17"/>
  <c r="AR45" i="17"/>
  <c r="AS45" i="17"/>
  <c r="J46" i="17"/>
  <c r="AG46" i="17"/>
  <c r="J47" i="17"/>
  <c r="J48" i="17"/>
  <c r="K48" i="17"/>
  <c r="AB48" i="17"/>
  <c r="AC48" i="17"/>
  <c r="AI48" i="17"/>
  <c r="AJ48" i="17"/>
  <c r="J49" i="17"/>
  <c r="J50" i="17"/>
  <c r="J51" i="17"/>
  <c r="N51" i="17"/>
  <c r="T51" i="17"/>
  <c r="AB51" i="17"/>
  <c r="AC51" i="17"/>
  <c r="AN51" i="17"/>
  <c r="J52" i="17"/>
  <c r="J53" i="17"/>
  <c r="U53" i="17"/>
  <c r="V53" i="17"/>
  <c r="W53" i="17"/>
  <c r="AD54" i="17"/>
  <c r="J54" i="17"/>
  <c r="J55" i="17"/>
  <c r="J56" i="17"/>
  <c r="X56" i="17"/>
  <c r="AN56" i="17"/>
  <c r="AQ57" i="17"/>
  <c r="J57" i="17"/>
  <c r="J58" i="17"/>
  <c r="J59" i="17"/>
  <c r="J60" i="17"/>
  <c r="K60" i="17"/>
  <c r="L60" i="17"/>
  <c r="O60" i="17"/>
  <c r="T60" i="17"/>
  <c r="W60" i="17"/>
  <c r="X60" i="17"/>
  <c r="Y60" i="17"/>
  <c r="Z60" i="17"/>
  <c r="AB60" i="17"/>
  <c r="AH60" i="17"/>
  <c r="AI60" i="17"/>
  <c r="AJ60" i="17"/>
  <c r="AN60" i="17"/>
  <c r="AO60" i="17"/>
  <c r="AP60" i="17"/>
  <c r="AL61" i="17"/>
  <c r="J61" i="17"/>
  <c r="T61" i="17"/>
  <c r="U61" i="17"/>
  <c r="W61" i="17"/>
  <c r="X61" i="17"/>
  <c r="Z61" i="17"/>
  <c r="AK61" i="17"/>
  <c r="AO61" i="17"/>
  <c r="AS61" i="17"/>
  <c r="J62" i="17"/>
  <c r="M62" i="17"/>
  <c r="N62" i="17"/>
  <c r="Y62" i="17"/>
  <c r="AF62" i="17"/>
  <c r="AM62" i="17"/>
  <c r="AN63" i="17"/>
  <c r="J63" i="17"/>
  <c r="J64" i="17"/>
  <c r="P64" i="17"/>
  <c r="AF64" i="17"/>
  <c r="J65" i="17"/>
  <c r="V65" i="17"/>
  <c r="W65" i="17"/>
  <c r="X65" i="17"/>
  <c r="AG65" i="17"/>
  <c r="AI65" i="17"/>
  <c r="J66" i="17"/>
  <c r="R66" i="17"/>
  <c r="AC66" i="17"/>
  <c r="J67" i="17"/>
  <c r="J68" i="17"/>
  <c r="R68" i="17"/>
  <c r="S68" i="17"/>
  <c r="T68" i="17"/>
  <c r="U68" i="17"/>
  <c r="AB68" i="17"/>
  <c r="AC68" i="17"/>
  <c r="AJ68" i="17"/>
  <c r="AK68" i="17"/>
  <c r="AO68" i="17"/>
  <c r="AS68" i="17"/>
  <c r="J69" i="17"/>
  <c r="M69" i="17"/>
  <c r="P69" i="17"/>
  <c r="Q69" i="17"/>
  <c r="R69" i="17"/>
  <c r="U69" i="17"/>
  <c r="V69" i="17"/>
  <c r="W69" i="17"/>
  <c r="Z69" i="17"/>
  <c r="AC69" i="17"/>
  <c r="AD69" i="17"/>
  <c r="AE69" i="17"/>
  <c r="AF69" i="17"/>
  <c r="AG69" i="17"/>
  <c r="AL69" i="17"/>
  <c r="AM69" i="17"/>
  <c r="AN69" i="17"/>
  <c r="AO69" i="17"/>
  <c r="AP69" i="17"/>
  <c r="AS69" i="17"/>
  <c r="J70" i="17"/>
  <c r="K70" i="17"/>
  <c r="N70" i="17"/>
  <c r="O70" i="17"/>
  <c r="S70" i="17"/>
  <c r="U70" i="17"/>
  <c r="W70" i="17"/>
  <c r="X70" i="17"/>
  <c r="Y70" i="17"/>
  <c r="Z70" i="17"/>
  <c r="AF70" i="17"/>
  <c r="AG70" i="17"/>
  <c r="AH70" i="17"/>
  <c r="AI70" i="17"/>
  <c r="AK70" i="17"/>
  <c r="AL70" i="17"/>
  <c r="AQ70" i="17"/>
  <c r="AS70" i="17"/>
  <c r="J71" i="17"/>
  <c r="K71" i="17"/>
  <c r="N71" i="17"/>
  <c r="V71" i="17"/>
  <c r="AB71" i="17"/>
  <c r="AG71" i="17"/>
  <c r="AI71" i="17"/>
  <c r="AN71" i="17"/>
  <c r="AO71" i="17"/>
  <c r="AS71" i="17"/>
  <c r="AR72" i="17"/>
  <c r="J72" i="17"/>
  <c r="L72" i="17"/>
  <c r="AO73" i="17"/>
  <c r="J73" i="17"/>
  <c r="U73" i="17"/>
  <c r="V73" i="17"/>
  <c r="X73" i="17"/>
  <c r="AC73" i="17"/>
  <c r="AK73" i="17"/>
  <c r="AM73" i="17"/>
  <c r="AS73" i="17"/>
  <c r="Y74" i="17"/>
  <c r="J74" i="17"/>
  <c r="O74" i="17"/>
  <c r="P74" i="17"/>
  <c r="R74" i="17"/>
  <c r="S74" i="17"/>
  <c r="W74" i="17"/>
  <c r="AE74" i="17"/>
  <c r="AF74" i="17"/>
  <c r="AG74" i="17"/>
  <c r="AM74" i="17"/>
  <c r="AN74" i="17"/>
  <c r="AP74" i="17"/>
  <c r="J75" i="17"/>
  <c r="T75" i="17"/>
  <c r="U75" i="17"/>
  <c r="V75" i="17"/>
  <c r="AA75" i="17"/>
  <c r="AH75" i="17"/>
  <c r="AI75" i="17"/>
  <c r="AQ75" i="17"/>
  <c r="J76" i="17"/>
  <c r="P76" i="17"/>
  <c r="J77" i="17"/>
  <c r="L77" i="17"/>
  <c r="R77" i="17"/>
  <c r="S77" i="17"/>
  <c r="AP77" i="17"/>
  <c r="AQ77" i="17"/>
  <c r="AR77" i="17"/>
  <c r="J78" i="17"/>
  <c r="AD78" i="17"/>
  <c r="AG78" i="17"/>
  <c r="AP78" i="17"/>
  <c r="J79" i="17"/>
  <c r="J80" i="17"/>
  <c r="J81" i="17"/>
  <c r="Q81" i="17"/>
  <c r="AL81" i="17"/>
  <c r="AM81" i="17"/>
  <c r="J82" i="17"/>
  <c r="O82" i="17"/>
  <c r="Z82" i="17"/>
  <c r="AA82" i="17"/>
  <c r="AE82" i="17"/>
  <c r="AF82" i="17"/>
  <c r="AG82" i="17"/>
  <c r="AP82" i="17"/>
  <c r="J83" i="17"/>
  <c r="K83" i="17"/>
  <c r="M83" i="17"/>
  <c r="Q83" i="17"/>
  <c r="R83" i="17"/>
  <c r="S83" i="17"/>
  <c r="T83" i="17"/>
  <c r="V83" i="17"/>
  <c r="W83" i="17"/>
  <c r="AA83" i="17"/>
  <c r="AB83" i="17"/>
  <c r="AC83" i="17"/>
  <c r="AE83" i="17"/>
  <c r="AG83" i="17"/>
  <c r="AH83" i="17"/>
  <c r="AK83" i="17"/>
  <c r="AL83" i="17"/>
  <c r="AO83" i="17"/>
  <c r="AP83" i="17"/>
  <c r="AQ83" i="17"/>
  <c r="AR83" i="17"/>
  <c r="J84" i="17"/>
  <c r="O84" i="17"/>
  <c r="Q84" i="17"/>
  <c r="R84" i="17"/>
  <c r="X84" i="17"/>
  <c r="Y84" i="17"/>
  <c r="AC84" i="17"/>
  <c r="AD84" i="17"/>
  <c r="AH84" i="17"/>
  <c r="AK84" i="17"/>
  <c r="AL84" i="17"/>
  <c r="AO84" i="17"/>
  <c r="J85" i="17"/>
  <c r="AI85" i="17"/>
  <c r="AP85" i="17"/>
  <c r="J86" i="17"/>
  <c r="K86" i="17"/>
  <c r="N86" i="17"/>
  <c r="O86" i="17"/>
  <c r="P86" i="17"/>
  <c r="Q86" i="17"/>
  <c r="R86" i="17"/>
  <c r="S86" i="17"/>
  <c r="V86" i="17"/>
  <c r="W86" i="17"/>
  <c r="X86" i="17"/>
  <c r="Y86" i="17"/>
  <c r="Z86" i="17"/>
  <c r="AA86" i="17"/>
  <c r="AD86" i="17"/>
  <c r="AE86" i="17"/>
  <c r="AF86" i="17"/>
  <c r="AG86" i="17"/>
  <c r="AH86" i="17"/>
  <c r="AI86" i="17"/>
  <c r="AL86" i="17"/>
  <c r="AM86" i="17"/>
  <c r="AN86" i="17"/>
  <c r="AO86" i="17"/>
  <c r="AP86" i="17"/>
  <c r="AQ86" i="17"/>
  <c r="J87" i="17"/>
  <c r="AE87" i="17"/>
  <c r="J88" i="17"/>
  <c r="J89" i="17"/>
  <c r="J90" i="17"/>
  <c r="J91" i="17"/>
  <c r="AB91" i="17"/>
  <c r="AC91" i="17"/>
  <c r="AH91" i="17"/>
  <c r="J92" i="17"/>
  <c r="AL93" i="17"/>
  <c r="J93" i="17"/>
  <c r="J94" i="17"/>
  <c r="O94" i="17"/>
  <c r="U94" i="17"/>
  <c r="V94" i="17"/>
  <c r="Y94" i="17"/>
  <c r="AC94" i="17"/>
  <c r="AF94" i="17"/>
  <c r="AN94" i="17"/>
  <c r="AO94" i="17"/>
  <c r="AS94" i="17"/>
  <c r="AR95" i="17"/>
  <c r="J95" i="17"/>
  <c r="AG95" i="17"/>
  <c r="J96" i="17"/>
  <c r="X96" i="17"/>
  <c r="Y96" i="17"/>
  <c r="AJ96" i="17"/>
  <c r="AK96" i="17"/>
  <c r="J97" i="17"/>
  <c r="V97" i="17"/>
  <c r="W97" i="17"/>
  <c r="Z97" i="17"/>
  <c r="AE97" i="17"/>
  <c r="J98" i="17"/>
  <c r="AR98" i="17"/>
  <c r="J99" i="17"/>
  <c r="N99" i="17"/>
  <c r="P99" i="17"/>
  <c r="W99" i="17"/>
  <c r="AG99" i="17"/>
  <c r="W100" i="17"/>
  <c r="J100" i="17"/>
  <c r="J101" i="17"/>
  <c r="V101" i="17"/>
  <c r="Y101" i="17"/>
  <c r="Z101" i="17"/>
  <c r="O102" i="17"/>
  <c r="J102" i="17"/>
  <c r="X103" i="17"/>
  <c r="J103" i="17"/>
  <c r="AB104" i="17"/>
  <c r="J104" i="17"/>
  <c r="AQ104" i="17"/>
  <c r="AR104" i="17"/>
  <c r="J105" i="17"/>
  <c r="AG105" i="17"/>
  <c r="AL105" i="17"/>
  <c r="J106" i="17"/>
  <c r="AG107" i="17"/>
  <c r="J107" i="17"/>
  <c r="L107" i="17"/>
  <c r="J108" i="17"/>
  <c r="P108" i="17"/>
  <c r="Q108" i="17"/>
  <c r="Y108" i="17"/>
  <c r="AE108" i="17"/>
  <c r="AH108" i="17"/>
  <c r="AI108" i="17"/>
  <c r="J109" i="17"/>
  <c r="K109" i="17"/>
  <c r="M109" i="17"/>
  <c r="N109" i="17"/>
  <c r="AC109" i="17"/>
  <c r="AM109" i="17"/>
  <c r="AN109" i="17"/>
  <c r="AL110" i="17"/>
  <c r="J110" i="17"/>
  <c r="J111" i="17"/>
  <c r="K111" i="17"/>
  <c r="L111" i="17"/>
  <c r="R111" i="17"/>
  <c r="S111" i="17"/>
  <c r="Y111" i="17"/>
  <c r="AF111" i="17"/>
  <c r="AG111" i="17"/>
  <c r="AI111" i="17"/>
  <c r="AQ111" i="17"/>
  <c r="AR111" i="17"/>
  <c r="J112" i="17"/>
  <c r="V112" i="17"/>
  <c r="X112" i="17"/>
  <c r="AF112" i="17"/>
  <c r="AI112" i="17"/>
  <c r="AJ112" i="17"/>
  <c r="AM113" i="17"/>
  <c r="J113" i="17"/>
  <c r="N113" i="17"/>
  <c r="W113" i="17"/>
  <c r="Z114" i="17"/>
  <c r="J114" i="17"/>
  <c r="V115" i="17"/>
  <c r="J115" i="17"/>
  <c r="J116" i="17"/>
  <c r="J117" i="17"/>
  <c r="Q117" i="17"/>
  <c r="R117" i="17"/>
  <c r="T117" i="17"/>
  <c r="V117" i="17"/>
  <c r="Z117" i="17"/>
  <c r="AJ117" i="17"/>
  <c r="AM117" i="17"/>
  <c r="AN117" i="17"/>
  <c r="AO117" i="17"/>
  <c r="J118" i="17"/>
  <c r="Q118" i="17"/>
  <c r="AG118" i="17"/>
  <c r="AK118" i="17"/>
  <c r="J119" i="17"/>
  <c r="L119" i="17"/>
  <c r="AR119" i="17"/>
  <c r="J120" i="17"/>
  <c r="J121" i="17"/>
  <c r="N121" i="17"/>
  <c r="Y122" i="17"/>
  <c r="J122" i="17"/>
  <c r="Z122" i="17"/>
  <c r="J123" i="17"/>
  <c r="W123" i="17"/>
  <c r="X123" i="17"/>
  <c r="J124" i="17"/>
  <c r="J125" i="17"/>
  <c r="AO125" i="17"/>
  <c r="J126" i="17"/>
  <c r="J127" i="17"/>
  <c r="AA127" i="17"/>
  <c r="J128" i="17"/>
  <c r="K128" i="17"/>
  <c r="L128" i="17"/>
  <c r="M128" i="17"/>
  <c r="N128" i="17"/>
  <c r="O128" i="17"/>
  <c r="Q128" i="17"/>
  <c r="S128" i="17"/>
  <c r="T128" i="17"/>
  <c r="U128" i="17"/>
  <c r="V128" i="17"/>
  <c r="W128" i="17"/>
  <c r="X128" i="17"/>
  <c r="AA128" i="17"/>
  <c r="AB128" i="17"/>
  <c r="AC128" i="17"/>
  <c r="AD128" i="17"/>
  <c r="AE128" i="17"/>
  <c r="AF128" i="17"/>
  <c r="AG128" i="17"/>
  <c r="AJ128" i="17"/>
  <c r="AK128" i="17"/>
  <c r="AL128" i="17"/>
  <c r="AM128" i="17"/>
  <c r="AN128" i="17"/>
  <c r="AO128" i="17"/>
  <c r="AQ128" i="17"/>
  <c r="AS128" i="17"/>
  <c r="J129" i="17"/>
  <c r="AP130" i="17"/>
  <c r="J130" i="17"/>
  <c r="J131" i="17"/>
  <c r="L131" i="17"/>
  <c r="O131" i="17"/>
  <c r="T131" i="17"/>
  <c r="W131" i="17"/>
  <c r="X131" i="17"/>
  <c r="Y131" i="17"/>
  <c r="AB131" i="17"/>
  <c r="AJ131" i="17"/>
  <c r="AL131" i="17"/>
  <c r="AN131" i="17"/>
  <c r="AR131" i="17"/>
  <c r="AS131" i="17"/>
  <c r="J132" i="17"/>
  <c r="AQ132" i="17"/>
  <c r="J133" i="17"/>
  <c r="M133" i="17"/>
  <c r="N133" i="17"/>
  <c r="R133" i="17"/>
  <c r="T133" i="17"/>
  <c r="U133" i="17"/>
  <c r="V133" i="17"/>
  <c r="W133" i="17"/>
  <c r="AA133" i="17"/>
  <c r="AB133" i="17"/>
  <c r="AC133" i="17"/>
  <c r="AD133" i="17"/>
  <c r="AE133" i="17"/>
  <c r="AI133" i="17"/>
  <c r="AJ133" i="17"/>
  <c r="AK133" i="17"/>
  <c r="AL133" i="17"/>
  <c r="AM133" i="17"/>
  <c r="AQ133" i="17"/>
  <c r="AR133" i="17"/>
  <c r="AS133" i="17"/>
  <c r="J134" i="17"/>
  <c r="U135" i="17"/>
  <c r="J135" i="17"/>
  <c r="K135" i="17"/>
  <c r="P135" i="17"/>
  <c r="Q135" i="17"/>
  <c r="S135" i="17"/>
  <c r="T135" i="17"/>
  <c r="X135" i="17"/>
  <c r="Z135" i="17"/>
  <c r="AC135" i="17"/>
  <c r="AF135" i="17"/>
  <c r="AG135" i="17"/>
  <c r="AH135" i="17"/>
  <c r="AI135" i="17"/>
  <c r="AO135" i="17"/>
  <c r="AQ135" i="17"/>
  <c r="AR135" i="17"/>
  <c r="AS135" i="17"/>
  <c r="J136" i="17"/>
  <c r="K136" i="17"/>
  <c r="U136" i="17"/>
  <c r="V136" i="17"/>
  <c r="X136" i="17"/>
  <c r="AE136" i="17"/>
  <c r="AO136" i="17"/>
  <c r="AQ136" i="17"/>
  <c r="AS136" i="17"/>
  <c r="J137" i="17"/>
  <c r="Q137" i="17"/>
  <c r="Z137" i="17"/>
  <c r="AH137" i="17"/>
  <c r="AL137" i="17"/>
  <c r="AN137" i="17"/>
  <c r="J138" i="17"/>
  <c r="K138" i="17"/>
  <c r="S138" i="17"/>
  <c r="U138" i="17"/>
  <c r="Y138" i="17"/>
  <c r="AG138" i="17"/>
  <c r="AH138" i="17"/>
  <c r="AI138" i="17"/>
  <c r="AJ138" i="17"/>
  <c r="AO138" i="17"/>
  <c r="AL139" i="17"/>
  <c r="J139" i="17"/>
  <c r="N139" i="17"/>
  <c r="J140" i="17"/>
  <c r="O140" i="17"/>
  <c r="R140" i="17"/>
  <c r="S140" i="17"/>
  <c r="W140" i="17"/>
  <c r="X140" i="17"/>
  <c r="Y140" i="17"/>
  <c r="AB140" i="17"/>
  <c r="AG140" i="17"/>
  <c r="AI140" i="17"/>
  <c r="AN140" i="17"/>
  <c r="AO140" i="17"/>
  <c r="AP140" i="17"/>
  <c r="AQ140" i="17"/>
  <c r="J141" i="17"/>
  <c r="W141" i="17"/>
  <c r="AC141" i="17"/>
  <c r="AS141" i="17"/>
  <c r="V142" i="17"/>
  <c r="J142" i="17"/>
  <c r="AP142" i="17"/>
  <c r="J143" i="17"/>
  <c r="P143" i="17"/>
  <c r="X143" i="17"/>
  <c r="Y143" i="17"/>
  <c r="Z143" i="17"/>
  <c r="AA143" i="17"/>
  <c r="AN143" i="17"/>
  <c r="AO143" i="17"/>
  <c r="AR143" i="17"/>
  <c r="AS143" i="17"/>
  <c r="P144" i="17"/>
  <c r="J144" i="17"/>
  <c r="AM144" i="17"/>
  <c r="J145" i="17"/>
  <c r="K145" i="17"/>
  <c r="P145" i="17"/>
  <c r="Q145" i="17"/>
  <c r="R145" i="17"/>
  <c r="V145" i="17"/>
  <c r="AA145" i="17"/>
  <c r="AD145" i="17"/>
  <c r="AE145" i="17"/>
  <c r="AF145" i="17"/>
  <c r="AG145" i="17"/>
  <c r="AM145" i="17"/>
  <c r="AO145" i="17"/>
  <c r="AQ145" i="17"/>
  <c r="J146" i="17"/>
  <c r="Q146" i="17"/>
  <c r="R146" i="17"/>
  <c r="U146" i="17"/>
  <c r="AL146" i="17"/>
  <c r="AO146" i="17"/>
  <c r="AP146" i="17"/>
  <c r="AQ146" i="17"/>
  <c r="AC147" i="17"/>
  <c r="J147" i="17"/>
  <c r="O147" i="17"/>
  <c r="P147" i="17"/>
  <c r="Q147" i="17"/>
  <c r="V147" i="17"/>
  <c r="AB147" i="17"/>
  <c r="AD147" i="17"/>
  <c r="AL147" i="17"/>
  <c r="AM147" i="17"/>
  <c r="AN147" i="17"/>
  <c r="AR147" i="17"/>
  <c r="J148" i="17"/>
  <c r="X148" i="17"/>
  <c r="P149" i="17"/>
  <c r="J149" i="17"/>
  <c r="K149" i="17"/>
  <c r="L149" i="17"/>
  <c r="M149" i="17"/>
  <c r="O149" i="17"/>
  <c r="R149" i="17"/>
  <c r="S149" i="17"/>
  <c r="T149" i="17"/>
  <c r="U149" i="17"/>
  <c r="W149" i="17"/>
  <c r="X149" i="17"/>
  <c r="AA149" i="17"/>
  <c r="AB149" i="17"/>
  <c r="AC149" i="17"/>
  <c r="AE149" i="17"/>
  <c r="AF149" i="17"/>
  <c r="AG149" i="17"/>
  <c r="AJ149" i="17"/>
  <c r="AK149" i="17"/>
  <c r="AM149" i="17"/>
  <c r="AN149" i="17"/>
  <c r="AO149" i="17"/>
  <c r="AP149" i="17"/>
  <c r="AS149" i="17"/>
  <c r="J150" i="17"/>
  <c r="M150" i="17"/>
  <c r="U150" i="17"/>
  <c r="AL150" i="17"/>
  <c r="J151" i="17"/>
  <c r="R151" i="17"/>
  <c r="AB151" i="17"/>
  <c r="J152" i="17"/>
  <c r="P152" i="17"/>
  <c r="AM152" i="17"/>
  <c r="AH153" i="17"/>
  <c r="J153" i="17"/>
  <c r="K153" i="17"/>
  <c r="S153" i="17"/>
  <c r="V153" i="17"/>
  <c r="W153" i="17"/>
  <c r="X153" i="17"/>
  <c r="AG153" i="17"/>
  <c r="AI153" i="17"/>
  <c r="AN153" i="17"/>
  <c r="AO153" i="17"/>
  <c r="J154" i="17"/>
  <c r="T154" i="17"/>
  <c r="AL155" i="17"/>
  <c r="J155" i="17"/>
  <c r="L155" i="17"/>
  <c r="U155" i="17"/>
  <c r="V155" i="17"/>
  <c r="W155" i="17"/>
  <c r="Z155" i="17"/>
  <c r="AK155" i="17"/>
  <c r="AM155" i="17"/>
  <c r="AN155" i="17"/>
  <c r="J156" i="17"/>
  <c r="W156" i="17"/>
  <c r="J157" i="17"/>
  <c r="X157" i="17"/>
  <c r="Y157" i="17"/>
  <c r="AH157" i="17"/>
  <c r="AK157" i="17"/>
  <c r="Z158" i="17"/>
  <c r="J158" i="17"/>
  <c r="M158" i="17"/>
  <c r="AC158" i="17"/>
  <c r="AI158" i="17"/>
  <c r="AM158" i="17"/>
  <c r="J159" i="17"/>
  <c r="J160" i="17"/>
  <c r="S160" i="17"/>
  <c r="AH160" i="17"/>
  <c r="T161" i="17"/>
  <c r="J161" i="17"/>
  <c r="R161" i="17"/>
  <c r="AG161" i="17"/>
  <c r="AM161" i="17"/>
  <c r="AN161" i="17"/>
  <c r="AL162" i="17"/>
  <c r="J162" i="17"/>
  <c r="R162" i="17"/>
  <c r="S162" i="17"/>
  <c r="V162" i="17"/>
  <c r="Z162" i="17"/>
  <c r="AA162" i="17"/>
  <c r="AN162" i="17"/>
  <c r="AO162" i="17"/>
  <c r="AP162" i="17"/>
  <c r="K163" i="17"/>
  <c r="J163" i="17"/>
  <c r="M163" i="17"/>
  <c r="T163" i="17"/>
  <c r="U163" i="17"/>
  <c r="V163" i="17"/>
  <c r="AH163" i="17"/>
  <c r="AK163" i="17"/>
  <c r="AO163" i="17"/>
  <c r="AP163" i="17"/>
  <c r="J164" i="17"/>
  <c r="J165" i="17"/>
  <c r="K165" i="17"/>
  <c r="S165" i="17"/>
  <c r="T165" i="17"/>
  <c r="W165" i="17"/>
  <c r="Y165" i="17"/>
  <c r="AG165" i="17"/>
  <c r="AH165" i="17"/>
  <c r="AI165" i="17"/>
  <c r="AJ165" i="17"/>
  <c r="AO165" i="17"/>
  <c r="J166" i="17"/>
  <c r="N166" i="17"/>
  <c r="U166" i="17"/>
  <c r="V166" i="17"/>
  <c r="AJ166" i="17"/>
  <c r="AK166" i="17"/>
  <c r="AR166" i="17"/>
  <c r="AS166" i="17"/>
  <c r="J167" i="17"/>
  <c r="U167" i="17"/>
  <c r="AM167" i="17"/>
  <c r="AN167" i="17"/>
  <c r="AO167" i="17"/>
  <c r="J168" i="17"/>
  <c r="U168" i="17"/>
  <c r="AJ169" i="17"/>
  <c r="J169" i="17"/>
  <c r="K169" i="17"/>
  <c r="J170" i="17"/>
  <c r="AI171" i="17"/>
  <c r="J171" i="17"/>
  <c r="M171" i="17"/>
  <c r="Z171" i="17"/>
  <c r="AB171" i="17"/>
  <c r="AC171" i="17"/>
  <c r="M172" i="17"/>
  <c r="J172" i="17"/>
  <c r="AE172" i="17"/>
  <c r="AF172" i="17"/>
  <c r="J173" i="17"/>
  <c r="AE173" i="17"/>
  <c r="J174" i="17"/>
  <c r="T174" i="17"/>
  <c r="J175" i="17"/>
  <c r="Q175" i="17"/>
  <c r="R175" i="17"/>
  <c r="AC175" i="17"/>
  <c r="AE175" i="17"/>
  <c r="AH176" i="17"/>
  <c r="J176" i="17"/>
  <c r="P176" i="17"/>
  <c r="Q176" i="17"/>
  <c r="T176" i="17"/>
  <c r="U176" i="17"/>
  <c r="X176" i="17"/>
  <c r="AG176" i="17"/>
  <c r="AJ176" i="17"/>
  <c r="AK176" i="17"/>
  <c r="AN176" i="17"/>
  <c r="AO176" i="17"/>
  <c r="K177" i="17"/>
  <c r="J177" i="17"/>
  <c r="L177" i="17"/>
  <c r="M177" i="17"/>
  <c r="R177" i="17"/>
  <c r="S177" i="17"/>
  <c r="T177" i="17"/>
  <c r="V177" i="17"/>
  <c r="AB177" i="17"/>
  <c r="AC177" i="17"/>
  <c r="AD177" i="17"/>
  <c r="AE177" i="17"/>
  <c r="AJ177" i="17"/>
  <c r="AK177" i="17"/>
  <c r="AO177" i="17"/>
  <c r="AS177" i="17"/>
  <c r="J178" i="17"/>
  <c r="AE178" i="17"/>
  <c r="AP178" i="17"/>
  <c r="J179" i="17"/>
  <c r="AO179" i="17"/>
  <c r="J180" i="17"/>
  <c r="J181" i="17"/>
  <c r="P181" i="17"/>
  <c r="P182" i="17"/>
  <c r="J182" i="17"/>
  <c r="K182" i="17"/>
  <c r="L182" i="17"/>
  <c r="M182" i="17"/>
  <c r="N182" i="17"/>
  <c r="O182" i="17"/>
  <c r="Q182" i="17"/>
  <c r="R182" i="17"/>
  <c r="S182" i="17"/>
  <c r="T182" i="17"/>
  <c r="U182" i="17"/>
  <c r="V182" i="17"/>
  <c r="W182" i="17"/>
  <c r="Y182" i="17"/>
  <c r="Z182" i="17"/>
  <c r="AA182" i="17"/>
  <c r="AB182" i="17"/>
  <c r="AC182" i="17"/>
  <c r="AD182" i="17"/>
  <c r="AE182" i="17"/>
  <c r="AG182" i="17"/>
  <c r="AH182" i="17"/>
  <c r="AI182" i="17"/>
  <c r="AJ182" i="17"/>
  <c r="AK182" i="17"/>
  <c r="AL182" i="17"/>
  <c r="AM182" i="17"/>
  <c r="AO182" i="17"/>
  <c r="AP182" i="17"/>
  <c r="AQ182" i="17"/>
  <c r="AR182" i="17"/>
  <c r="AS182" i="17"/>
  <c r="AF183" i="17"/>
  <c r="J183" i="17"/>
  <c r="O183" i="17"/>
  <c r="R183" i="17"/>
  <c r="U183" i="17"/>
  <c r="V183" i="17"/>
  <c r="W183" i="17"/>
  <c r="AH183" i="17"/>
  <c r="AK183" i="17"/>
  <c r="AS183" i="17"/>
  <c r="P184" i="17"/>
  <c r="J184" i="17"/>
  <c r="J185" i="17"/>
  <c r="AC185" i="17"/>
  <c r="AO185" i="17"/>
  <c r="J186" i="17"/>
  <c r="O186" i="17"/>
  <c r="Y186" i="17"/>
  <c r="Z186" i="17"/>
  <c r="AI186" i="17"/>
  <c r="J187" i="17"/>
  <c r="K187" i="17"/>
  <c r="L187" i="17"/>
  <c r="M187" i="17"/>
  <c r="U187" i="17"/>
  <c r="Y187" i="17"/>
  <c r="AB187" i="17"/>
  <c r="AC187" i="17"/>
  <c r="AD187" i="17"/>
  <c r="AG187" i="17"/>
  <c r="AP187" i="17"/>
  <c r="AQ187" i="17"/>
  <c r="AR187" i="17"/>
  <c r="AS187" i="17"/>
  <c r="J188" i="17"/>
  <c r="J189" i="17"/>
  <c r="J190" i="17"/>
  <c r="W190" i="17"/>
  <c r="AM190" i="17"/>
  <c r="AR190" i="17"/>
  <c r="U191" i="17"/>
  <c r="J191" i="17"/>
  <c r="M191" i="17"/>
  <c r="N191" i="17"/>
  <c r="O191" i="17"/>
  <c r="P191" i="17"/>
  <c r="Q191" i="17"/>
  <c r="V191" i="17"/>
  <c r="W191" i="17"/>
  <c r="X191" i="17"/>
  <c r="Y191" i="17"/>
  <c r="Z191" i="17"/>
  <c r="AC191" i="17"/>
  <c r="AE191" i="17"/>
  <c r="AG191" i="17"/>
  <c r="AH191" i="17"/>
  <c r="AK191" i="17"/>
  <c r="AL191" i="17"/>
  <c r="AM191" i="17"/>
  <c r="AO191" i="17"/>
  <c r="AP191" i="17"/>
  <c r="X192" i="17"/>
  <c r="J192" i="17"/>
  <c r="K192" i="17"/>
  <c r="L192" i="17"/>
  <c r="Q192" i="17"/>
  <c r="AB192" i="17"/>
  <c r="AC192" i="17"/>
  <c r="AN192" i="17"/>
  <c r="AO192" i="17"/>
  <c r="Z193" i="17"/>
  <c r="J193" i="17"/>
  <c r="L193" i="17"/>
  <c r="M193" i="17"/>
  <c r="N193" i="17"/>
  <c r="AI193" i="17"/>
  <c r="AP193" i="17"/>
  <c r="AI194" i="17"/>
  <c r="J194" i="17"/>
  <c r="J195" i="17"/>
  <c r="V195" i="17"/>
  <c r="Y195" i="17"/>
  <c r="Z195" i="17"/>
  <c r="AA195" i="17"/>
  <c r="AH195" i="17"/>
  <c r="J196" i="17"/>
  <c r="N196" i="17"/>
  <c r="AL196" i="17"/>
  <c r="W197" i="17"/>
  <c r="J197" i="17"/>
  <c r="O197" i="17"/>
  <c r="AH197" i="17"/>
  <c r="AJ197" i="17"/>
  <c r="AP197" i="17"/>
  <c r="J198" i="17"/>
  <c r="M198" i="17"/>
  <c r="R198" i="17"/>
  <c r="S198" i="17"/>
  <c r="T198" i="17"/>
  <c r="Y198" i="17"/>
  <c r="AC198" i="17"/>
  <c r="AE198" i="17"/>
  <c r="AH198" i="17"/>
  <c r="AI198" i="17"/>
  <c r="AJ198" i="17"/>
  <c r="AP198" i="17"/>
  <c r="AS198" i="17"/>
  <c r="AE199" i="17"/>
  <c r="J199" i="17"/>
  <c r="M200" i="17"/>
  <c r="J200" i="17"/>
  <c r="L200" i="17"/>
  <c r="X200" i="17"/>
  <c r="AA200" i="17"/>
  <c r="AG200" i="17"/>
  <c r="J201" i="17"/>
  <c r="AE201" i="17"/>
  <c r="AI201" i="17"/>
  <c r="AJ201" i="17"/>
  <c r="J202" i="17"/>
  <c r="J203" i="17"/>
  <c r="K203" i="17"/>
  <c r="AI203" i="17"/>
  <c r="AJ203" i="17"/>
  <c r="J204" i="17"/>
  <c r="U204" i="17"/>
  <c r="X204" i="17"/>
  <c r="AD204" i="17"/>
  <c r="AG204" i="17"/>
  <c r="J205" i="17"/>
  <c r="Q205" i="17"/>
  <c r="R205" i="17"/>
  <c r="AB205" i="17"/>
  <c r="AI205" i="17"/>
  <c r="AQ205" i="17"/>
  <c r="J206" i="17"/>
  <c r="K206" i="17"/>
  <c r="X206" i="17"/>
  <c r="AA206" i="17"/>
  <c r="AJ206" i="17"/>
  <c r="AL206" i="17"/>
  <c r="AM206" i="17"/>
  <c r="M207" i="17"/>
  <c r="J207" i="17"/>
  <c r="AE207" i="17"/>
  <c r="J208" i="17"/>
  <c r="K208" i="17"/>
  <c r="J209" i="17"/>
  <c r="J210" i="17"/>
  <c r="Q210" i="17"/>
  <c r="AO211" i="17"/>
  <c r="J211" i="17"/>
  <c r="AD211" i="17"/>
  <c r="AJ212" i="17"/>
  <c r="J212" i="17"/>
  <c r="R212" i="17"/>
  <c r="S212" i="17"/>
  <c r="T212" i="17"/>
  <c r="U212" i="17"/>
  <c r="Y212" i="17"/>
  <c r="AI212" i="17"/>
  <c r="AK212" i="17"/>
  <c r="AP212" i="17"/>
  <c r="J213" i="17"/>
  <c r="K213" i="17"/>
  <c r="N213" i="17"/>
  <c r="P213" i="17"/>
  <c r="R213" i="17"/>
  <c r="S213" i="17"/>
  <c r="T213" i="17"/>
  <c r="X213" i="17"/>
  <c r="Y213" i="17"/>
  <c r="Z213" i="17"/>
  <c r="AA213" i="17"/>
  <c r="AC213" i="17"/>
  <c r="AG213" i="17"/>
  <c r="AH213" i="17"/>
  <c r="AI213" i="17"/>
  <c r="AJ213" i="17"/>
  <c r="AK213" i="17"/>
  <c r="AL213" i="17"/>
  <c r="AQ213" i="17"/>
  <c r="AR213" i="17"/>
  <c r="AS213" i="17"/>
  <c r="S214" i="17"/>
  <c r="J214" i="17"/>
  <c r="V214" i="17"/>
  <c r="X214" i="17"/>
  <c r="AF214" i="17"/>
  <c r="AH214" i="17"/>
  <c r="AP214" i="17"/>
  <c r="J215" i="17"/>
  <c r="AB215" i="17"/>
  <c r="AC215" i="17"/>
  <c r="AJ215" i="17"/>
  <c r="AK215" i="17"/>
  <c r="M216" i="17"/>
  <c r="J216" i="17"/>
  <c r="L216" i="17"/>
  <c r="W216" i="17"/>
  <c r="AC216" i="17"/>
  <c r="AD216" i="17"/>
  <c r="AE216" i="17"/>
  <c r="AR216" i="17"/>
  <c r="AS216" i="17"/>
  <c r="K217" i="17"/>
  <c r="J217" i="17"/>
  <c r="L217" i="17"/>
  <c r="O217" i="17"/>
  <c r="P217" i="17"/>
  <c r="Q217" i="17"/>
  <c r="R217" i="17"/>
  <c r="T217" i="17"/>
  <c r="Y217" i="17"/>
  <c r="Z217" i="17"/>
  <c r="AA217" i="17"/>
  <c r="AB217" i="17"/>
  <c r="AE217" i="17"/>
  <c r="AH217" i="17"/>
  <c r="AJ217" i="17"/>
  <c r="AM217" i="17"/>
  <c r="AN217" i="17"/>
  <c r="AO217" i="17"/>
  <c r="AP217" i="17"/>
  <c r="P218" i="17"/>
  <c r="J218" i="17"/>
  <c r="K218" i="17"/>
  <c r="L218" i="17"/>
  <c r="M218" i="17"/>
  <c r="N218" i="17"/>
  <c r="O218" i="17"/>
  <c r="R218" i="17"/>
  <c r="T218" i="17"/>
  <c r="U218" i="17"/>
  <c r="V218" i="17"/>
  <c r="W218" i="17"/>
  <c r="Y218" i="17"/>
  <c r="AA218" i="17"/>
  <c r="AC218" i="17"/>
  <c r="AD218" i="17"/>
  <c r="AE218" i="17"/>
  <c r="AG218" i="17"/>
  <c r="AH218" i="17"/>
  <c r="AJ218" i="17"/>
  <c r="AL218" i="17"/>
  <c r="AM218" i="17"/>
  <c r="AO218" i="17"/>
  <c r="AP218" i="17"/>
  <c r="AQ218" i="17"/>
  <c r="AS218" i="17"/>
  <c r="AC219" i="17"/>
  <c r="J219" i="17"/>
  <c r="P219" i="17"/>
  <c r="Q219" i="17"/>
  <c r="AK219" i="17"/>
  <c r="AS219" i="17"/>
  <c r="S220" i="17"/>
  <c r="J220" i="17"/>
  <c r="K220" i="17"/>
  <c r="P220" i="17"/>
  <c r="Y220" i="17"/>
  <c r="Z220" i="17"/>
  <c r="AA220" i="17"/>
  <c r="AB220" i="17"/>
  <c r="AK220" i="17"/>
  <c r="AM220" i="17"/>
  <c r="AQ220" i="17"/>
  <c r="AR220" i="17"/>
  <c r="AF221" i="17"/>
  <c r="J221" i="17"/>
  <c r="L221" i="17"/>
  <c r="N221" i="17"/>
  <c r="S221" i="17"/>
  <c r="V221" i="17"/>
  <c r="W221" i="17"/>
  <c r="Y221" i="17"/>
  <c r="AG221" i="17"/>
  <c r="AH221" i="17"/>
  <c r="AI221" i="17"/>
  <c r="AJ221" i="17"/>
  <c r="AQ221" i="17"/>
  <c r="AM222" i="17"/>
  <c r="J222" i="17"/>
  <c r="W222" i="17"/>
  <c r="J223" i="17"/>
  <c r="AC223" i="17"/>
  <c r="AK224" i="17"/>
  <c r="J224" i="17"/>
  <c r="J225" i="17"/>
  <c r="J226" i="17"/>
  <c r="AI226" i="17"/>
  <c r="J227" i="17"/>
  <c r="J228" i="17"/>
  <c r="Z228" i="17"/>
  <c r="T229" i="17"/>
  <c r="J229" i="17"/>
  <c r="AB229" i="17"/>
  <c r="AC229" i="17"/>
  <c r="AO229" i="17"/>
  <c r="AP229" i="17"/>
  <c r="J230" i="17"/>
  <c r="K230" i="17"/>
  <c r="M230" i="17"/>
  <c r="AA230" i="17"/>
  <c r="AN230" i="17"/>
  <c r="AS230" i="17"/>
  <c r="L231" i="17"/>
  <c r="J231" i="17"/>
  <c r="U231" i="17"/>
  <c r="AK231" i="17"/>
  <c r="J232" i="17"/>
  <c r="K232" i="17"/>
  <c r="O232" i="17"/>
  <c r="AR232" i="17"/>
  <c r="J233" i="17"/>
  <c r="O233" i="17"/>
  <c r="P233" i="17"/>
  <c r="AA233" i="17"/>
  <c r="AB233" i="17"/>
  <c r="AI233" i="17"/>
  <c r="AL233" i="17"/>
  <c r="AQ233" i="17"/>
  <c r="J234" i="17"/>
  <c r="J235" i="17"/>
  <c r="O235" i="17"/>
  <c r="AH235" i="17"/>
  <c r="AK235" i="17"/>
  <c r="J236" i="17"/>
  <c r="X236" i="17"/>
  <c r="AJ236" i="17"/>
  <c r="J237" i="17"/>
  <c r="W237" i="17"/>
  <c r="J238" i="17"/>
  <c r="AD238" i="17"/>
  <c r="AL239" i="17"/>
  <c r="J239" i="17"/>
  <c r="Z239" i="17"/>
  <c r="W240" i="17"/>
  <c r="J240" i="17"/>
  <c r="N240" i="17"/>
  <c r="O240" i="17"/>
  <c r="P240" i="17"/>
  <c r="Y240" i="17"/>
  <c r="AA240" i="17"/>
  <c r="AB240" i="17"/>
  <c r="AF240" i="17"/>
  <c r="AO240" i="17"/>
  <c r="AP240" i="17"/>
  <c r="AQ240" i="17"/>
  <c r="AR240" i="17"/>
  <c r="AD241" i="17"/>
  <c r="J241" i="17"/>
  <c r="P241" i="17"/>
  <c r="Q241" i="17"/>
  <c r="T241" i="17"/>
  <c r="AF241" i="17"/>
  <c r="AG241" i="17"/>
  <c r="AJ241" i="17"/>
  <c r="AK241" i="17"/>
  <c r="AR241" i="17"/>
  <c r="AO242" i="17"/>
  <c r="J242" i="17"/>
  <c r="K242" i="17"/>
  <c r="W242" i="17"/>
  <c r="X242" i="17"/>
  <c r="Y242" i="17"/>
  <c r="AA242" i="17"/>
  <c r="AM242" i="17"/>
  <c r="AP242" i="17"/>
  <c r="T243" i="17"/>
  <c r="J243" i="17"/>
  <c r="O243" i="17"/>
  <c r="P243" i="17"/>
  <c r="AD243" i="17"/>
  <c r="AE243" i="17"/>
  <c r="AF243" i="17"/>
  <c r="AG243" i="17"/>
  <c r="J244" i="17"/>
  <c r="X244" i="17"/>
  <c r="J245" i="17"/>
  <c r="W246" i="17"/>
  <c r="J246" i="17"/>
  <c r="K246" i="17"/>
  <c r="N246" i="17"/>
  <c r="AE246" i="17"/>
  <c r="AL246" i="17"/>
  <c r="AS246" i="17"/>
  <c r="J247" i="17"/>
  <c r="J248" i="17"/>
  <c r="AH248" i="17"/>
  <c r="L249" i="17"/>
  <c r="J249" i="17"/>
  <c r="M249" i="17"/>
  <c r="P249" i="17"/>
  <c r="Q249" i="17"/>
  <c r="R249" i="17"/>
  <c r="U249" i="17"/>
  <c r="V249" i="17"/>
  <c r="X249" i="17"/>
  <c r="AB249" i="17"/>
  <c r="AC249" i="17"/>
  <c r="AD249" i="17"/>
  <c r="AG249" i="17"/>
  <c r="AH249" i="17"/>
  <c r="AK249" i="17"/>
  <c r="AL249" i="17"/>
  <c r="AN249" i="17"/>
  <c r="AP249" i="17"/>
  <c r="AS249" i="17"/>
  <c r="J250" i="17"/>
  <c r="O250" i="17"/>
  <c r="P250" i="17"/>
  <c r="Z250" i="17"/>
  <c r="AA250" i="17"/>
  <c r="AF250" i="17"/>
  <c r="AH250" i="17"/>
  <c r="AQ250" i="17"/>
  <c r="J251" i="17"/>
  <c r="L251" i="17"/>
  <c r="M251" i="17"/>
  <c r="V251" i="17"/>
  <c r="Z251" i="17"/>
  <c r="AB251" i="17"/>
  <c r="AC251" i="17"/>
  <c r="AL251" i="17"/>
  <c r="AM251" i="17"/>
  <c r="AN251" i="17"/>
  <c r="AS251" i="17"/>
  <c r="J252" i="17"/>
  <c r="M252" i="17"/>
  <c r="N252" i="17"/>
  <c r="AG252" i="17"/>
  <c r="AK252" i="17"/>
  <c r="AL252" i="17"/>
  <c r="AM252" i="17"/>
  <c r="J253" i="17"/>
  <c r="X253" i="17"/>
  <c r="Y253" i="17"/>
  <c r="Z253" i="17"/>
  <c r="AH253" i="17"/>
  <c r="AI253" i="17"/>
  <c r="J254" i="17"/>
  <c r="L254" i="17"/>
  <c r="M254" i="17"/>
  <c r="N254" i="17"/>
  <c r="V254" i="17"/>
  <c r="W254" i="17"/>
  <c r="X254" i="17"/>
  <c r="Y254" i="17"/>
  <c r="AA254" i="17"/>
  <c r="AI254" i="17"/>
  <c r="AJ254" i="17"/>
  <c r="AK254" i="17"/>
  <c r="AN254" i="17"/>
  <c r="AO254" i="17"/>
  <c r="AL255" i="17"/>
  <c r="J255" i="17"/>
  <c r="Y256" i="17"/>
  <c r="J256" i="17"/>
  <c r="M256" i="17"/>
  <c r="Q256" i="17"/>
  <c r="AI256" i="17"/>
  <c r="AJ256" i="17"/>
  <c r="AK256" i="17"/>
  <c r="AO256" i="17"/>
  <c r="J257" i="17"/>
  <c r="L257" i="17"/>
  <c r="M257" i="17"/>
  <c r="N257" i="17"/>
  <c r="T257" i="17"/>
  <c r="U257" i="17"/>
  <c r="V257" i="17"/>
  <c r="W257" i="17"/>
  <c r="X257" i="17"/>
  <c r="AD257" i="17"/>
  <c r="AE257" i="17"/>
  <c r="AF257" i="17"/>
  <c r="AG257" i="17"/>
  <c r="AJ257" i="17"/>
  <c r="AN257" i="17"/>
  <c r="AO257" i="17"/>
  <c r="AR257" i="17"/>
  <c r="AS257" i="17"/>
  <c r="J258" i="17"/>
  <c r="R259" i="17"/>
  <c r="J259" i="17"/>
  <c r="K259" i="17"/>
  <c r="U259" i="17"/>
  <c r="Y259" i="17"/>
  <c r="AH259" i="17"/>
  <c r="AI259" i="17"/>
  <c r="AJ259" i="17"/>
  <c r="AS259" i="17"/>
  <c r="J260" i="17"/>
  <c r="M260" i="17"/>
  <c r="V260" i="17"/>
  <c r="W260" i="17"/>
  <c r="AM260" i="17"/>
  <c r="J261" i="17"/>
  <c r="AI261" i="17"/>
  <c r="L262" i="17"/>
  <c r="J262" i="17"/>
  <c r="V262" i="17"/>
  <c r="AL262" i="17"/>
  <c r="J263" i="17"/>
  <c r="N263" i="17"/>
  <c r="O263" i="17"/>
  <c r="Y263" i="17"/>
  <c r="AL263" i="17"/>
  <c r="Z264" i="17"/>
  <c r="J264" i="17"/>
  <c r="K264" i="17"/>
  <c r="L264" i="17"/>
  <c r="AA264" i="17"/>
  <c r="AB264" i="17"/>
  <c r="AJ264" i="17"/>
  <c r="AK264" i="17"/>
  <c r="R265" i="17"/>
  <c r="J265" i="17"/>
  <c r="L265" i="17"/>
  <c r="M265" i="17"/>
  <c r="N265" i="17"/>
  <c r="O265" i="17"/>
  <c r="P265" i="17"/>
  <c r="Q265" i="17"/>
  <c r="T265" i="17"/>
  <c r="U265" i="17"/>
  <c r="V265" i="17"/>
  <c r="W265" i="17"/>
  <c r="X265" i="17"/>
  <c r="Y265" i="17"/>
  <c r="AB265" i="17"/>
  <c r="AC265" i="17"/>
  <c r="AD265" i="17"/>
  <c r="AE265" i="17"/>
  <c r="AF265" i="17"/>
  <c r="AG265" i="17"/>
  <c r="AJ265" i="17"/>
  <c r="AK265" i="17"/>
  <c r="AL265" i="17"/>
  <c r="AM265" i="17"/>
  <c r="AN265" i="17"/>
  <c r="AO265" i="17"/>
  <c r="AR265" i="17"/>
  <c r="AS265" i="17"/>
  <c r="W266" i="17"/>
  <c r="J266" i="17"/>
  <c r="Q267" i="17"/>
  <c r="J267" i="17"/>
  <c r="K267" i="17"/>
  <c r="L267" i="17"/>
  <c r="M267" i="17"/>
  <c r="N267" i="17"/>
  <c r="P267" i="17"/>
  <c r="R267" i="17"/>
  <c r="T267" i="17"/>
  <c r="U267" i="17"/>
  <c r="V267" i="17"/>
  <c r="X267" i="17"/>
  <c r="Y267" i="17"/>
  <c r="AA267" i="17"/>
  <c r="AC267" i="17"/>
  <c r="AD267" i="17"/>
  <c r="AF267" i="17"/>
  <c r="AG267" i="17"/>
  <c r="AH267" i="17"/>
  <c r="AJ267" i="17"/>
  <c r="AL267" i="17"/>
  <c r="AN267" i="17"/>
  <c r="AO267" i="17"/>
  <c r="AP267" i="17"/>
  <c r="AQ267" i="17"/>
  <c r="AR267" i="17"/>
  <c r="AS267" i="17"/>
  <c r="W268" i="17"/>
  <c r="J268" i="17"/>
  <c r="M268" i="17"/>
  <c r="N268" i="17"/>
  <c r="O268" i="17"/>
  <c r="Y268" i="17"/>
  <c r="AC268" i="17"/>
  <c r="AD268" i="17"/>
  <c r="AE268" i="17"/>
  <c r="AG268" i="17"/>
  <c r="AS268" i="17"/>
  <c r="AG269" i="17"/>
  <c r="J269" i="17"/>
  <c r="J270" i="17"/>
  <c r="AG270" i="17"/>
  <c r="J271" i="17"/>
  <c r="X271" i="17"/>
  <c r="Y271" i="17"/>
  <c r="Z271" i="17"/>
  <c r="AF271" i="17"/>
  <c r="AQ271" i="17"/>
  <c r="J272" i="17"/>
  <c r="K272" i="17"/>
  <c r="L272" i="17"/>
  <c r="S272" i="17"/>
  <c r="T272" i="17"/>
  <c r="V272" i="17"/>
  <c r="Y272" i="17"/>
  <c r="AD272" i="17"/>
  <c r="AG272" i="17"/>
  <c r="AH272" i="17"/>
  <c r="AI272" i="17"/>
  <c r="AJ272" i="17"/>
  <c r="AR272" i="17"/>
  <c r="AS272" i="17"/>
  <c r="J273" i="17"/>
  <c r="AE273" i="17"/>
  <c r="AO273" i="17"/>
  <c r="S274" i="17"/>
  <c r="J274" i="17"/>
  <c r="AP274" i="17"/>
  <c r="X275" i="17"/>
  <c r="J275" i="17"/>
  <c r="K275" i="17"/>
  <c r="O275" i="17"/>
  <c r="P275" i="17"/>
  <c r="Q275" i="17"/>
  <c r="R275" i="17"/>
  <c r="W275" i="17"/>
  <c r="Y275" i="17"/>
  <c r="Z275" i="17"/>
  <c r="AA275" i="17"/>
  <c r="AE275" i="17"/>
  <c r="AF275" i="17"/>
  <c r="AH275" i="17"/>
  <c r="AM275" i="17"/>
  <c r="AN275" i="17"/>
  <c r="AO275" i="17"/>
  <c r="AP275" i="17"/>
  <c r="AQ275" i="17"/>
  <c r="W276" i="17"/>
  <c r="J276" i="17"/>
  <c r="N276" i="17"/>
  <c r="S276" i="17"/>
  <c r="U276" i="17"/>
  <c r="V276" i="17"/>
  <c r="AA276" i="17"/>
  <c r="AC276" i="17"/>
  <c r="AF276" i="17"/>
  <c r="AK276" i="17"/>
  <c r="AL276" i="17"/>
  <c r="AM276" i="17"/>
  <c r="AN276" i="17"/>
  <c r="AO276" i="17"/>
  <c r="T277" i="17"/>
  <c r="J277" i="17"/>
  <c r="K277" i="17"/>
  <c r="L277" i="17"/>
  <c r="M277" i="17"/>
  <c r="R277" i="17"/>
  <c r="S277" i="17"/>
  <c r="U277" i="17"/>
  <c r="V277" i="17"/>
  <c r="AA277" i="17"/>
  <c r="AB277" i="17"/>
  <c r="AC277" i="17"/>
  <c r="AD277" i="17"/>
  <c r="AF277" i="17"/>
  <c r="AK277" i="17"/>
  <c r="AL277" i="17"/>
  <c r="AN277" i="17"/>
  <c r="AO277" i="17"/>
  <c r="AS277" i="17"/>
  <c r="J278" i="17"/>
  <c r="J279" i="17"/>
  <c r="R279" i="17"/>
  <c r="S279" i="17"/>
  <c r="T279" i="17"/>
  <c r="AM279" i="17"/>
  <c r="AA280" i="17"/>
  <c r="J280" i="17"/>
  <c r="K280" i="17"/>
  <c r="S280" i="17"/>
  <c r="AJ280" i="17"/>
  <c r="AQ280" i="17"/>
  <c r="AM281" i="17"/>
  <c r="J281" i="17"/>
  <c r="J282" i="17"/>
  <c r="R282" i="17"/>
  <c r="Y282" i="17"/>
  <c r="AR283" i="17"/>
  <c r="J283" i="17"/>
  <c r="K283" i="17"/>
  <c r="AG283" i="17"/>
  <c r="AH283" i="17"/>
  <c r="AN284" i="17"/>
  <c r="J284" i="17"/>
  <c r="L284" i="17"/>
  <c r="J285" i="17"/>
  <c r="AP285" i="17"/>
  <c r="AQ285" i="17"/>
  <c r="J286" i="17"/>
  <c r="J287" i="17"/>
  <c r="Q287" i="17"/>
  <c r="AG287" i="17"/>
  <c r="AO287" i="17"/>
  <c r="AJ288" i="17"/>
  <c r="J288" i="17"/>
  <c r="AH289" i="17"/>
  <c r="J289" i="17"/>
  <c r="M289" i="17"/>
  <c r="X289" i="17"/>
  <c r="AE289" i="17"/>
  <c r="J290" i="17"/>
  <c r="Q290" i="17"/>
  <c r="R290" i="17"/>
  <c r="Y290" i="17"/>
  <c r="J291" i="17"/>
  <c r="K291" i="17"/>
  <c r="M291" i="17"/>
  <c r="R291" i="17"/>
  <c r="Z291" i="17"/>
  <c r="AA291" i="17"/>
  <c r="AC291" i="17"/>
  <c r="AG291" i="17"/>
  <c r="AH291" i="17"/>
  <c r="AO291" i="17"/>
  <c r="AQ291" i="17"/>
  <c r="AR291" i="17"/>
  <c r="AS291" i="17"/>
  <c r="J292" i="17"/>
  <c r="J293" i="17"/>
  <c r="K293" i="17"/>
  <c r="Z293" i="17"/>
  <c r="AA293" i="17"/>
  <c r="AG293" i="17"/>
  <c r="AI293" i="17"/>
  <c r="J294" i="17"/>
  <c r="L294" i="17"/>
  <c r="S294" i="17"/>
  <c r="U294" i="17"/>
  <c r="AG294" i="17"/>
  <c r="AP294" i="17"/>
  <c r="AQ294" i="17"/>
  <c r="R295" i="17"/>
  <c r="J295" i="17"/>
  <c r="Q295" i="17"/>
  <c r="Y295" i="17"/>
  <c r="AG295" i="17"/>
  <c r="K296" i="17"/>
  <c r="J296" i="17"/>
  <c r="R296" i="17"/>
  <c r="S296" i="17"/>
  <c r="T296" i="17"/>
  <c r="Y296" i="17"/>
  <c r="Z296" i="17"/>
  <c r="AB296" i="17"/>
  <c r="AJ296" i="17"/>
  <c r="AO296" i="17"/>
  <c r="AP296" i="17"/>
  <c r="AQ296" i="17"/>
  <c r="AR296" i="17"/>
  <c r="J297" i="17"/>
  <c r="K297" i="17"/>
  <c r="L297" i="17"/>
  <c r="M297" i="17"/>
  <c r="N297" i="17"/>
  <c r="O297" i="17"/>
  <c r="P297" i="17"/>
  <c r="Q297" i="17"/>
  <c r="R297" i="17"/>
  <c r="S297" i="17"/>
  <c r="T297" i="17"/>
  <c r="U297" i="17"/>
  <c r="V297" i="17"/>
  <c r="W297" i="17"/>
  <c r="X297" i="17"/>
  <c r="Y297" i="17"/>
  <c r="Z297" i="17"/>
  <c r="AA297" i="17"/>
  <c r="AB297" i="17"/>
  <c r="AC297" i="17"/>
  <c r="AD297" i="17"/>
  <c r="AE297" i="17"/>
  <c r="AF297" i="17"/>
  <c r="AG297" i="17"/>
  <c r="AH297" i="17"/>
  <c r="AI297" i="17"/>
  <c r="AJ297" i="17"/>
  <c r="AK297" i="17"/>
  <c r="AL297" i="17"/>
  <c r="AM297" i="17"/>
  <c r="AN297" i="17"/>
  <c r="AO297" i="17"/>
  <c r="AP297" i="17"/>
  <c r="AQ297" i="17"/>
  <c r="AR297" i="17"/>
  <c r="AS297" i="17"/>
  <c r="Y298" i="17"/>
  <c r="J298" i="17"/>
  <c r="AP298" i="17"/>
  <c r="J299" i="17"/>
  <c r="P300" i="17"/>
  <c r="J300" i="17"/>
  <c r="M300" i="17"/>
  <c r="N300" i="17"/>
  <c r="W300" i="17"/>
  <c r="X300" i="17"/>
  <c r="AJ300" i="17"/>
  <c r="AK300" i="17"/>
  <c r="AL300" i="17"/>
  <c r="AI301" i="17"/>
  <c r="J301" i="17"/>
  <c r="K301" i="17"/>
  <c r="R301" i="17"/>
  <c r="P302" i="17"/>
  <c r="J302" i="17"/>
  <c r="K302" i="17"/>
  <c r="L302" i="17"/>
  <c r="M302" i="17"/>
  <c r="R302" i="17"/>
  <c r="S302" i="17"/>
  <c r="T302" i="17"/>
  <c r="U302" i="17"/>
  <c r="V302" i="17"/>
  <c r="AA302" i="17"/>
  <c r="AB302" i="17"/>
  <c r="AC302" i="17"/>
  <c r="AD302" i="17"/>
  <c r="AE302" i="17"/>
  <c r="AJ302" i="17"/>
  <c r="AK302" i="17"/>
  <c r="AL302" i="17"/>
  <c r="AM302" i="17"/>
  <c r="AO302" i="17"/>
  <c r="AS302" i="17"/>
  <c r="R303" i="17"/>
  <c r="J303" i="17"/>
  <c r="Y303" i="17"/>
  <c r="AG303" i="17"/>
  <c r="J304" i="17"/>
  <c r="AB304" i="17"/>
  <c r="M305" i="17"/>
  <c r="J305" i="17"/>
  <c r="K305" i="17"/>
  <c r="L305" i="17"/>
  <c r="Q305" i="17"/>
  <c r="R305" i="17"/>
  <c r="S305" i="17"/>
  <c r="T305" i="17"/>
  <c r="Y305" i="17"/>
  <c r="Z305" i="17"/>
  <c r="AA305" i="17"/>
  <c r="AB305" i="17"/>
  <c r="AG305" i="17"/>
  <c r="AH305" i="17"/>
  <c r="AI305" i="17"/>
  <c r="AJ305" i="17"/>
  <c r="AO305" i="17"/>
  <c r="AP305" i="17"/>
  <c r="AQ305" i="17"/>
  <c r="AR305" i="17"/>
  <c r="J306" i="17"/>
  <c r="R306" i="17"/>
  <c r="Z306" i="17"/>
  <c r="U307" i="17"/>
  <c r="J307" i="17"/>
  <c r="L307" i="17"/>
  <c r="AQ307" i="17"/>
  <c r="AR307" i="17"/>
  <c r="AS307" i="17"/>
  <c r="V308" i="17"/>
  <c r="J308" i="17"/>
  <c r="N308" i="17"/>
  <c r="O308" i="17"/>
  <c r="P308" i="17"/>
  <c r="Q308" i="17"/>
  <c r="T308" i="17"/>
  <c r="U308" i="17"/>
  <c r="Y308" i="17"/>
  <c r="AB308" i="17"/>
  <c r="AC308" i="17"/>
  <c r="AD308" i="17"/>
  <c r="AE308" i="17"/>
  <c r="AF308" i="17"/>
  <c r="AL308" i="17"/>
  <c r="AM308" i="17"/>
  <c r="AN308" i="17"/>
  <c r="AO308" i="17"/>
  <c r="AR308" i="17"/>
  <c r="AH309" i="17"/>
  <c r="J309" i="17"/>
  <c r="Q309" i="17"/>
  <c r="R309" i="17"/>
  <c r="S309" i="17"/>
  <c r="AO309" i="17"/>
  <c r="AP309" i="17"/>
  <c r="AQ309" i="17"/>
  <c r="P310" i="17"/>
  <c r="J310" i="17"/>
  <c r="R310" i="17"/>
  <c r="S310" i="17"/>
  <c r="AA310" i="17"/>
  <c r="AB310" i="17"/>
  <c r="AJ310" i="17"/>
  <c r="AK310" i="17"/>
  <c r="AS310" i="17"/>
  <c r="J311" i="17"/>
  <c r="R312" i="17"/>
  <c r="J312" i="17"/>
  <c r="K312" i="17"/>
  <c r="Y312" i="17"/>
  <c r="AA312" i="17"/>
  <c r="AB312" i="17"/>
  <c r="AQ312" i="17"/>
  <c r="J313" i="17"/>
  <c r="R313" i="17"/>
  <c r="AA313" i="17"/>
  <c r="AJ313" i="17"/>
  <c r="AS313" i="17"/>
  <c r="K314" i="17"/>
  <c r="J314" i="17"/>
  <c r="AO314" i="17"/>
  <c r="U315" i="17"/>
  <c r="J315" i="17"/>
  <c r="K315" i="17"/>
  <c r="L315" i="17"/>
  <c r="M315" i="17"/>
  <c r="R315" i="17"/>
  <c r="T315" i="17"/>
  <c r="Y315" i="17"/>
  <c r="AA315" i="17"/>
  <c r="AB315" i="17"/>
  <c r="AC315" i="17"/>
  <c r="AH315" i="17"/>
  <c r="AI315" i="17"/>
  <c r="AK315" i="17"/>
  <c r="AP315" i="17"/>
  <c r="AQ315" i="17"/>
  <c r="AS315" i="17"/>
  <c r="AF316" i="17"/>
  <c r="J316" i="17"/>
  <c r="AO317" i="17"/>
  <c r="J317" i="17"/>
  <c r="S317" i="17"/>
  <c r="Y317" i="17"/>
  <c r="Z317" i="17"/>
  <c r="AA317" i="17"/>
  <c r="AG317" i="17"/>
  <c r="AH317" i="17"/>
  <c r="AQ317" i="17"/>
  <c r="Q318" i="17"/>
  <c r="J318" i="17"/>
  <c r="K318" i="17"/>
  <c r="L318" i="17"/>
  <c r="T318" i="17"/>
  <c r="U318" i="17"/>
  <c r="W318" i="17"/>
  <c r="AD318" i="17"/>
  <c r="AH318" i="17"/>
  <c r="AM318" i="17"/>
  <c r="AP318" i="17"/>
  <c r="AQ318" i="17"/>
  <c r="AR318" i="17"/>
  <c r="J319" i="17"/>
  <c r="Y319" i="17"/>
  <c r="AO319" i="17"/>
  <c r="AA320" i="17"/>
  <c r="J320" i="17"/>
  <c r="K320" i="17"/>
  <c r="Z320" i="17"/>
  <c r="AK321" i="17"/>
  <c r="J321" i="17"/>
  <c r="R321" i="17"/>
  <c r="AB321" i="17"/>
  <c r="J322" i="17"/>
  <c r="AP322" i="17"/>
  <c r="Y323" i="17"/>
  <c r="J323" i="17"/>
  <c r="M323" i="17"/>
  <c r="Q323" i="17"/>
  <c r="AB323" i="17"/>
  <c r="AC323" i="17"/>
  <c r="AG323" i="17"/>
  <c r="AH323" i="17"/>
  <c r="AS323" i="17"/>
  <c r="N324" i="17"/>
  <c r="J324" i="17"/>
  <c r="U324" i="17"/>
  <c r="J325" i="17"/>
  <c r="AG325" i="17"/>
  <c r="AH325" i="17"/>
  <c r="O326" i="17"/>
  <c r="J326" i="17"/>
  <c r="W326" i="17"/>
  <c r="AP326" i="17"/>
  <c r="R327" i="17"/>
  <c r="J327" i="17"/>
  <c r="Y327" i="17"/>
  <c r="AG327" i="17"/>
  <c r="AO327" i="17"/>
  <c r="M328" i="17"/>
  <c r="J328" i="17"/>
  <c r="AO328" i="17"/>
  <c r="O329" i="17"/>
  <c r="J329" i="17"/>
  <c r="K329" i="17"/>
  <c r="L329" i="17"/>
  <c r="N329" i="17"/>
  <c r="R329" i="17"/>
  <c r="S329" i="17"/>
  <c r="T329" i="17"/>
  <c r="V329" i="17"/>
  <c r="W329" i="17"/>
  <c r="AA329" i="17"/>
  <c r="AB329" i="17"/>
  <c r="AD329" i="17"/>
  <c r="AE329" i="17"/>
  <c r="AF329" i="17"/>
  <c r="AJ329" i="17"/>
  <c r="AL329" i="17"/>
  <c r="AM329" i="17"/>
  <c r="AN329" i="17"/>
  <c r="AO329" i="17"/>
  <c r="Z330" i="17"/>
  <c r="J330" i="17"/>
  <c r="Q330" i="17"/>
  <c r="R330" i="17"/>
  <c r="Y330" i="17"/>
  <c r="AP330" i="17"/>
  <c r="M331" i="17"/>
  <c r="J331" i="17"/>
  <c r="K331" i="17"/>
  <c r="L331" i="17"/>
  <c r="AB331" i="17"/>
  <c r="AG331" i="17"/>
  <c r="AK331" i="17"/>
  <c r="AO331" i="17"/>
  <c r="L332" i="17"/>
  <c r="J332" i="17"/>
  <c r="M332" i="17"/>
  <c r="N332" i="17"/>
  <c r="P332" i="17"/>
  <c r="V332" i="17"/>
  <c r="X332" i="17"/>
  <c r="AB332" i="17"/>
  <c r="AC332" i="17"/>
  <c r="AD332" i="17"/>
  <c r="AL332" i="17"/>
  <c r="AM332" i="17"/>
  <c r="AN332" i="17"/>
  <c r="AO332" i="17"/>
  <c r="AR332" i="17"/>
  <c r="AH333" i="17"/>
  <c r="J333" i="17"/>
  <c r="K333" i="17"/>
  <c r="Q333" i="17"/>
  <c r="R333" i="17"/>
  <c r="S333" i="17"/>
  <c r="Y333" i="17"/>
  <c r="AA333" i="17"/>
  <c r="AO333" i="17"/>
  <c r="AP333" i="17"/>
  <c r="AQ333" i="17"/>
  <c r="S334" i="17"/>
  <c r="J334" i="17"/>
  <c r="R335" i="17"/>
  <c r="J335" i="17"/>
  <c r="Y335" i="17"/>
  <c r="AG335" i="17"/>
  <c r="AA336" i="17"/>
  <c r="J336" i="17"/>
  <c r="K336" i="17"/>
  <c r="L336" i="17"/>
  <c r="R336" i="17"/>
  <c r="S336" i="17"/>
  <c r="T336" i="17"/>
  <c r="Y336" i="17"/>
  <c r="Z336" i="17"/>
  <c r="AB336" i="17"/>
  <c r="AH336" i="17"/>
  <c r="AI336" i="17"/>
  <c r="AJ336" i="17"/>
  <c r="AO336" i="17"/>
  <c r="AP336" i="17"/>
  <c r="AQ336" i="17"/>
  <c r="J337" i="17"/>
  <c r="K337" i="17"/>
  <c r="L337" i="17"/>
  <c r="M337" i="17"/>
  <c r="N337" i="17"/>
  <c r="O337" i="17"/>
  <c r="P337" i="17"/>
  <c r="Q337" i="17"/>
  <c r="R337" i="17"/>
  <c r="S337" i="17"/>
  <c r="T337" i="17"/>
  <c r="U337" i="17"/>
  <c r="V337" i="17"/>
  <c r="W337" i="17"/>
  <c r="X337" i="17"/>
  <c r="Y337" i="17"/>
  <c r="Z337" i="17"/>
  <c r="AA337" i="17"/>
  <c r="AB337" i="17"/>
  <c r="AC337" i="17"/>
  <c r="AD337" i="17"/>
  <c r="AE337" i="17"/>
  <c r="AF337" i="17"/>
  <c r="AG337" i="17"/>
  <c r="AH337" i="17"/>
  <c r="AI337" i="17"/>
  <c r="AJ337" i="17"/>
  <c r="AK337" i="17"/>
  <c r="AL337" i="17"/>
  <c r="AM337" i="17"/>
  <c r="AN337" i="17"/>
  <c r="AO337" i="17"/>
  <c r="AP337" i="17"/>
  <c r="AQ337" i="17"/>
  <c r="AR337" i="17"/>
  <c r="AS337" i="17"/>
  <c r="Q338" i="17"/>
  <c r="J338" i="17"/>
  <c r="Y338" i="17"/>
  <c r="AA339" i="17"/>
  <c r="J339" i="17"/>
  <c r="K339" i="17"/>
  <c r="U339" i="17"/>
  <c r="AB339" i="17"/>
  <c r="AC339" i="17"/>
  <c r="AQ339" i="17"/>
  <c r="AR339" i="17"/>
  <c r="AS339" i="17"/>
  <c r="J340" i="17"/>
  <c r="U340" i="17"/>
  <c r="W340" i="17"/>
  <c r="J341" i="17"/>
  <c r="AG341" i="17"/>
  <c r="AH341" i="17"/>
  <c r="R342" i="17"/>
  <c r="J342" i="17"/>
  <c r="K342" i="17"/>
  <c r="L342" i="17"/>
  <c r="M342" i="17"/>
  <c r="T342" i="17"/>
  <c r="U342" i="17"/>
  <c r="V342" i="17"/>
  <c r="W342" i="17"/>
  <c r="AC342" i="17"/>
  <c r="AD342" i="17"/>
  <c r="AE342" i="17"/>
  <c r="AG342" i="17"/>
  <c r="AH342" i="17"/>
  <c r="AM342" i="17"/>
  <c r="AO342" i="17"/>
  <c r="AP342" i="17"/>
  <c r="AQ342" i="17"/>
  <c r="AS342" i="17"/>
  <c r="R343" i="17"/>
  <c r="J343" i="17"/>
  <c r="Y343" i="17"/>
  <c r="AG343" i="17"/>
  <c r="AO343" i="17"/>
  <c r="M344" i="17"/>
  <c r="J344" i="17"/>
  <c r="K344" i="17"/>
  <c r="L344" i="17"/>
  <c r="Q344" i="17"/>
  <c r="R344" i="17"/>
  <c r="S344" i="17"/>
  <c r="T344" i="17"/>
  <c r="Y344" i="17"/>
  <c r="Z344" i="17"/>
  <c r="AA344" i="17"/>
  <c r="AB344" i="17"/>
  <c r="AG344" i="17"/>
  <c r="AH344" i="17"/>
  <c r="AI344" i="17"/>
  <c r="AJ344" i="17"/>
  <c r="AO344" i="17"/>
  <c r="AP344" i="17"/>
  <c r="AQ344" i="17"/>
  <c r="AR344" i="17"/>
  <c r="N345" i="17"/>
  <c r="J345" i="17"/>
  <c r="K345" i="17"/>
  <c r="L345" i="17"/>
  <c r="R345" i="17"/>
  <c r="S345" i="17"/>
  <c r="T345" i="17"/>
  <c r="V345" i="17"/>
  <c r="AA345" i="17"/>
  <c r="AB345" i="17"/>
  <c r="AD345" i="17"/>
  <c r="AE345" i="17"/>
  <c r="AJ345" i="17"/>
  <c r="AL345" i="17"/>
  <c r="AM345" i="17"/>
  <c r="AN345" i="17"/>
  <c r="AG346" i="17"/>
  <c r="J346" i="17"/>
  <c r="R346" i="17"/>
  <c r="Z346" i="17"/>
  <c r="Z347" i="17"/>
  <c r="J347" i="17"/>
  <c r="K347" i="17"/>
  <c r="L347" i="17"/>
  <c r="M347" i="17"/>
  <c r="AA347" i="17"/>
  <c r="AB347" i="17"/>
  <c r="AC347" i="17"/>
  <c r="AG347" i="17"/>
  <c r="AP347" i="17"/>
  <c r="AQ347" i="17"/>
  <c r="AR347" i="17"/>
  <c r="U348" i="17"/>
  <c r="J348" i="17"/>
  <c r="J349" i="17"/>
  <c r="AA349" i="17"/>
  <c r="AG349" i="17"/>
  <c r="AO2" i="17"/>
  <c r="AB2" i="17"/>
  <c r="J2" i="17"/>
  <c r="Z2" i="17"/>
  <c r="O247" i="17" l="1"/>
  <c r="Z247" i="17"/>
  <c r="AD247" i="17"/>
  <c r="R238" i="17"/>
  <c r="AI238" i="17"/>
  <c r="S238" i="17"/>
  <c r="AL238" i="17"/>
  <c r="Y238" i="17"/>
  <c r="AM238" i="17"/>
  <c r="R202" i="17"/>
  <c r="S202" i="17"/>
  <c r="K202" i="17"/>
  <c r="AD202" i="17"/>
  <c r="AE202" i="17"/>
  <c r="V326" i="17"/>
  <c r="U262" i="17"/>
  <c r="K185" i="17"/>
  <c r="S185" i="17"/>
  <c r="AA185" i="17"/>
  <c r="AI185" i="17"/>
  <c r="AQ185" i="17"/>
  <c r="L185" i="17"/>
  <c r="T185" i="17"/>
  <c r="AB185" i="17"/>
  <c r="AJ185" i="17"/>
  <c r="AR185" i="17"/>
  <c r="V185" i="17"/>
  <c r="AF185" i="17"/>
  <c r="AP185" i="17"/>
  <c r="M185" i="17"/>
  <c r="W185" i="17"/>
  <c r="AG185" i="17"/>
  <c r="AS185" i="17"/>
  <c r="N185" i="17"/>
  <c r="X185" i="17"/>
  <c r="AH185" i="17"/>
  <c r="K125" i="17"/>
  <c r="S125" i="17"/>
  <c r="AA125" i="17"/>
  <c r="AI125" i="17"/>
  <c r="AQ125" i="17"/>
  <c r="L125" i="17"/>
  <c r="T125" i="17"/>
  <c r="AB125" i="17"/>
  <c r="AJ125" i="17"/>
  <c r="AR125" i="17"/>
  <c r="P125" i="17"/>
  <c r="Z125" i="17"/>
  <c r="AL125" i="17"/>
  <c r="Q125" i="17"/>
  <c r="AC125" i="17"/>
  <c r="AM125" i="17"/>
  <c r="R125" i="17"/>
  <c r="AD125" i="17"/>
  <c r="AN125" i="17"/>
  <c r="N125" i="17"/>
  <c r="AF125" i="17"/>
  <c r="O125" i="17"/>
  <c r="AG125" i="17"/>
  <c r="U125" i="17"/>
  <c r="AH125" i="17"/>
  <c r="AG92" i="17"/>
  <c r="AH92" i="17"/>
  <c r="P92" i="17"/>
  <c r="AN229" i="17"/>
  <c r="AA181" i="17"/>
  <c r="AN181" i="17"/>
  <c r="AO181" i="17"/>
  <c r="K174" i="17"/>
  <c r="AM174" i="17"/>
  <c r="AO174" i="17"/>
  <c r="AP174" i="17"/>
  <c r="AO339" i="17"/>
  <c r="AH328" i="17"/>
  <c r="Z314" i="17"/>
  <c r="AQ310" i="17"/>
  <c r="Y310" i="17"/>
  <c r="AS283" i="17"/>
  <c r="Z274" i="17"/>
  <c r="AE262" i="17"/>
  <c r="AR259" i="17"/>
  <c r="N251" i="17"/>
  <c r="W251" i="17"/>
  <c r="AF251" i="17"/>
  <c r="AO251" i="17"/>
  <c r="O251" i="17"/>
  <c r="X251" i="17"/>
  <c r="AG251" i="17"/>
  <c r="AP251" i="17"/>
  <c r="P251" i="17"/>
  <c r="Y251" i="17"/>
  <c r="AH251" i="17"/>
  <c r="AR251" i="17"/>
  <c r="L248" i="17"/>
  <c r="AS248" i="17"/>
  <c r="AH237" i="17"/>
  <c r="AI237" i="17"/>
  <c r="AS237" i="17"/>
  <c r="AM229" i="17"/>
  <c r="Y125" i="17"/>
  <c r="Z119" i="17"/>
  <c r="AA119" i="17"/>
  <c r="P119" i="17"/>
  <c r="S119" i="17"/>
  <c r="Y119" i="17"/>
  <c r="AG119" i="17"/>
  <c r="AI119" i="17"/>
  <c r="AJ119" i="17"/>
  <c r="AS23" i="17"/>
  <c r="W23" i="17"/>
  <c r="X23" i="17"/>
  <c r="AF23" i="17"/>
  <c r="Z345" i="17"/>
  <c r="AO338" i="17"/>
  <c r="Q328" i="17"/>
  <c r="AR323" i="17"/>
  <c r="AP310" i="17"/>
  <c r="AG307" i="17"/>
  <c r="AF305" i="17"/>
  <c r="AG290" i="17"/>
  <c r="AH290" i="17"/>
  <c r="AP290" i="17"/>
  <c r="AC259" i="17"/>
  <c r="AN255" i="17"/>
  <c r="AK251" i="17"/>
  <c r="R203" i="17"/>
  <c r="AS203" i="17"/>
  <c r="S203" i="17"/>
  <c r="T203" i="17"/>
  <c r="AD203" i="17"/>
  <c r="AG193" i="17"/>
  <c r="R185" i="17"/>
  <c r="AK169" i="17"/>
  <c r="O166" i="17"/>
  <c r="AA166" i="17"/>
  <c r="AO166" i="17"/>
  <c r="Q166" i="17"/>
  <c r="AD166" i="17"/>
  <c r="AP166" i="17"/>
  <c r="S166" i="17"/>
  <c r="AE166" i="17"/>
  <c r="AQ166" i="17"/>
  <c r="Z166" i="17"/>
  <c r="L166" i="17"/>
  <c r="AG166" i="17"/>
  <c r="M166" i="17"/>
  <c r="AH166" i="17"/>
  <c r="Y245" i="17"/>
  <c r="AH245" i="17"/>
  <c r="AJ245" i="17"/>
  <c r="AB227" i="17"/>
  <c r="AP227" i="17"/>
  <c r="T58" i="17"/>
  <c r="Q58" i="17"/>
  <c r="AC58" i="17"/>
  <c r="AS58" i="17"/>
  <c r="R58" i="17"/>
  <c r="AH58" i="17"/>
  <c r="M58" i="17"/>
  <c r="AI58" i="17"/>
  <c r="N58" i="17"/>
  <c r="AJ58" i="17"/>
  <c r="AK58" i="17"/>
  <c r="L58" i="17"/>
  <c r="AL58" i="17"/>
  <c r="S58" i="17"/>
  <c r="AO58" i="17"/>
  <c r="Y58" i="17"/>
  <c r="Z58" i="17"/>
  <c r="AA58" i="17"/>
  <c r="M229" i="17"/>
  <c r="W229" i="17"/>
  <c r="AG229" i="17"/>
  <c r="AS229" i="17"/>
  <c r="N229" i="17"/>
  <c r="X229" i="17"/>
  <c r="AJ229" i="17"/>
  <c r="O229" i="17"/>
  <c r="Z229" i="17"/>
  <c r="AK229" i="17"/>
  <c r="Z185" i="17"/>
  <c r="R130" i="17"/>
  <c r="AK130" i="17"/>
  <c r="S130" i="17"/>
  <c r="AL130" i="17"/>
  <c r="V130" i="17"/>
  <c r="AA130" i="17"/>
  <c r="AC130" i="17"/>
  <c r="Q130" i="17"/>
  <c r="U130" i="17"/>
  <c r="AD130" i="17"/>
  <c r="R104" i="17"/>
  <c r="K104" i="17"/>
  <c r="T104" i="17"/>
  <c r="AC104" i="17"/>
  <c r="AL104" i="17"/>
  <c r="L104" i="17"/>
  <c r="U104" i="17"/>
  <c r="AD104" i="17"/>
  <c r="AM104" i="17"/>
  <c r="M104" i="17"/>
  <c r="X104" i="17"/>
  <c r="AJ104" i="17"/>
  <c r="N104" i="17"/>
  <c r="Y104" i="17"/>
  <c r="AK104" i="17"/>
  <c r="O104" i="17"/>
  <c r="AA104" i="17"/>
  <c r="AN104" i="17"/>
  <c r="AF104" i="17"/>
  <c r="P104" i="17"/>
  <c r="AG104" i="17"/>
  <c r="Q104" i="17"/>
  <c r="AI104" i="17"/>
  <c r="T52" i="17"/>
  <c r="W52" i="17"/>
  <c r="X52" i="17"/>
  <c r="AQ52" i="17"/>
  <c r="U326" i="17"/>
  <c r="Z310" i="17"/>
  <c r="N283" i="17"/>
  <c r="M283" i="17"/>
  <c r="AA283" i="17"/>
  <c r="AO283" i="17"/>
  <c r="Q283" i="17"/>
  <c r="AB283" i="17"/>
  <c r="AP283" i="17"/>
  <c r="R283" i="17"/>
  <c r="AC283" i="17"/>
  <c r="AQ283" i="17"/>
  <c r="AJ262" i="17"/>
  <c r="AA238" i="17"/>
  <c r="V229" i="17"/>
  <c r="AR169" i="17"/>
  <c r="K168" i="17"/>
  <c r="Y168" i="17"/>
  <c r="AO168" i="17"/>
  <c r="L168" i="17"/>
  <c r="Z168" i="17"/>
  <c r="AP168" i="17"/>
  <c r="M168" i="17"/>
  <c r="AC168" i="17"/>
  <c r="AQ168" i="17"/>
  <c r="P168" i="17"/>
  <c r="AI168" i="17"/>
  <c r="S168" i="17"/>
  <c r="AJ168" i="17"/>
  <c r="T168" i="17"/>
  <c r="AR168" i="17"/>
  <c r="AJ148" i="17"/>
  <c r="K148" i="17"/>
  <c r="AQ148" i="17"/>
  <c r="T148" i="17"/>
  <c r="AR148" i="17"/>
  <c r="W148" i="17"/>
  <c r="AI148" i="17"/>
  <c r="AM148" i="17"/>
  <c r="AH326" i="17"/>
  <c r="Z127" i="17"/>
  <c r="AB127" i="17"/>
  <c r="X76" i="17"/>
  <c r="AG76" i="17"/>
  <c r="AN76" i="17"/>
  <c r="AO76" i="17"/>
  <c r="U76" i="17"/>
  <c r="V76" i="17"/>
  <c r="AL76" i="17"/>
  <c r="Y347" i="17"/>
  <c r="AR345" i="17"/>
  <c r="Q345" i="17"/>
  <c r="S339" i="17"/>
  <c r="AO334" i="17"/>
  <c r="AG326" i="17"/>
  <c r="W310" i="17"/>
  <c r="P305" i="17"/>
  <c r="AA285" i="17"/>
  <c r="R285" i="17"/>
  <c r="S285" i="17"/>
  <c r="Y285" i="17"/>
  <c r="U283" i="17"/>
  <c r="AP269" i="17"/>
  <c r="V263" i="17"/>
  <c r="P263" i="17"/>
  <c r="AM263" i="17"/>
  <c r="W263" i="17"/>
  <c r="AN263" i="17"/>
  <c r="X263" i="17"/>
  <c r="AO263" i="17"/>
  <c r="AH247" i="17"/>
  <c r="AN245" i="17"/>
  <c r="AA243" i="17"/>
  <c r="Q238" i="17"/>
  <c r="AL185" i="17"/>
  <c r="AH168" i="17"/>
  <c r="W161" i="17"/>
  <c r="AG150" i="17"/>
  <c r="AO150" i="17"/>
  <c r="AB144" i="17"/>
  <c r="AL141" i="17"/>
  <c r="M141" i="17"/>
  <c r="AM141" i="17"/>
  <c r="N141" i="17"/>
  <c r="AR141" i="17"/>
  <c r="Y141" i="17"/>
  <c r="Z141" i="17"/>
  <c r="AA141" i="17"/>
  <c r="AN139" i="17"/>
  <c r="K132" i="17"/>
  <c r="T132" i="17"/>
  <c r="AE132" i="17"/>
  <c r="AN132" i="17"/>
  <c r="AO132" i="17"/>
  <c r="X125" i="17"/>
  <c r="M101" i="17"/>
  <c r="W101" i="17"/>
  <c r="AG101" i="17"/>
  <c r="AQ101" i="17"/>
  <c r="N101" i="17"/>
  <c r="X101" i="17"/>
  <c r="AH101" i="17"/>
  <c r="AS101" i="17"/>
  <c r="O101" i="17"/>
  <c r="AA101" i="17"/>
  <c r="AO101" i="17"/>
  <c r="P101" i="17"/>
  <c r="AC101" i="17"/>
  <c r="AP101" i="17"/>
  <c r="Q101" i="17"/>
  <c r="AE101" i="17"/>
  <c r="AK101" i="17"/>
  <c r="R101" i="17"/>
  <c r="AL101" i="17"/>
  <c r="S101" i="17"/>
  <c r="AN101" i="17"/>
  <c r="S88" i="17"/>
  <c r="AA88" i="17"/>
  <c r="AB88" i="17"/>
  <c r="V88" i="17"/>
  <c r="AC88" i="17"/>
  <c r="AS88" i="17"/>
  <c r="AR58" i="17"/>
  <c r="AK347" i="17"/>
  <c r="U347" i="17"/>
  <c r="AO346" i="17"/>
  <c r="AQ345" i="17"/>
  <c r="AH345" i="17"/>
  <c r="Y345" i="17"/>
  <c r="P345" i="17"/>
  <c r="AI339" i="17"/>
  <c r="R339" i="17"/>
  <c r="AH338" i="17"/>
  <c r="AM334" i="17"/>
  <c r="AI333" i="17"/>
  <c r="AG332" i="17"/>
  <c r="U332" i="17"/>
  <c r="AS331" i="17"/>
  <c r="Z331" i="17"/>
  <c r="AO330" i="17"/>
  <c r="AR329" i="17"/>
  <c r="AI329" i="17"/>
  <c r="Z329" i="17"/>
  <c r="Q329" i="17"/>
  <c r="AR328" i="17"/>
  <c r="AB328" i="17"/>
  <c r="L328" i="17"/>
  <c r="AE326" i="17"/>
  <c r="L326" i="17"/>
  <c r="AJ324" i="17"/>
  <c r="AQ323" i="17"/>
  <c r="T323" i="17"/>
  <c r="AQ320" i="17"/>
  <c r="AG318" i="17"/>
  <c r="AO315" i="17"/>
  <c r="Z315" i="17"/>
  <c r="R314" i="17"/>
  <c r="AO310" i="17"/>
  <c r="AE310" i="17"/>
  <c r="V310" i="17"/>
  <c r="M310" i="17"/>
  <c r="AG309" i="17"/>
  <c r="AC307" i="17"/>
  <c r="AM305" i="17"/>
  <c r="AE305" i="17"/>
  <c r="W305" i="17"/>
  <c r="O305" i="17"/>
  <c r="AR302" i="17"/>
  <c r="AI302" i="17"/>
  <c r="Z302" i="17"/>
  <c r="Q302" i="17"/>
  <c r="AP301" i="17"/>
  <c r="AI296" i="17"/>
  <c r="O294" i="17"/>
  <c r="V294" i="17"/>
  <c r="AD294" i="17"/>
  <c r="AE294" i="17"/>
  <c r="L293" i="17"/>
  <c r="R293" i="17"/>
  <c r="AO293" i="17"/>
  <c r="S293" i="17"/>
  <c r="AP293" i="17"/>
  <c r="Y293" i="17"/>
  <c r="AQ293" i="17"/>
  <c r="AK283" i="17"/>
  <c r="T283" i="17"/>
  <c r="AI275" i="17"/>
  <c r="M272" i="17"/>
  <c r="Z272" i="17"/>
  <c r="AL272" i="17"/>
  <c r="N272" i="17"/>
  <c r="AB272" i="17"/>
  <c r="AO272" i="17"/>
  <c r="R272" i="17"/>
  <c r="AC272" i="17"/>
  <c r="AP272" i="17"/>
  <c r="P271" i="17"/>
  <c r="Q271" i="17"/>
  <c r="AM271" i="17"/>
  <c r="R271" i="17"/>
  <c r="AN271" i="17"/>
  <c r="W271" i="17"/>
  <c r="AO271" i="17"/>
  <c r="AQ264" i="17"/>
  <c r="Y264" i="17"/>
  <c r="AH263" i="17"/>
  <c r="AS262" i="17"/>
  <c r="AC262" i="17"/>
  <c r="AP259" i="17"/>
  <c r="AB259" i="17"/>
  <c r="Q259" i="17"/>
  <c r="AJ251" i="17"/>
  <c r="T251" i="17"/>
  <c r="R250" i="17"/>
  <c r="AN250" i="17"/>
  <c r="S250" i="17"/>
  <c r="AO250" i="17"/>
  <c r="W250" i="17"/>
  <c r="AP250" i="17"/>
  <c r="AG247" i="17"/>
  <c r="AC246" i="17"/>
  <c r="L245" i="17"/>
  <c r="AP243" i="17"/>
  <c r="V243" i="17"/>
  <c r="AS238" i="17"/>
  <c r="P238" i="17"/>
  <c r="AF229" i="17"/>
  <c r="R229" i="17"/>
  <c r="Z227" i="17"/>
  <c r="M215" i="17"/>
  <c r="R215" i="17"/>
  <c r="AA215" i="17"/>
  <c r="T210" i="17"/>
  <c r="AD210" i="17"/>
  <c r="AG210" i="17"/>
  <c r="AH210" i="17"/>
  <c r="AP204" i="17"/>
  <c r="R204" i="17"/>
  <c r="AR204" i="17"/>
  <c r="T204" i="17"/>
  <c r="AS204" i="17"/>
  <c r="AJ202" i="17"/>
  <c r="S201" i="17"/>
  <c r="K201" i="17"/>
  <c r="L201" i="17"/>
  <c r="AD201" i="17"/>
  <c r="K198" i="17"/>
  <c r="V198" i="17"/>
  <c r="AG198" i="17"/>
  <c r="AQ198" i="17"/>
  <c r="N198" i="17"/>
  <c r="Z198" i="17"/>
  <c r="AK198" i="17"/>
  <c r="O198" i="17"/>
  <c r="AA198" i="17"/>
  <c r="AL198" i="17"/>
  <c r="Q198" i="17"/>
  <c r="AB198" i="17"/>
  <c r="AO198" i="17"/>
  <c r="AA193" i="17"/>
  <c r="AK185" i="17"/>
  <c r="Q185" i="17"/>
  <c r="T173" i="17"/>
  <c r="X173" i="17"/>
  <c r="Y173" i="17"/>
  <c r="AF173" i="17"/>
  <c r="AP173" i="17"/>
  <c r="AR173" i="17"/>
  <c r="AG168" i="17"/>
  <c r="AI166" i="17"/>
  <c r="V161" i="17"/>
  <c r="Q144" i="17"/>
  <c r="AM139" i="17"/>
  <c r="N137" i="17"/>
  <c r="AA137" i="17"/>
  <c r="O137" i="17"/>
  <c r="AD137" i="17"/>
  <c r="P137" i="17"/>
  <c r="AE137" i="17"/>
  <c r="R137" i="17"/>
  <c r="AO137" i="17"/>
  <c r="X137" i="17"/>
  <c r="Y137" i="17"/>
  <c r="AO130" i="17"/>
  <c r="X126" i="17"/>
  <c r="Y126" i="17"/>
  <c r="M126" i="17"/>
  <c r="O126" i="17"/>
  <c r="U126" i="17"/>
  <c r="AF126" i="17"/>
  <c r="AN126" i="17"/>
  <c r="W125" i="17"/>
  <c r="O109" i="17"/>
  <c r="Z109" i="17"/>
  <c r="AK109" i="17"/>
  <c r="Q109" i="17"/>
  <c r="AA109" i="17"/>
  <c r="AL109" i="17"/>
  <c r="R109" i="17"/>
  <c r="AE109" i="17"/>
  <c r="AS109" i="17"/>
  <c r="S109" i="17"/>
  <c r="AF109" i="17"/>
  <c r="U109" i="17"/>
  <c r="AG109" i="17"/>
  <c r="V109" i="17"/>
  <c r="AO109" i="17"/>
  <c r="W109" i="17"/>
  <c r="AP109" i="17"/>
  <c r="X109" i="17"/>
  <c r="W104" i="17"/>
  <c r="L99" i="17"/>
  <c r="X99" i="17"/>
  <c r="AL99" i="17"/>
  <c r="M99" i="17"/>
  <c r="Y99" i="17"/>
  <c r="AN99" i="17"/>
  <c r="Q99" i="17"/>
  <c r="AJ99" i="17"/>
  <c r="T99" i="17"/>
  <c r="AK99" i="17"/>
  <c r="V99" i="17"/>
  <c r="AR99" i="17"/>
  <c r="AC99" i="17"/>
  <c r="AD99" i="17"/>
  <c r="AF99" i="17"/>
  <c r="P96" i="17"/>
  <c r="AD96" i="17"/>
  <c r="AS96" i="17"/>
  <c r="Q96" i="17"/>
  <c r="AG96" i="17"/>
  <c r="AA96" i="17"/>
  <c r="M96" i="17"/>
  <c r="AB96" i="17"/>
  <c r="N96" i="17"/>
  <c r="AI96" i="17"/>
  <c r="O96" i="17"/>
  <c r="AN96" i="17"/>
  <c r="U96" i="17"/>
  <c r="AO96" i="17"/>
  <c r="W96" i="17"/>
  <c r="AQ64" i="17"/>
  <c r="O64" i="17"/>
  <c r="AB58" i="17"/>
  <c r="M21" i="17"/>
  <c r="Z21" i="17"/>
  <c r="AO21" i="17"/>
  <c r="N21" i="17"/>
  <c r="AA21" i="17"/>
  <c r="AP21" i="17"/>
  <c r="W21" i="17"/>
  <c r="AR21" i="17"/>
  <c r="Y21" i="17"/>
  <c r="AS21" i="17"/>
  <c r="Q21" i="17"/>
  <c r="AK21" i="17"/>
  <c r="S21" i="17"/>
  <c r="V21" i="17"/>
  <c r="O21" i="17"/>
  <c r="AB21" i="17"/>
  <c r="AL19" i="17"/>
  <c r="X19" i="17"/>
  <c r="AJ19" i="17"/>
  <c r="AK19" i="17"/>
  <c r="Y274" i="17"/>
  <c r="L274" i="17"/>
  <c r="AG274" i="17"/>
  <c r="O274" i="17"/>
  <c r="AI274" i="17"/>
  <c r="P274" i="17"/>
  <c r="AM274" i="17"/>
  <c r="L269" i="17"/>
  <c r="Z269" i="17"/>
  <c r="AB269" i="17"/>
  <c r="M262" i="17"/>
  <c r="W262" i="17"/>
  <c r="AF262" i="17"/>
  <c r="AO262" i="17"/>
  <c r="N262" i="17"/>
  <c r="X262" i="17"/>
  <c r="AG262" i="17"/>
  <c r="AQ262" i="17"/>
  <c r="O262" i="17"/>
  <c r="Y262" i="17"/>
  <c r="AI262" i="17"/>
  <c r="AR262" i="17"/>
  <c r="M159" i="17"/>
  <c r="X159" i="17"/>
  <c r="Y159" i="17"/>
  <c r="Z159" i="17"/>
  <c r="AH159" i="17"/>
  <c r="AJ328" i="17"/>
  <c r="AO326" i="17"/>
  <c r="O255" i="17"/>
  <c r="X255" i="17"/>
  <c r="T209" i="17"/>
  <c r="K209" i="17"/>
  <c r="AC209" i="17"/>
  <c r="AF144" i="17"/>
  <c r="AD9" i="17"/>
  <c r="N9" i="17"/>
  <c r="AM9" i="17"/>
  <c r="Q9" i="17"/>
  <c r="AN9" i="17"/>
  <c r="R9" i="17"/>
  <c r="S9" i="17"/>
  <c r="U9" i="17"/>
  <c r="AC9" i="17"/>
  <c r="AE9" i="17"/>
  <c r="AF9" i="17"/>
  <c r="AO9" i="17"/>
  <c r="AS9" i="17"/>
  <c r="AI328" i="17"/>
  <c r="AG314" i="17"/>
  <c r="AI310" i="17"/>
  <c r="Z283" i="17"/>
  <c r="AA274" i="17"/>
  <c r="N270" i="17"/>
  <c r="T270" i="17"/>
  <c r="U270" i="17"/>
  <c r="AF270" i="17"/>
  <c r="T262" i="17"/>
  <c r="T259" i="17"/>
  <c r="AN185" i="17"/>
  <c r="Y169" i="17"/>
  <c r="O169" i="17"/>
  <c r="AC169" i="17"/>
  <c r="P169" i="17"/>
  <c r="AG169" i="17"/>
  <c r="Q169" i="17"/>
  <c r="AI169" i="17"/>
  <c r="T169" i="17"/>
  <c r="AS169" i="17"/>
  <c r="X169" i="17"/>
  <c r="AA169" i="17"/>
  <c r="AB164" i="17"/>
  <c r="AD164" i="17"/>
  <c r="AE164" i="17"/>
  <c r="AK164" i="17"/>
  <c r="AL164" i="17"/>
  <c r="AE125" i="17"/>
  <c r="AI345" i="17"/>
  <c r="AJ339" i="17"/>
  <c r="AA331" i="17"/>
  <c r="AG328" i="17"/>
  <c r="M326" i="17"/>
  <c r="U323" i="17"/>
  <c r="Y314" i="17"/>
  <c r="N310" i="17"/>
  <c r="AN305" i="17"/>
  <c r="X274" i="17"/>
  <c r="AD262" i="17"/>
  <c r="U251" i="17"/>
  <c r="AQ243" i="17"/>
  <c r="L241" i="17"/>
  <c r="Y241" i="17"/>
  <c r="AL241" i="17"/>
  <c r="N241" i="17"/>
  <c r="Z241" i="17"/>
  <c r="AO241" i="17"/>
  <c r="O241" i="17"/>
  <c r="AB241" i="17"/>
  <c r="AP241" i="17"/>
  <c r="R235" i="17"/>
  <c r="AO235" i="17"/>
  <c r="AA232" i="17"/>
  <c r="AL232" i="17"/>
  <c r="AQ232" i="17"/>
  <c r="AL229" i="17"/>
  <c r="V348" i="17"/>
  <c r="AJ347" i="17"/>
  <c r="AH346" i="17"/>
  <c r="AP345" i="17"/>
  <c r="X345" i="17"/>
  <c r="M339" i="17"/>
  <c r="AG338" i="17"/>
  <c r="AH329" i="17"/>
  <c r="P329" i="17"/>
  <c r="AA328" i="17"/>
  <c r="AS326" i="17"/>
  <c r="K326" i="17"/>
  <c r="S323" i="17"/>
  <c r="AM310" i="17"/>
  <c r="L310" i="17"/>
  <c r="AA309" i="17"/>
  <c r="AB307" i="17"/>
  <c r="AD305" i="17"/>
  <c r="AQ302" i="17"/>
  <c r="Y302" i="17"/>
  <c r="AO301" i="17"/>
  <c r="N247" i="17"/>
  <c r="K245" i="17"/>
  <c r="AO243" i="17"/>
  <c r="Q242" i="17"/>
  <c r="AG242" i="17"/>
  <c r="R242" i="17"/>
  <c r="AH242" i="17"/>
  <c r="S242" i="17"/>
  <c r="AI242" i="17"/>
  <c r="X241" i="17"/>
  <c r="AQ238" i="17"/>
  <c r="K238" i="17"/>
  <c r="AE229" i="17"/>
  <c r="Q229" i="17"/>
  <c r="O227" i="17"/>
  <c r="U224" i="17"/>
  <c r="O221" i="17"/>
  <c r="Z221" i="17"/>
  <c r="AL221" i="17"/>
  <c r="P221" i="17"/>
  <c r="AA221" i="17"/>
  <c r="AO221" i="17"/>
  <c r="Q221" i="17"/>
  <c r="AE221" i="17"/>
  <c r="AP221" i="17"/>
  <c r="Z212" i="17"/>
  <c r="AQ212" i="17"/>
  <c r="K212" i="17"/>
  <c r="AC212" i="17"/>
  <c r="AS212" i="17"/>
  <c r="M212" i="17"/>
  <c r="AF212" i="17"/>
  <c r="AG209" i="17"/>
  <c r="AC205" i="17"/>
  <c r="AG205" i="17"/>
  <c r="AH205" i="17"/>
  <c r="AR203" i="17"/>
  <c r="AH202" i="17"/>
  <c r="L195" i="17"/>
  <c r="AJ195" i="17"/>
  <c r="T195" i="17"/>
  <c r="AK195" i="17"/>
  <c r="K195" i="17"/>
  <c r="AO195" i="17"/>
  <c r="U195" i="17"/>
  <c r="AQ195" i="17"/>
  <c r="AE185" i="17"/>
  <c r="P185" i="17"/>
  <c r="AL174" i="17"/>
  <c r="AB169" i="17"/>
  <c r="AF168" i="17"/>
  <c r="Y166" i="17"/>
  <c r="T160" i="17"/>
  <c r="U160" i="17"/>
  <c r="AG160" i="17"/>
  <c r="AA148" i="17"/>
  <c r="AG130" i="17"/>
  <c r="AS125" i="17"/>
  <c r="V125" i="17"/>
  <c r="AI109" i="17"/>
  <c r="AO105" i="17"/>
  <c r="P105" i="17"/>
  <c r="R105" i="17"/>
  <c r="V105" i="17"/>
  <c r="W105" i="17"/>
  <c r="AF105" i="17"/>
  <c r="V104" i="17"/>
  <c r="AI101" i="17"/>
  <c r="V58" i="17"/>
  <c r="Y328" i="17"/>
  <c r="T288" i="17"/>
  <c r="K288" i="17"/>
  <c r="AB288" i="17"/>
  <c r="L286" i="17"/>
  <c r="AH286" i="17"/>
  <c r="AS286" i="17"/>
  <c r="AG115" i="17"/>
  <c r="X115" i="17"/>
  <c r="AF115" i="17"/>
  <c r="T115" i="17"/>
  <c r="U115" i="17"/>
  <c r="W115" i="17"/>
  <c r="AK115" i="17"/>
  <c r="AL115" i="17"/>
  <c r="AK55" i="17"/>
  <c r="AN55" i="17"/>
  <c r="P55" i="17"/>
  <c r="T328" i="17"/>
  <c r="AH314" i="17"/>
  <c r="O292" i="17"/>
  <c r="V292" i="17"/>
  <c r="AF292" i="17"/>
  <c r="AE274" i="17"/>
  <c r="AK262" i="17"/>
  <c r="AC238" i="17"/>
  <c r="V144" i="17"/>
  <c r="AI144" i="17"/>
  <c r="L144" i="17"/>
  <c r="X144" i="17"/>
  <c r="AJ144" i="17"/>
  <c r="N144" i="17"/>
  <c r="Y144" i="17"/>
  <c r="AK144" i="17"/>
  <c r="S144" i="17"/>
  <c r="AN144" i="17"/>
  <c r="U144" i="17"/>
  <c r="AO144" i="17"/>
  <c r="AA144" i="17"/>
  <c r="AQ144" i="17"/>
  <c r="AK125" i="17"/>
  <c r="S328" i="17"/>
  <c r="AM326" i="17"/>
  <c r="AR310" i="17"/>
  <c r="Q310" i="17"/>
  <c r="P284" i="17"/>
  <c r="V284" i="17"/>
  <c r="W284" i="17"/>
  <c r="Y284" i="17"/>
  <c r="N259" i="17"/>
  <c r="V259" i="17"/>
  <c r="AD259" i="17"/>
  <c r="AL259" i="17"/>
  <c r="O259" i="17"/>
  <c r="W259" i="17"/>
  <c r="AE259" i="17"/>
  <c r="AM259" i="17"/>
  <c r="P259" i="17"/>
  <c r="X259" i="17"/>
  <c r="AF259" i="17"/>
  <c r="AN259" i="17"/>
  <c r="Y185" i="17"/>
  <c r="N161" i="17"/>
  <c r="X161" i="17"/>
  <c r="AH161" i="17"/>
  <c r="O161" i="17"/>
  <c r="Y161" i="17"/>
  <c r="AJ161" i="17"/>
  <c r="P161" i="17"/>
  <c r="AA161" i="17"/>
  <c r="AL161" i="17"/>
  <c r="AB161" i="17"/>
  <c r="AP161" i="17"/>
  <c r="K161" i="17"/>
  <c r="AD161" i="17"/>
  <c r="AQ161" i="17"/>
  <c r="L161" i="17"/>
  <c r="AE161" i="17"/>
  <c r="AE144" i="17"/>
  <c r="M139" i="17"/>
  <c r="X139" i="17"/>
  <c r="Y139" i="17"/>
  <c r="AB139" i="17"/>
  <c r="W139" i="17"/>
  <c r="AJ139" i="17"/>
  <c r="AK139" i="17"/>
  <c r="AO104" i="17"/>
  <c r="Q95" i="17"/>
  <c r="AI95" i="17"/>
  <c r="R95" i="17"/>
  <c r="AQ95" i="17"/>
  <c r="S95" i="17"/>
  <c r="AA95" i="17"/>
  <c r="AB95" i="17"/>
  <c r="P95" i="17"/>
  <c r="AF95" i="17"/>
  <c r="AS30" i="17"/>
  <c r="AC30" i="17"/>
  <c r="AD30" i="17"/>
  <c r="R30" i="17"/>
  <c r="AI30" i="17"/>
  <c r="T339" i="17"/>
  <c r="AP338" i="17"/>
  <c r="R328" i="17"/>
  <c r="T326" i="17"/>
  <c r="AH310" i="17"/>
  <c r="O310" i="17"/>
  <c r="AP307" i="17"/>
  <c r="Y283" i="17"/>
  <c r="AQ269" i="17"/>
  <c r="Q264" i="17"/>
  <c r="AC264" i="17"/>
  <c r="AR264" i="17"/>
  <c r="R264" i="17"/>
  <c r="AG264" i="17"/>
  <c r="AS264" i="17"/>
  <c r="S264" i="17"/>
  <c r="AH264" i="17"/>
  <c r="S262" i="17"/>
  <c r="R261" i="17"/>
  <c r="L261" i="17"/>
  <c r="AF261" i="17"/>
  <c r="AH261" i="17"/>
  <c r="AG259" i="17"/>
  <c r="S259" i="17"/>
  <c r="Z256" i="17"/>
  <c r="AP256" i="17"/>
  <c r="K256" i="17"/>
  <c r="AA256" i="17"/>
  <c r="AQ256" i="17"/>
  <c r="L256" i="17"/>
  <c r="AB256" i="17"/>
  <c r="AS256" i="17"/>
  <c r="Y246" i="17"/>
  <c r="Q246" i="17"/>
  <c r="AI246" i="17"/>
  <c r="S246" i="17"/>
  <c r="AJ246" i="17"/>
  <c r="T246" i="17"/>
  <c r="AK246" i="17"/>
  <c r="M244" i="17"/>
  <c r="W244" i="17"/>
  <c r="K243" i="17"/>
  <c r="W243" i="17"/>
  <c r="AH243" i="17"/>
  <c r="L243" i="17"/>
  <c r="X243" i="17"/>
  <c r="AJ243" i="17"/>
  <c r="N243" i="17"/>
  <c r="Y243" i="17"/>
  <c r="AL243" i="17"/>
  <c r="Z238" i="17"/>
  <c r="U229" i="17"/>
  <c r="U188" i="17"/>
  <c r="V188" i="17"/>
  <c r="AR188" i="17"/>
  <c r="AS188" i="17"/>
  <c r="AM185" i="17"/>
  <c r="U185" i="17"/>
  <c r="AF178" i="17"/>
  <c r="AL178" i="17"/>
  <c r="N178" i="17"/>
  <c r="Z178" i="17"/>
  <c r="AQ169" i="17"/>
  <c r="AS168" i="17"/>
  <c r="AF161" i="17"/>
  <c r="Q152" i="17"/>
  <c r="T152" i="17"/>
  <c r="AL152" i="17"/>
  <c r="AN152" i="17"/>
  <c r="AD144" i="17"/>
  <c r="AO134" i="17"/>
  <c r="O134" i="17"/>
  <c r="AR130" i="17"/>
  <c r="AI129" i="17"/>
  <c r="AL129" i="17"/>
  <c r="AH129" i="17"/>
  <c r="AM129" i="17"/>
  <c r="AP129" i="17"/>
  <c r="AE104" i="17"/>
  <c r="AG79" i="17"/>
  <c r="AM79" i="17"/>
  <c r="AF79" i="17"/>
  <c r="R41" i="17"/>
  <c r="AO41" i="17"/>
  <c r="AP41" i="17"/>
  <c r="AR320" i="17"/>
  <c r="AG310" i="17"/>
  <c r="X305" i="17"/>
  <c r="Q289" i="17"/>
  <c r="N289" i="17"/>
  <c r="AO289" i="17"/>
  <c r="V289" i="17"/>
  <c r="AP289" i="17"/>
  <c r="W289" i="17"/>
  <c r="AR289" i="17"/>
  <c r="T273" i="17"/>
  <c r="U273" i="17"/>
  <c r="AD273" i="17"/>
  <c r="Q262" i="17"/>
  <c r="AQ259" i="17"/>
  <c r="O258" i="17"/>
  <c r="W258" i="17"/>
  <c r="AH258" i="17"/>
  <c r="AC256" i="17"/>
  <c r="AD246" i="17"/>
  <c r="V193" i="17"/>
  <c r="P193" i="17"/>
  <c r="AD193" i="17"/>
  <c r="AQ193" i="17"/>
  <c r="Q193" i="17"/>
  <c r="AF193" i="17"/>
  <c r="AR193" i="17"/>
  <c r="R193" i="17"/>
  <c r="AJ193" i="17"/>
  <c r="U193" i="17"/>
  <c r="AN193" i="17"/>
  <c r="X193" i="17"/>
  <c r="AO193" i="17"/>
  <c r="S347" i="17"/>
  <c r="AG345" i="17"/>
  <c r="O345" i="17"/>
  <c r="AH339" i="17"/>
  <c r="AD334" i="17"/>
  <c r="AF332" i="17"/>
  <c r="T332" i="17"/>
  <c r="AR331" i="17"/>
  <c r="Y331" i="17"/>
  <c r="AG330" i="17"/>
  <c r="AQ329" i="17"/>
  <c r="Y329" i="17"/>
  <c r="AQ328" i="17"/>
  <c r="K328" i="17"/>
  <c r="AD326" i="17"/>
  <c r="AG324" i="17"/>
  <c r="AJ323" i="17"/>
  <c r="AB320" i="17"/>
  <c r="Q314" i="17"/>
  <c r="AD310" i="17"/>
  <c r="U310" i="17"/>
  <c r="AL305" i="17"/>
  <c r="V305" i="17"/>
  <c r="N305" i="17"/>
  <c r="AH302" i="17"/>
  <c r="O302" i="17"/>
  <c r="AS292" i="17"/>
  <c r="AG289" i="17"/>
  <c r="AG288" i="17"/>
  <c r="U286" i="17"/>
  <c r="AL284" i="17"/>
  <c r="AJ283" i="17"/>
  <c r="S283" i="17"/>
  <c r="Q278" i="17"/>
  <c r="AC278" i="17"/>
  <c r="AJ278" i="17"/>
  <c r="L275" i="17"/>
  <c r="T275" i="17"/>
  <c r="AB275" i="17"/>
  <c r="AJ275" i="17"/>
  <c r="AR275" i="17"/>
  <c r="M275" i="17"/>
  <c r="U275" i="17"/>
  <c r="AC275" i="17"/>
  <c r="AK275" i="17"/>
  <c r="AS275" i="17"/>
  <c r="N275" i="17"/>
  <c r="V275" i="17"/>
  <c r="AD275" i="17"/>
  <c r="AL275" i="17"/>
  <c r="K274" i="17"/>
  <c r="AS270" i="17"/>
  <c r="K269" i="17"/>
  <c r="AP264" i="17"/>
  <c r="T264" i="17"/>
  <c r="AD263" i="17"/>
  <c r="AN262" i="17"/>
  <c r="AB262" i="17"/>
  <c r="K262" i="17"/>
  <c r="AO259" i="17"/>
  <c r="AA259" i="17"/>
  <c r="M259" i="17"/>
  <c r="U256" i="17"/>
  <c r="AH255" i="17"/>
  <c r="AE251" i="17"/>
  <c r="R251" i="17"/>
  <c r="AA2" i="17"/>
  <c r="AI347" i="17"/>
  <c r="R347" i="17"/>
  <c r="AO345" i="17"/>
  <c r="AF345" i="17"/>
  <c r="W345" i="17"/>
  <c r="AG339" i="17"/>
  <c r="L339" i="17"/>
  <c r="Z338" i="17"/>
  <c r="Z333" i="17"/>
  <c r="AS332" i="17"/>
  <c r="AE332" i="17"/>
  <c r="Q332" i="17"/>
  <c r="AP331" i="17"/>
  <c r="AP329" i="17"/>
  <c r="AG329" i="17"/>
  <c r="X329" i="17"/>
  <c r="AP328" i="17"/>
  <c r="Z328" i="17"/>
  <c r="AQ326" i="17"/>
  <c r="AC326" i="17"/>
  <c r="W324" i="17"/>
  <c r="AI323" i="17"/>
  <c r="R323" i="17"/>
  <c r="AC318" i="17"/>
  <c r="AJ315" i="17"/>
  <c r="AP314" i="17"/>
  <c r="AR312" i="17"/>
  <c r="AL310" i="17"/>
  <c r="AC310" i="17"/>
  <c r="T310" i="17"/>
  <c r="K310" i="17"/>
  <c r="Y309" i="17"/>
  <c r="M307" i="17"/>
  <c r="AS305" i="17"/>
  <c r="AK305" i="17"/>
  <c r="AC305" i="17"/>
  <c r="U305" i="17"/>
  <c r="AO303" i="17"/>
  <c r="AP302" i="17"/>
  <c r="AG302" i="17"/>
  <c r="W302" i="17"/>
  <c r="N302" i="17"/>
  <c r="Y300" i="17"/>
  <c r="AA296" i="17"/>
  <c r="AO295" i="17"/>
  <c r="AO294" i="17"/>
  <c r="AH293" i="17"/>
  <c r="AG292" i="17"/>
  <c r="S291" i="17"/>
  <c r="AI291" i="17"/>
  <c r="T291" i="17"/>
  <c r="AJ291" i="17"/>
  <c r="U291" i="17"/>
  <c r="AK291" i="17"/>
  <c r="AF289" i="17"/>
  <c r="AJ284" i="17"/>
  <c r="AI283" i="17"/>
  <c r="L283" i="17"/>
  <c r="AG275" i="17"/>
  <c r="S275" i="17"/>
  <c r="AQ274" i="17"/>
  <c r="AQ272" i="17"/>
  <c r="U272" i="17"/>
  <c r="AL271" i="17"/>
  <c r="AR270" i="17"/>
  <c r="AO264" i="17"/>
  <c r="M264" i="17"/>
  <c r="Z263" i="17"/>
  <c r="AM262" i="17"/>
  <c r="AA262" i="17"/>
  <c r="AK259" i="17"/>
  <c r="Z259" i="17"/>
  <c r="L259" i="17"/>
  <c r="R257" i="17"/>
  <c r="O257" i="17"/>
  <c r="Y257" i="17"/>
  <c r="AK257" i="17"/>
  <c r="P257" i="17"/>
  <c r="AB257" i="17"/>
  <c r="AL257" i="17"/>
  <c r="Q257" i="17"/>
  <c r="AC257" i="17"/>
  <c r="AM257" i="17"/>
  <c r="T256" i="17"/>
  <c r="Y255" i="17"/>
  <c r="AJ253" i="17"/>
  <c r="K253" i="17"/>
  <c r="P253" i="17"/>
  <c r="V252" i="17"/>
  <c r="X252" i="17"/>
  <c r="Y252" i="17"/>
  <c r="AD251" i="17"/>
  <c r="Q251" i="17"/>
  <c r="AE250" i="17"/>
  <c r="U246" i="17"/>
  <c r="AN243" i="17"/>
  <c r="S243" i="17"/>
  <c r="AF242" i="17"/>
  <c r="AS241" i="17"/>
  <c r="U241" i="17"/>
  <c r="AH238" i="17"/>
  <c r="AG233" i="17"/>
  <c r="S233" i="17"/>
  <c r="AR233" i="17"/>
  <c r="X233" i="17"/>
  <c r="Y233" i="17"/>
  <c r="AD229" i="17"/>
  <c r="L229" i="17"/>
  <c r="AR221" i="17"/>
  <c r="X221" i="17"/>
  <c r="AO215" i="17"/>
  <c r="AG212" i="17"/>
  <c r="AD209" i="17"/>
  <c r="S206" i="17"/>
  <c r="L206" i="17"/>
  <c r="AN206" i="17"/>
  <c r="V206" i="17"/>
  <c r="W206" i="17"/>
  <c r="AH204" i="17"/>
  <c r="AQ203" i="17"/>
  <c r="AR198" i="17"/>
  <c r="W198" i="17"/>
  <c r="Y193" i="17"/>
  <c r="AL190" i="17"/>
  <c r="M190" i="17"/>
  <c r="AS190" i="17"/>
  <c r="N190" i="17"/>
  <c r="Y190" i="17"/>
  <c r="Z190" i="17"/>
  <c r="AC190" i="17"/>
  <c r="AD185" i="17"/>
  <c r="O185" i="17"/>
  <c r="AF181" i="17"/>
  <c r="AP179" i="17"/>
  <c r="AQ179" i="17"/>
  <c r="U174" i="17"/>
  <c r="S169" i="17"/>
  <c r="X168" i="17"/>
  <c r="W166" i="17"/>
  <c r="AO161" i="17"/>
  <c r="S161" i="17"/>
  <c r="Q156" i="17"/>
  <c r="U156" i="17"/>
  <c r="AM156" i="17"/>
  <c r="AN156" i="17"/>
  <c r="Y148" i="17"/>
  <c r="AB146" i="17"/>
  <c r="AR146" i="17"/>
  <c r="K146" i="17"/>
  <c r="AC146" i="17"/>
  <c r="N146" i="17"/>
  <c r="AD146" i="17"/>
  <c r="V146" i="17"/>
  <c r="AA146" i="17"/>
  <c r="AJ146" i="17"/>
  <c r="AS144" i="17"/>
  <c r="O144" i="17"/>
  <c r="T139" i="17"/>
  <c r="AM137" i="17"/>
  <c r="L130" i="17"/>
  <c r="AP125" i="17"/>
  <c r="M125" i="17"/>
  <c r="AC123" i="17"/>
  <c r="L123" i="17"/>
  <c r="AK123" i="17"/>
  <c r="M123" i="17"/>
  <c r="AM123" i="17"/>
  <c r="AO123" i="17"/>
  <c r="N123" i="17"/>
  <c r="U123" i="17"/>
  <c r="Y123" i="17"/>
  <c r="AJ123" i="17"/>
  <c r="AN123" i="17"/>
  <c r="AD109" i="17"/>
  <c r="AS104" i="17"/>
  <c r="S104" i="17"/>
  <c r="AF101" i="17"/>
  <c r="AS99" i="17"/>
  <c r="AM96" i="17"/>
  <c r="AH95" i="17"/>
  <c r="N53" i="17"/>
  <c r="AC53" i="17"/>
  <c r="AO53" i="17"/>
  <c r="P53" i="17"/>
  <c r="AD53" i="17"/>
  <c r="AR53" i="17"/>
  <c r="AB53" i="17"/>
  <c r="L53" i="17"/>
  <c r="AF53" i="17"/>
  <c r="AH53" i="17"/>
  <c r="M53" i="17"/>
  <c r="AL53" i="17"/>
  <c r="R53" i="17"/>
  <c r="AM53" i="17"/>
  <c r="X53" i="17"/>
  <c r="AG53" i="17"/>
  <c r="AN53" i="17"/>
  <c r="AG30" i="17"/>
  <c r="AK267" i="17"/>
  <c r="AB267" i="17"/>
  <c r="S267" i="17"/>
  <c r="AK218" i="17"/>
  <c r="AB218" i="17"/>
  <c r="S218" i="17"/>
  <c r="AI217" i="17"/>
  <c r="X217" i="17"/>
  <c r="K186" i="17"/>
  <c r="AA186" i="17"/>
  <c r="AG186" i="17"/>
  <c r="L165" i="17"/>
  <c r="Z165" i="17"/>
  <c r="AP165" i="17"/>
  <c r="O165" i="17"/>
  <c r="AE165" i="17"/>
  <c r="AQ165" i="17"/>
  <c r="P165" i="17"/>
  <c r="AF165" i="17"/>
  <c r="AR165" i="17"/>
  <c r="AI157" i="17"/>
  <c r="Q157" i="17"/>
  <c r="R157" i="17"/>
  <c r="W157" i="17"/>
  <c r="L136" i="17"/>
  <c r="AF136" i="17"/>
  <c r="Q136" i="17"/>
  <c r="AI136" i="17"/>
  <c r="T136" i="17"/>
  <c r="AJ136" i="17"/>
  <c r="K108" i="17"/>
  <c r="Z108" i="17"/>
  <c r="AO108" i="17"/>
  <c r="O108" i="17"/>
  <c r="AA108" i="17"/>
  <c r="AP108" i="17"/>
  <c r="R108" i="17"/>
  <c r="AM108" i="17"/>
  <c r="W108" i="17"/>
  <c r="AN108" i="17"/>
  <c r="X108" i="17"/>
  <c r="AQ108" i="17"/>
  <c r="S85" i="17"/>
  <c r="AH85" i="17"/>
  <c r="AQ85" i="17"/>
  <c r="AO44" i="17"/>
  <c r="P44" i="17"/>
  <c r="W44" i="17"/>
  <c r="X44" i="17"/>
  <c r="AM44" i="17"/>
  <c r="AN44" i="17"/>
  <c r="K29" i="17"/>
  <c r="AD29" i="17"/>
  <c r="AE29" i="17"/>
  <c r="X29" i="17"/>
  <c r="AG29" i="17"/>
  <c r="AR29" i="17"/>
  <c r="K176" i="17"/>
  <c r="AA176" i="17"/>
  <c r="AR176" i="17"/>
  <c r="L176" i="17"/>
  <c r="AB176" i="17"/>
  <c r="M155" i="17"/>
  <c r="AC155" i="17"/>
  <c r="N155" i="17"/>
  <c r="AF155" i="17"/>
  <c r="Q155" i="17"/>
  <c r="AJ155" i="17"/>
  <c r="N153" i="17"/>
  <c r="AD153" i="17"/>
  <c r="AP153" i="17"/>
  <c r="O153" i="17"/>
  <c r="AE153" i="17"/>
  <c r="AQ153" i="17"/>
  <c r="R153" i="17"/>
  <c r="AF153" i="17"/>
  <c r="O81" i="17"/>
  <c r="AF81" i="17"/>
  <c r="AJ81" i="17"/>
  <c r="P81" i="17"/>
  <c r="T27" i="17"/>
  <c r="AD27" i="17"/>
  <c r="AI18" i="17"/>
  <c r="R18" i="17"/>
  <c r="AR18" i="17"/>
  <c r="S18" i="17"/>
  <c r="AS18" i="17"/>
  <c r="T18" i="17"/>
  <c r="AD18" i="17"/>
  <c r="AH18" i="17"/>
  <c r="AQ18" i="17"/>
  <c r="AJ277" i="17"/>
  <c r="AI267" i="17"/>
  <c r="Z267" i="17"/>
  <c r="AR218" i="17"/>
  <c r="AI218" i="17"/>
  <c r="Z218" i="17"/>
  <c r="Q218" i="17"/>
  <c r="AR217" i="17"/>
  <c r="AF217" i="17"/>
  <c r="S217" i="17"/>
  <c r="V187" i="17"/>
  <c r="R187" i="17"/>
  <c r="AI187" i="17"/>
  <c r="S187" i="17"/>
  <c r="AO187" i="17"/>
  <c r="Z176" i="17"/>
  <c r="R167" i="17"/>
  <c r="Y167" i="17"/>
  <c r="Z167" i="17"/>
  <c r="AD167" i="17"/>
  <c r="X165" i="17"/>
  <c r="AO157" i="17"/>
  <c r="AB155" i="17"/>
  <c r="Y153" i="17"/>
  <c r="AB143" i="17"/>
  <c r="L143" i="17"/>
  <c r="AC143" i="17"/>
  <c r="M143" i="17"/>
  <c r="AH143" i="17"/>
  <c r="AD136" i="17"/>
  <c r="K133" i="17"/>
  <c r="S133" i="17"/>
  <c r="L133" i="17"/>
  <c r="O133" i="17"/>
  <c r="X133" i="17"/>
  <c r="AF133" i="17"/>
  <c r="AN133" i="17"/>
  <c r="P133" i="17"/>
  <c r="Y133" i="17"/>
  <c r="AG133" i="17"/>
  <c r="AO133" i="17"/>
  <c r="Q133" i="17"/>
  <c r="Z133" i="17"/>
  <c r="AH133" i="17"/>
  <c r="AP133" i="17"/>
  <c r="M118" i="17"/>
  <c r="AL118" i="17"/>
  <c r="N118" i="17"/>
  <c r="AS118" i="17"/>
  <c r="U118" i="17"/>
  <c r="Y118" i="17"/>
  <c r="AF118" i="17"/>
  <c r="AD112" i="17"/>
  <c r="Q112" i="17"/>
  <c r="AO112" i="17"/>
  <c r="T112" i="17"/>
  <c r="AQ112" i="17"/>
  <c r="AS112" i="17"/>
  <c r="L112" i="17"/>
  <c r="U112" i="17"/>
  <c r="AF108" i="17"/>
  <c r="AJ98" i="17"/>
  <c r="S98" i="17"/>
  <c r="T98" i="17"/>
  <c r="U98" i="17"/>
  <c r="AP98" i="17"/>
  <c r="AF78" i="17"/>
  <c r="O78" i="17"/>
  <c r="AH78" i="17"/>
  <c r="P78" i="17"/>
  <c r="AO78" i="17"/>
  <c r="AR78" i="17"/>
  <c r="R78" i="17"/>
  <c r="AS78" i="17"/>
  <c r="S78" i="17"/>
  <c r="V78" i="17"/>
  <c r="AB78" i="17"/>
  <c r="P77" i="17"/>
  <c r="AG77" i="17"/>
  <c r="Q77" i="17"/>
  <c r="AH77" i="17"/>
  <c r="AA77" i="17"/>
  <c r="AB77" i="17"/>
  <c r="Z77" i="17"/>
  <c r="AF77" i="17"/>
  <c r="AN77" i="17"/>
  <c r="S40" i="17"/>
  <c r="X40" i="17"/>
  <c r="O40" i="17"/>
  <c r="Q40" i="17"/>
  <c r="AA40" i="17"/>
  <c r="AG40" i="17"/>
  <c r="AJ14" i="17"/>
  <c r="AK14" i="17"/>
  <c r="AH14" i="17"/>
  <c r="AJ171" i="17"/>
  <c r="AA163" i="17"/>
  <c r="AR149" i="17"/>
  <c r="AI149" i="17"/>
  <c r="Z149" i="17"/>
  <c r="Q149" i="17"/>
  <c r="AA117" i="17"/>
  <c r="K117" i="17"/>
  <c r="AE117" i="17"/>
  <c r="P117" i="17"/>
  <c r="AF117" i="17"/>
  <c r="P94" i="17"/>
  <c r="AG94" i="17"/>
  <c r="Q94" i="17"/>
  <c r="AM94" i="17"/>
  <c r="W62" i="17"/>
  <c r="AS62" i="17"/>
  <c r="X62" i="17"/>
  <c r="Z62" i="17"/>
  <c r="AE62" i="17"/>
  <c r="AR56" i="17"/>
  <c r="AE56" i="17"/>
  <c r="AF56" i="17"/>
  <c r="P48" i="17"/>
  <c r="AK48" i="17"/>
  <c r="Q48" i="17"/>
  <c r="AR48" i="17"/>
  <c r="S48" i="17"/>
  <c r="AA48" i="17"/>
  <c r="Y22" i="17"/>
  <c r="Z22" i="17"/>
  <c r="AK192" i="17"/>
  <c r="AS191" i="17"/>
  <c r="AF191" i="17"/>
  <c r="AG183" i="17"/>
  <c r="AL177" i="17"/>
  <c r="U177" i="17"/>
  <c r="Z163" i="17"/>
  <c r="AQ149" i="17"/>
  <c r="AH149" i="17"/>
  <c r="Y149" i="17"/>
  <c r="AK135" i="17"/>
  <c r="M131" i="17"/>
  <c r="AE131" i="17"/>
  <c r="N131" i="17"/>
  <c r="AF131" i="17"/>
  <c r="AD117" i="17"/>
  <c r="AE94" i="17"/>
  <c r="Q82" i="17"/>
  <c r="AN82" i="17"/>
  <c r="S82" i="17"/>
  <c r="AO82" i="17"/>
  <c r="P82" i="17"/>
  <c r="AQ82" i="17"/>
  <c r="W82" i="17"/>
  <c r="P71" i="17"/>
  <c r="AJ71" i="17"/>
  <c r="T71" i="17"/>
  <c r="AK71" i="17"/>
  <c r="Z71" i="17"/>
  <c r="AA71" i="17"/>
  <c r="K69" i="17"/>
  <c r="S69" i="17"/>
  <c r="AA69" i="17"/>
  <c r="AI69" i="17"/>
  <c r="AQ69" i="17"/>
  <c r="L69" i="17"/>
  <c r="T69" i="17"/>
  <c r="AB69" i="17"/>
  <c r="AJ69" i="17"/>
  <c r="AR69" i="17"/>
  <c r="N69" i="17"/>
  <c r="X69" i="17"/>
  <c r="AH69" i="17"/>
  <c r="O69" i="17"/>
  <c r="Y69" i="17"/>
  <c r="AK69" i="17"/>
  <c r="AP62" i="17"/>
  <c r="S49" i="17"/>
  <c r="AN49" i="17"/>
  <c r="AB31" i="17"/>
  <c r="AR31" i="17"/>
  <c r="R31" i="17"/>
  <c r="L86" i="17"/>
  <c r="T86" i="17"/>
  <c r="AB86" i="17"/>
  <c r="AJ86" i="17"/>
  <c r="AR86" i="17"/>
  <c r="M86" i="17"/>
  <c r="U86" i="17"/>
  <c r="AC86" i="17"/>
  <c r="AK86" i="17"/>
  <c r="AS86" i="17"/>
  <c r="N83" i="17"/>
  <c r="Y83" i="17"/>
  <c r="AI83" i="17"/>
  <c r="AS83" i="17"/>
  <c r="O83" i="17"/>
  <c r="Z83" i="17"/>
  <c r="AJ83" i="17"/>
  <c r="AJ75" i="17"/>
  <c r="S75" i="17"/>
  <c r="AO75" i="17"/>
  <c r="W68" i="17"/>
  <c r="L68" i="17"/>
  <c r="AE68" i="17"/>
  <c r="M68" i="17"/>
  <c r="AF68" i="17"/>
  <c r="X32" i="17"/>
  <c r="Y32" i="17"/>
  <c r="S15" i="17"/>
  <c r="AH15" i="17"/>
  <c r="W15" i="17"/>
  <c r="AI15" i="17"/>
  <c r="Q12" i="17"/>
  <c r="R12" i="17"/>
  <c r="P70" i="17"/>
  <c r="AA70" i="17"/>
  <c r="AO70" i="17"/>
  <c r="Q70" i="17"/>
  <c r="AD70" i="17"/>
  <c r="AP70" i="17"/>
  <c r="P60" i="17"/>
  <c r="AE60" i="17"/>
  <c r="AR60" i="17"/>
  <c r="R60" i="17"/>
  <c r="AG60" i="17"/>
  <c r="AD46" i="17"/>
  <c r="AE46" i="17"/>
  <c r="AF46" i="17"/>
  <c r="R37" i="17"/>
  <c r="M37" i="17"/>
  <c r="W37" i="17"/>
  <c r="AG37" i="17"/>
  <c r="AP37" i="17"/>
  <c r="N37" i="17"/>
  <c r="X37" i="17"/>
  <c r="AH37" i="17"/>
  <c r="AQ37" i="17"/>
  <c r="AG36" i="17"/>
  <c r="AH36" i="17"/>
  <c r="N26" i="17"/>
  <c r="AA26" i="17"/>
  <c r="AP26" i="17"/>
  <c r="O26" i="17"/>
  <c r="AE26" i="17"/>
  <c r="AQ26" i="17"/>
  <c r="S17" i="17"/>
  <c r="AD17" i="17"/>
  <c r="AJ61" i="17"/>
  <c r="AL45" i="17"/>
  <c r="AB45" i="17"/>
  <c r="R45" i="17"/>
  <c r="N299" i="17"/>
  <c r="Z299" i="17"/>
  <c r="AK299" i="17"/>
  <c r="AA299" i="17"/>
  <c r="AP299" i="17"/>
  <c r="AS299" i="17"/>
  <c r="S299" i="17"/>
  <c r="K299" i="17"/>
  <c r="AB299" i="17"/>
  <c r="AQ299" i="17"/>
  <c r="AH299" i="17"/>
  <c r="AJ299" i="17"/>
  <c r="L299" i="17"/>
  <c r="AC299" i="17"/>
  <c r="AR299" i="17"/>
  <c r="M299" i="17"/>
  <c r="R299" i="17"/>
  <c r="AG299" i="17"/>
  <c r="AI299" i="17"/>
  <c r="T299" i="17"/>
  <c r="R348" i="17"/>
  <c r="Q348" i="17"/>
  <c r="AC348" i="17"/>
  <c r="AM348" i="17"/>
  <c r="L348" i="17"/>
  <c r="W348" i="17"/>
  <c r="AJ348" i="17"/>
  <c r="O348" i="17"/>
  <c r="P348" i="17"/>
  <c r="AO348" i="17"/>
  <c r="M348" i="17"/>
  <c r="X348" i="17"/>
  <c r="AK348" i="17"/>
  <c r="AB348" i="17"/>
  <c r="T348" i="17"/>
  <c r="AR348" i="17"/>
  <c r="N348" i="17"/>
  <c r="Y348" i="17"/>
  <c r="AL348" i="17"/>
  <c r="AN348" i="17"/>
  <c r="AD348" i="17"/>
  <c r="AE348" i="17"/>
  <c r="N180" i="17"/>
  <c r="AD180" i="17"/>
  <c r="AR180" i="17"/>
  <c r="L180" i="17"/>
  <c r="Y180" i="17"/>
  <c r="AS180" i="17"/>
  <c r="M180" i="17"/>
  <c r="AE180" i="17"/>
  <c r="O180" i="17"/>
  <c r="AF180" i="17"/>
  <c r="T180" i="17"/>
  <c r="AN180" i="17"/>
  <c r="U180" i="17"/>
  <c r="AO180" i="17"/>
  <c r="V180" i="17"/>
  <c r="W180" i="17"/>
  <c r="X180" i="17"/>
  <c r="AG180" i="17"/>
  <c r="AJ180" i="17"/>
  <c r="AK180" i="17"/>
  <c r="R120" i="17"/>
  <c r="O120" i="17"/>
  <c r="X120" i="17"/>
  <c r="AG120" i="17"/>
  <c r="AQ120" i="17"/>
  <c r="M120" i="17"/>
  <c r="W120" i="17"/>
  <c r="AI120" i="17"/>
  <c r="AS120" i="17"/>
  <c r="N120" i="17"/>
  <c r="AA120" i="17"/>
  <c r="AL120" i="17"/>
  <c r="P120" i="17"/>
  <c r="AB120" i="17"/>
  <c r="AM120" i="17"/>
  <c r="Q120" i="17"/>
  <c r="AC120" i="17"/>
  <c r="AN120" i="17"/>
  <c r="T120" i="17"/>
  <c r="AK120" i="17"/>
  <c r="U120" i="17"/>
  <c r="AO120" i="17"/>
  <c r="V120" i="17"/>
  <c r="AR120" i="17"/>
  <c r="AJ120" i="17"/>
  <c r="K120" i="17"/>
  <c r="AD120" i="17"/>
  <c r="L120" i="17"/>
  <c r="Y120" i="17"/>
  <c r="AE120" i="17"/>
  <c r="S120" i="17"/>
  <c r="AS316" i="17"/>
  <c r="AS348" i="17"/>
  <c r="L341" i="17"/>
  <c r="Y341" i="17"/>
  <c r="AQ341" i="17"/>
  <c r="K341" i="17"/>
  <c r="AI341" i="17"/>
  <c r="S341" i="17"/>
  <c r="Q341" i="17"/>
  <c r="AO341" i="17"/>
  <c r="AA341" i="17"/>
  <c r="R341" i="17"/>
  <c r="AP341" i="17"/>
  <c r="Z341" i="17"/>
  <c r="N313" i="17"/>
  <c r="V313" i="17"/>
  <c r="AD313" i="17"/>
  <c r="AL313" i="17"/>
  <c r="S313" i="17"/>
  <c r="AB313" i="17"/>
  <c r="AK313" i="17"/>
  <c r="M313" i="17"/>
  <c r="AO313" i="17"/>
  <c r="O313" i="17"/>
  <c r="Q313" i="17"/>
  <c r="AI313" i="17"/>
  <c r="K313" i="17"/>
  <c r="T313" i="17"/>
  <c r="AC313" i="17"/>
  <c r="AM313" i="17"/>
  <c r="X313" i="17"/>
  <c r="P313" i="17"/>
  <c r="AH313" i="17"/>
  <c r="AQ313" i="17"/>
  <c r="AR313" i="17"/>
  <c r="L313" i="17"/>
  <c r="U313" i="17"/>
  <c r="AE313" i="17"/>
  <c r="AN313" i="17"/>
  <c r="AF313" i="17"/>
  <c r="AG313" i="17"/>
  <c r="W313" i="17"/>
  <c r="AP313" i="17"/>
  <c r="Y313" i="17"/>
  <c r="Z313" i="17"/>
  <c r="M304" i="17"/>
  <c r="K304" i="17"/>
  <c r="AG304" i="17"/>
  <c r="AH304" i="17"/>
  <c r="S304" i="17"/>
  <c r="AP304" i="17"/>
  <c r="L304" i="17"/>
  <c r="AI304" i="17"/>
  <c r="Z304" i="17"/>
  <c r="R304" i="17"/>
  <c r="AJ304" i="17"/>
  <c r="AO304" i="17"/>
  <c r="T304" i="17"/>
  <c r="AR304" i="17"/>
  <c r="AQ304" i="17"/>
  <c r="AA304" i="17"/>
  <c r="AO299" i="17"/>
  <c r="X228" i="17"/>
  <c r="AJ228" i="17"/>
  <c r="AA228" i="17"/>
  <c r="AR228" i="17"/>
  <c r="AB228" i="17"/>
  <c r="AG228" i="17"/>
  <c r="AP228" i="17"/>
  <c r="S228" i="17"/>
  <c r="Y228" i="17"/>
  <c r="O228" i="17"/>
  <c r="AH228" i="17"/>
  <c r="AQ228" i="17"/>
  <c r="P228" i="17"/>
  <c r="AI228" i="17"/>
  <c r="Q228" i="17"/>
  <c r="AK228" i="17"/>
  <c r="AS228" i="17"/>
  <c r="R228" i="17"/>
  <c r="P93" i="17"/>
  <c r="X93" i="17"/>
  <c r="AF93" i="17"/>
  <c r="AN93" i="17"/>
  <c r="S93" i="17"/>
  <c r="AB93" i="17"/>
  <c r="AK93" i="17"/>
  <c r="L93" i="17"/>
  <c r="V93" i="17"/>
  <c r="AG93" i="17"/>
  <c r="AQ93" i="17"/>
  <c r="M93" i="17"/>
  <c r="W93" i="17"/>
  <c r="AH93" i="17"/>
  <c r="AR93" i="17"/>
  <c r="N93" i="17"/>
  <c r="Y93" i="17"/>
  <c r="AI93" i="17"/>
  <c r="AS93" i="17"/>
  <c r="K93" i="17"/>
  <c r="AC93" i="17"/>
  <c r="O93" i="17"/>
  <c r="AD93" i="17"/>
  <c r="Q93" i="17"/>
  <c r="AE93" i="17"/>
  <c r="AM93" i="17"/>
  <c r="Z93" i="17"/>
  <c r="R93" i="17"/>
  <c r="AO93" i="17"/>
  <c r="AA93" i="17"/>
  <c r="T93" i="17"/>
  <c r="AP93" i="17"/>
  <c r="AJ93" i="17"/>
  <c r="U93" i="17"/>
  <c r="P281" i="17"/>
  <c r="X281" i="17"/>
  <c r="AF281" i="17"/>
  <c r="AN281" i="17"/>
  <c r="O281" i="17"/>
  <c r="Y281" i="17"/>
  <c r="AH281" i="17"/>
  <c r="AQ281" i="17"/>
  <c r="T281" i="17"/>
  <c r="AD281" i="17"/>
  <c r="AO281" i="17"/>
  <c r="Z281" i="17"/>
  <c r="AK281" i="17"/>
  <c r="AL281" i="17"/>
  <c r="K281" i="17"/>
  <c r="U281" i="17"/>
  <c r="AE281" i="17"/>
  <c r="AP281" i="17"/>
  <c r="M281" i="17"/>
  <c r="AI281" i="17"/>
  <c r="AJ281" i="17"/>
  <c r="AA281" i="17"/>
  <c r="R281" i="17"/>
  <c r="L281" i="17"/>
  <c r="V281" i="17"/>
  <c r="AG281" i="17"/>
  <c r="AR281" i="17"/>
  <c r="W281" i="17"/>
  <c r="AS281" i="17"/>
  <c r="N281" i="17"/>
  <c r="Q281" i="17"/>
  <c r="AB281" i="17"/>
  <c r="K322" i="17"/>
  <c r="Z322" i="17"/>
  <c r="AG322" i="17"/>
  <c r="AO322" i="17"/>
  <c r="Q322" i="17"/>
  <c r="Y322" i="17"/>
  <c r="R322" i="17"/>
  <c r="AH322" i="17"/>
  <c r="R340" i="17"/>
  <c r="L340" i="17"/>
  <c r="V340" i="17"/>
  <c r="AF340" i="17"/>
  <c r="AR340" i="17"/>
  <c r="M340" i="17"/>
  <c r="X340" i="17"/>
  <c r="AK340" i="17"/>
  <c r="T340" i="17"/>
  <c r="AS340" i="17"/>
  <c r="N340" i="17"/>
  <c r="Y340" i="17"/>
  <c r="AL340" i="17"/>
  <c r="AN340" i="17"/>
  <c r="AD340" i="17"/>
  <c r="AE340" i="17"/>
  <c r="O340" i="17"/>
  <c r="AB340" i="17"/>
  <c r="AM340" i="17"/>
  <c r="P340" i="17"/>
  <c r="AO340" i="17"/>
  <c r="AC340" i="17"/>
  <c r="Q340" i="17"/>
  <c r="P334" i="17"/>
  <c r="K334" i="17"/>
  <c r="T334" i="17"/>
  <c r="AC334" i="17"/>
  <c r="AL334" i="17"/>
  <c r="U334" i="17"/>
  <c r="AE334" i="17"/>
  <c r="AP334" i="17"/>
  <c r="AS334" i="17"/>
  <c r="O334" i="17"/>
  <c r="AJ334" i="17"/>
  <c r="L334" i="17"/>
  <c r="V334" i="17"/>
  <c r="AG334" i="17"/>
  <c r="AQ334" i="17"/>
  <c r="N334" i="17"/>
  <c r="AA334" i="17"/>
  <c r="M334" i="17"/>
  <c r="W334" i="17"/>
  <c r="AH334" i="17"/>
  <c r="AR334" i="17"/>
  <c r="Y334" i="17"/>
  <c r="Z334" i="17"/>
  <c r="AK334" i="17"/>
  <c r="AB334" i="17"/>
  <c r="AI334" i="17"/>
  <c r="Q334" i="17"/>
  <c r="R334" i="17"/>
  <c r="Q234" i="17"/>
  <c r="AA234" i="17"/>
  <c r="N234" i="17"/>
  <c r="AK234" i="17"/>
  <c r="Y234" i="17"/>
  <c r="Z234" i="17"/>
  <c r="AP234" i="17"/>
  <c r="AQ234" i="17"/>
  <c r="Z226" i="17"/>
  <c r="T226" i="17"/>
  <c r="AR226" i="17"/>
  <c r="S226" i="17"/>
  <c r="AS226" i="17"/>
  <c r="Q226" i="17"/>
  <c r="AK226" i="17"/>
  <c r="AJ226" i="17"/>
  <c r="AH226" i="17"/>
  <c r="O226" i="17"/>
  <c r="AB226" i="17"/>
  <c r="R226" i="17"/>
  <c r="Y226" i="17"/>
  <c r="AC226" i="17"/>
  <c r="AA223" i="17"/>
  <c r="AO223" i="17"/>
  <c r="M223" i="17"/>
  <c r="AF223" i="17"/>
  <c r="U223" i="17"/>
  <c r="AS223" i="17"/>
  <c r="AD223" i="17"/>
  <c r="S223" i="17"/>
  <c r="AB223" i="17"/>
  <c r="K223" i="17"/>
  <c r="AK223" i="17"/>
  <c r="L223" i="17"/>
  <c r="AL223" i="17"/>
  <c r="R223" i="17"/>
  <c r="AN223" i="17"/>
  <c r="V223" i="17"/>
  <c r="R316" i="17"/>
  <c r="P316" i="17"/>
  <c r="AB316" i="17"/>
  <c r="AL316" i="17"/>
  <c r="V316" i="17"/>
  <c r="AG316" i="17"/>
  <c r="AC316" i="17"/>
  <c r="AE316" i="17"/>
  <c r="L316" i="17"/>
  <c r="W316" i="17"/>
  <c r="AJ316" i="17"/>
  <c r="N316" i="17"/>
  <c r="AM316" i="17"/>
  <c r="AD316" i="17"/>
  <c r="T316" i="17"/>
  <c r="AR316" i="17"/>
  <c r="M316" i="17"/>
  <c r="X316" i="17"/>
  <c r="AK316" i="17"/>
  <c r="AN316" i="17"/>
  <c r="Y316" i="17"/>
  <c r="O316" i="17"/>
  <c r="Q316" i="17"/>
  <c r="AO316" i="17"/>
  <c r="K225" i="17"/>
  <c r="AQ225" i="17"/>
  <c r="AL225" i="17"/>
  <c r="Z225" i="17"/>
  <c r="AM225" i="17"/>
  <c r="P225" i="17"/>
  <c r="AB225" i="17"/>
  <c r="Y225" i="17"/>
  <c r="AA225" i="17"/>
  <c r="AR225" i="17"/>
  <c r="O116" i="17"/>
  <c r="Z116" i="17"/>
  <c r="AN116" i="17"/>
  <c r="R116" i="17"/>
  <c r="AG116" i="17"/>
  <c r="S116" i="17"/>
  <c r="AI116" i="17"/>
  <c r="W116" i="17"/>
  <c r="AM116" i="17"/>
  <c r="X116" i="17"/>
  <c r="AO116" i="17"/>
  <c r="P116" i="17"/>
  <c r="AQ116" i="17"/>
  <c r="Q116" i="17"/>
  <c r="Y116" i="17"/>
  <c r="AF116" i="17"/>
  <c r="K116" i="17"/>
  <c r="AA116" i="17"/>
  <c r="AP116" i="17"/>
  <c r="AE116" i="17"/>
  <c r="AH116" i="17"/>
  <c r="M67" i="17"/>
  <c r="AL67" i="17"/>
  <c r="AM67" i="17"/>
  <c r="U67" i="17"/>
  <c r="V67" i="17"/>
  <c r="AC67" i="17"/>
  <c r="AN67" i="17"/>
  <c r="AO67" i="17"/>
  <c r="L67" i="17"/>
  <c r="L349" i="17"/>
  <c r="Q349" i="17"/>
  <c r="AI349" i="17"/>
  <c r="AH349" i="17"/>
  <c r="S349" i="17"/>
  <c r="K349" i="17"/>
  <c r="AO349" i="17"/>
  <c r="Z349" i="17"/>
  <c r="R349" i="17"/>
  <c r="AP349" i="17"/>
  <c r="AQ349" i="17"/>
  <c r="Y349" i="17"/>
  <c r="AG348" i="17"/>
  <c r="AJ340" i="17"/>
  <c r="U316" i="17"/>
  <c r="U299" i="17"/>
  <c r="AC281" i="17"/>
  <c r="U106" i="17"/>
  <c r="AK106" i="17"/>
  <c r="S106" i="17"/>
  <c r="AJ106" i="17"/>
  <c r="K106" i="17"/>
  <c r="AH106" i="17"/>
  <c r="L106" i="17"/>
  <c r="AI106" i="17"/>
  <c r="R106" i="17"/>
  <c r="AQ106" i="17"/>
  <c r="Z106" i="17"/>
  <c r="AC106" i="17"/>
  <c r="AG106" i="17"/>
  <c r="T106" i="17"/>
  <c r="Y106" i="17"/>
  <c r="AR106" i="17"/>
  <c r="AS106" i="17"/>
  <c r="AF348" i="17"/>
  <c r="AG340" i="17"/>
  <c r="K321" i="17"/>
  <c r="S321" i="17"/>
  <c r="AA321" i="17"/>
  <c r="AI321" i="17"/>
  <c r="AQ321" i="17"/>
  <c r="T321" i="17"/>
  <c r="AC321" i="17"/>
  <c r="AL321" i="17"/>
  <c r="N321" i="17"/>
  <c r="Q321" i="17"/>
  <c r="AS321" i="17"/>
  <c r="L321" i="17"/>
  <c r="U321" i="17"/>
  <c r="AD321" i="17"/>
  <c r="AM321" i="17"/>
  <c r="AF321" i="17"/>
  <c r="P321" i="17"/>
  <c r="AH321" i="17"/>
  <c r="AJ321" i="17"/>
  <c r="M321" i="17"/>
  <c r="V321" i="17"/>
  <c r="AE321" i="17"/>
  <c r="AN321" i="17"/>
  <c r="W321" i="17"/>
  <c r="O321" i="17"/>
  <c r="AP321" i="17"/>
  <c r="Z321" i="17"/>
  <c r="AO321" i="17"/>
  <c r="X321" i="17"/>
  <c r="AG321" i="17"/>
  <c r="Y321" i="17"/>
  <c r="AR321" i="17"/>
  <c r="R311" i="17"/>
  <c r="Q311" i="17"/>
  <c r="AO311" i="17"/>
  <c r="Y311" i="17"/>
  <c r="AG311" i="17"/>
  <c r="S281" i="17"/>
  <c r="AF120" i="17"/>
  <c r="L325" i="17"/>
  <c r="Y325" i="17"/>
  <c r="AQ325" i="17"/>
  <c r="AR286" i="17"/>
  <c r="T286" i="17"/>
  <c r="N237" i="17"/>
  <c r="V237" i="17"/>
  <c r="AD237" i="17"/>
  <c r="AL237" i="17"/>
  <c r="O237" i="17"/>
  <c r="X237" i="17"/>
  <c r="AG237" i="17"/>
  <c r="AP237" i="17"/>
  <c r="K237" i="17"/>
  <c r="U237" i="17"/>
  <c r="AF237" i="17"/>
  <c r="AQ237" i="17"/>
  <c r="AE324" i="17"/>
  <c r="M320" i="17"/>
  <c r="S320" i="17"/>
  <c r="AI320" i="17"/>
  <c r="O266" i="17"/>
  <c r="AH266" i="17"/>
  <c r="AE237" i="17"/>
  <c r="Q324" i="17"/>
  <c r="S318" i="17"/>
  <c r="K306" i="17"/>
  <c r="Y306" i="17"/>
  <c r="L301" i="17"/>
  <c r="Z301" i="17"/>
  <c r="U300" i="17"/>
  <c r="AM294" i="17"/>
  <c r="AO292" i="17"/>
  <c r="Q292" i="17"/>
  <c r="AC286" i="17"/>
  <c r="P269" i="17"/>
  <c r="AA269" i="17"/>
  <c r="AO269" i="17"/>
  <c r="Q269" i="17"/>
  <c r="AF269" i="17"/>
  <c r="AR269" i="17"/>
  <c r="R237" i="17"/>
  <c r="T208" i="17"/>
  <c r="AD208" i="17"/>
  <c r="Z208" i="17"/>
  <c r="AF208" i="17"/>
  <c r="K151" i="17"/>
  <c r="AC151" i="17"/>
  <c r="AF151" i="17"/>
  <c r="P151" i="17"/>
  <c r="AK151" i="17"/>
  <c r="Q151" i="17"/>
  <c r="AN151" i="17"/>
  <c r="U151" i="17"/>
  <c r="Z151" i="17"/>
  <c r="AA151" i="17"/>
  <c r="S326" i="17"/>
  <c r="S325" i="17"/>
  <c r="P324" i="17"/>
  <c r="AO320" i="17"/>
  <c r="AB318" i="17"/>
  <c r="AJ312" i="17"/>
  <c r="AG301" i="17"/>
  <c r="AE300" i="17"/>
  <c r="AG298" i="17"/>
  <c r="AN292" i="17"/>
  <c r="P292" i="17"/>
  <c r="R289" i="17"/>
  <c r="AH280" i="17"/>
  <c r="N279" i="17"/>
  <c r="K279" i="17"/>
  <c r="AL279" i="17"/>
  <c r="AA279" i="17"/>
  <c r="AN269" i="17"/>
  <c r="AB237" i="17"/>
  <c r="Z235" i="17"/>
  <c r="P174" i="17"/>
  <c r="O174" i="17"/>
  <c r="Y174" i="17"/>
  <c r="AH174" i="17"/>
  <c r="AQ174" i="17"/>
  <c r="L174" i="17"/>
  <c r="V174" i="17"/>
  <c r="AG174" i="17"/>
  <c r="AR174" i="17"/>
  <c r="M174" i="17"/>
  <c r="W174" i="17"/>
  <c r="AI174" i="17"/>
  <c r="AS174" i="17"/>
  <c r="N174" i="17"/>
  <c r="Z174" i="17"/>
  <c r="AJ174" i="17"/>
  <c r="Q174" i="17"/>
  <c r="AD174" i="17"/>
  <c r="R174" i="17"/>
  <c r="AE174" i="17"/>
  <c r="S174" i="17"/>
  <c r="AK174" i="17"/>
  <c r="R152" i="17"/>
  <c r="S152" i="17"/>
  <c r="AB152" i="17"/>
  <c r="AK152" i="17"/>
  <c r="K152" i="17"/>
  <c r="U152" i="17"/>
  <c r="AE152" i="17"/>
  <c r="AO152" i="17"/>
  <c r="L152" i="17"/>
  <c r="V152" i="17"/>
  <c r="AF152" i="17"/>
  <c r="AQ152" i="17"/>
  <c r="M152" i="17"/>
  <c r="W152" i="17"/>
  <c r="AG152" i="17"/>
  <c r="AR152" i="17"/>
  <c r="AA152" i="17"/>
  <c r="AS152" i="17"/>
  <c r="N152" i="17"/>
  <c r="AC152" i="17"/>
  <c r="O152" i="17"/>
  <c r="AD152" i="17"/>
  <c r="AP134" i="17"/>
  <c r="R64" i="17"/>
  <c r="L64" i="17"/>
  <c r="U64" i="17"/>
  <c r="AD64" i="17"/>
  <c r="AM64" i="17"/>
  <c r="Q64" i="17"/>
  <c r="AB64" i="17"/>
  <c r="AL64" i="17"/>
  <c r="V64" i="17"/>
  <c r="AG64" i="17"/>
  <c r="AS64" i="17"/>
  <c r="W64" i="17"/>
  <c r="AJ64" i="17"/>
  <c r="K64" i="17"/>
  <c r="X64" i="17"/>
  <c r="AK64" i="17"/>
  <c r="AA64" i="17"/>
  <c r="AR64" i="17"/>
  <c r="M64" i="17"/>
  <c r="AC64" i="17"/>
  <c r="N64" i="17"/>
  <c r="AE64" i="17"/>
  <c r="S64" i="17"/>
  <c r="T64" i="17"/>
  <c r="Y64" i="17"/>
  <c r="Q47" i="17"/>
  <c r="AH47" i="17"/>
  <c r="R47" i="17"/>
  <c r="AI47" i="17"/>
  <c r="S47" i="17"/>
  <c r="AP47" i="17"/>
  <c r="T47" i="17"/>
  <c r="AQ47" i="17"/>
  <c r="AG47" i="17"/>
  <c r="AF47" i="17"/>
  <c r="X47" i="17"/>
  <c r="AB47" i="17"/>
  <c r="AR47" i="17"/>
  <c r="T237" i="17"/>
  <c r="K189" i="17"/>
  <c r="L189" i="17"/>
  <c r="AB189" i="17"/>
  <c r="AH189" i="17"/>
  <c r="AM189" i="17"/>
  <c r="V110" i="17"/>
  <c r="AS110" i="17"/>
  <c r="X110" i="17"/>
  <c r="Q110" i="17"/>
  <c r="U110" i="17"/>
  <c r="AD110" i="17"/>
  <c r="AF110" i="17"/>
  <c r="AG110" i="17"/>
  <c r="AK110" i="17"/>
  <c r="M80" i="17"/>
  <c r="L80" i="17"/>
  <c r="K80" i="17"/>
  <c r="Y80" i="17"/>
  <c r="Z80" i="17"/>
  <c r="AH80" i="17"/>
  <c r="AI80" i="17"/>
  <c r="AJ80" i="17"/>
  <c r="AS80" i="17"/>
  <c r="U50" i="17"/>
  <c r="AH50" i="17"/>
  <c r="AS50" i="17"/>
  <c r="K50" i="17"/>
  <c r="V50" i="17"/>
  <c r="AI50" i="17"/>
  <c r="L50" i="17"/>
  <c r="Y50" i="17"/>
  <c r="AJ50" i="17"/>
  <c r="M50" i="17"/>
  <c r="Z50" i="17"/>
  <c r="AK50" i="17"/>
  <c r="S50" i="17"/>
  <c r="AQ50" i="17"/>
  <c r="AD50" i="17"/>
  <c r="T50" i="17"/>
  <c r="AC50" i="17"/>
  <c r="AG50" i="17"/>
  <c r="AA50" i="17"/>
  <c r="AO50" i="17"/>
  <c r="AP50" i="17"/>
  <c r="N50" i="17"/>
  <c r="Q50" i="17"/>
  <c r="AR50" i="17"/>
  <c r="O7" i="17"/>
  <c r="AA7" i="17"/>
  <c r="AP7" i="17"/>
  <c r="P7" i="17"/>
  <c r="AB7" i="17"/>
  <c r="AQ7" i="17"/>
  <c r="Q7" i="17"/>
  <c r="AC7" i="17"/>
  <c r="AS7" i="17"/>
  <c r="R7" i="17"/>
  <c r="AH7" i="17"/>
  <c r="T7" i="17"/>
  <c r="X7" i="17"/>
  <c r="Y7" i="17"/>
  <c r="Z7" i="17"/>
  <c r="AI7" i="17"/>
  <c r="AJ7" i="17"/>
  <c r="AK7" i="17"/>
  <c r="AM7" i="17"/>
  <c r="R107" i="17"/>
  <c r="N107" i="17"/>
  <c r="X107" i="17"/>
  <c r="AJ107" i="17"/>
  <c r="O107" i="17"/>
  <c r="AB107" i="17"/>
  <c r="AM107" i="17"/>
  <c r="M107" i="17"/>
  <c r="AC107" i="17"/>
  <c r="AO107" i="17"/>
  <c r="P107" i="17"/>
  <c r="AD107" i="17"/>
  <c r="AR107" i="17"/>
  <c r="Q107" i="17"/>
  <c r="AE107" i="17"/>
  <c r="AS107" i="17"/>
  <c r="T107" i="17"/>
  <c r="AL107" i="17"/>
  <c r="U107" i="17"/>
  <c r="AN107" i="17"/>
  <c r="V107" i="17"/>
  <c r="AS2" i="17"/>
  <c r="AO312" i="17"/>
  <c r="N307" i="17"/>
  <c r="K307" i="17"/>
  <c r="AA307" i="17"/>
  <c r="AO307" i="17"/>
  <c r="AN289" i="17"/>
  <c r="T289" i="17"/>
  <c r="AA288" i="17"/>
  <c r="AP286" i="17"/>
  <c r="AG284" i="17"/>
  <c r="K282" i="17"/>
  <c r="Q282" i="17"/>
  <c r="AG282" i="17"/>
  <c r="AO270" i="17"/>
  <c r="AC270" i="17"/>
  <c r="R247" i="17"/>
  <c r="AF247" i="17"/>
  <c r="P247" i="17"/>
  <c r="AE247" i="17"/>
  <c r="V247" i="17"/>
  <c r="AL247" i="17"/>
  <c r="AO237" i="17"/>
  <c r="AG197" i="17"/>
  <c r="O188" i="17"/>
  <c r="Y188" i="17"/>
  <c r="AK188" i="17"/>
  <c r="L188" i="17"/>
  <c r="W188" i="17"/>
  <c r="AJ188" i="17"/>
  <c r="M188" i="17"/>
  <c r="X188" i="17"/>
  <c r="AL188" i="17"/>
  <c r="N188" i="17"/>
  <c r="AB188" i="17"/>
  <c r="AM188" i="17"/>
  <c r="P188" i="17"/>
  <c r="AF188" i="17"/>
  <c r="Q188" i="17"/>
  <c r="AG188" i="17"/>
  <c r="T188" i="17"/>
  <c r="AN188" i="17"/>
  <c r="W170" i="17"/>
  <c r="AH170" i="17"/>
  <c r="R170" i="17"/>
  <c r="S170" i="17"/>
  <c r="AN170" i="17"/>
  <c r="AO170" i="17"/>
  <c r="AP170" i="17"/>
  <c r="N331" i="17"/>
  <c r="R331" i="17"/>
  <c r="AC331" i="17"/>
  <c r="AQ331" i="17"/>
  <c r="AK307" i="17"/>
  <c r="AP306" i="17"/>
  <c r="T300" i="17"/>
  <c r="AC292" i="17"/>
  <c r="AM289" i="17"/>
  <c r="AR288" i="17"/>
  <c r="AB286" i="17"/>
  <c r="T284" i="17"/>
  <c r="AM270" i="17"/>
  <c r="O270" i="17"/>
  <c r="X269" i="17"/>
  <c r="N260" i="17"/>
  <c r="AK260" i="17"/>
  <c r="Y260" i="17"/>
  <c r="O260" i="17"/>
  <c r="AN260" i="17"/>
  <c r="R254" i="17"/>
  <c r="K254" i="17"/>
  <c r="T254" i="17"/>
  <c r="AC254" i="17"/>
  <c r="AL254" i="17"/>
  <c r="Q254" i="17"/>
  <c r="AB254" i="17"/>
  <c r="AM254" i="17"/>
  <c r="S254" i="17"/>
  <c r="AE254" i="17"/>
  <c r="AQ254" i="17"/>
  <c r="AP247" i="17"/>
  <c r="Y247" i="17"/>
  <c r="P244" i="17"/>
  <c r="AK244" i="17"/>
  <c r="AL244" i="17"/>
  <c r="V244" i="17"/>
  <c r="AN237" i="17"/>
  <c r="Q237" i="17"/>
  <c r="Z230" i="17"/>
  <c r="AC230" i="17"/>
  <c r="Q230" i="17"/>
  <c r="V222" i="17"/>
  <c r="AL222" i="17"/>
  <c r="AJ219" i="17"/>
  <c r="Q211" i="17"/>
  <c r="O211" i="17"/>
  <c r="Z211" i="17"/>
  <c r="AC211" i="17"/>
  <c r="AG206" i="17"/>
  <c r="T206" i="17"/>
  <c r="Z197" i="17"/>
  <c r="AO188" i="17"/>
  <c r="AA158" i="17"/>
  <c r="AJ152" i="17"/>
  <c r="W2" i="17"/>
  <c r="AO347" i="17"/>
  <c r="K346" i="17"/>
  <c r="AP346" i="17"/>
  <c r="M345" i="17"/>
  <c r="U345" i="17"/>
  <c r="AC345" i="17"/>
  <c r="AK345" i="17"/>
  <c r="AS345" i="17"/>
  <c r="Q343" i="17"/>
  <c r="AL342" i="17"/>
  <c r="AB342" i="17"/>
  <c r="AP339" i="17"/>
  <c r="AR336" i="17"/>
  <c r="AJ332" i="17"/>
  <c r="W332" i="17"/>
  <c r="AJ331" i="17"/>
  <c r="U331" i="17"/>
  <c r="K330" i="17"/>
  <c r="AH330" i="17"/>
  <c r="M329" i="17"/>
  <c r="U329" i="17"/>
  <c r="AC329" i="17"/>
  <c r="AK329" i="17"/>
  <c r="AS329" i="17"/>
  <c r="Q327" i="17"/>
  <c r="AL326" i="17"/>
  <c r="AB326" i="17"/>
  <c r="R326" i="17"/>
  <c r="AP325" i="17"/>
  <c r="R325" i="17"/>
  <c r="AM324" i="17"/>
  <c r="AB324" i="17"/>
  <c r="O324" i="17"/>
  <c r="AP323" i="17"/>
  <c r="AA323" i="17"/>
  <c r="K323" i="17"/>
  <c r="AJ320" i="17"/>
  <c r="R320" i="17"/>
  <c r="AK318" i="17"/>
  <c r="AA318" i="17"/>
  <c r="AP317" i="17"/>
  <c r="R317" i="17"/>
  <c r="N315" i="17"/>
  <c r="S315" i="17"/>
  <c r="AG315" i="17"/>
  <c r="AR315" i="17"/>
  <c r="AI312" i="17"/>
  <c r="AI309" i="17"/>
  <c r="K309" i="17"/>
  <c r="AK308" i="17"/>
  <c r="X308" i="17"/>
  <c r="L308" i="17"/>
  <c r="AJ307" i="17"/>
  <c r="T307" i="17"/>
  <c r="AO306" i="17"/>
  <c r="AA301" i="17"/>
  <c r="AO300" i="17"/>
  <c r="AD300" i="17"/>
  <c r="Q300" i="17"/>
  <c r="Z298" i="17"/>
  <c r="AH296" i="17"/>
  <c r="AJ294" i="17"/>
  <c r="Z294" i="17"/>
  <c r="AM292" i="17"/>
  <c r="AB292" i="17"/>
  <c r="N291" i="17"/>
  <c r="L291" i="17"/>
  <c r="AB291" i="17"/>
  <c r="AP291" i="17"/>
  <c r="AL289" i="17"/>
  <c r="AB289" i="17"/>
  <c r="AQ288" i="17"/>
  <c r="Y288" i="17"/>
  <c r="AL286" i="17"/>
  <c r="AA286" i="17"/>
  <c r="N286" i="17"/>
  <c r="AG285" i="17"/>
  <c r="AS284" i="17"/>
  <c r="AE284" i="17"/>
  <c r="AO282" i="17"/>
  <c r="AB280" i="17"/>
  <c r="AJ279" i="17"/>
  <c r="AS278" i="17"/>
  <c r="T278" i="17"/>
  <c r="P276" i="17"/>
  <c r="M276" i="17"/>
  <c r="AD276" i="17"/>
  <c r="K276" i="17"/>
  <c r="AE276" i="17"/>
  <c r="AO274" i="17"/>
  <c r="N273" i="17"/>
  <c r="AN273" i="17"/>
  <c r="AH271" i="17"/>
  <c r="AK270" i="17"/>
  <c r="Y270" i="17"/>
  <c r="AJ269" i="17"/>
  <c r="T269" i="17"/>
  <c r="AO268" i="17"/>
  <c r="AO261" i="17"/>
  <c r="T261" i="17"/>
  <c r="AG260" i="17"/>
  <c r="AM255" i="17"/>
  <c r="N255" i="17"/>
  <c r="Z255" i="17"/>
  <c r="AG254" i="17"/>
  <c r="U254" i="17"/>
  <c r="AM249" i="17"/>
  <c r="Z249" i="17"/>
  <c r="AO247" i="17"/>
  <c r="X247" i="17"/>
  <c r="AQ246" i="17"/>
  <c r="M243" i="17"/>
  <c r="U243" i="17"/>
  <c r="AC243" i="17"/>
  <c r="AK243" i="17"/>
  <c r="AS243" i="17"/>
  <c r="Q243" i="17"/>
  <c r="Z243" i="17"/>
  <c r="AI243" i="17"/>
  <c r="AR243" i="17"/>
  <c r="R243" i="17"/>
  <c r="AB243" i="17"/>
  <c r="AM243" i="17"/>
  <c r="K241" i="17"/>
  <c r="M241" i="17"/>
  <c r="V241" i="17"/>
  <c r="AE241" i="17"/>
  <c r="AN241" i="17"/>
  <c r="R241" i="17"/>
  <c r="AC241" i="17"/>
  <c r="AM241" i="17"/>
  <c r="W241" i="17"/>
  <c r="AH241" i="17"/>
  <c r="AM237" i="17"/>
  <c r="AA237" i="17"/>
  <c r="P237" i="17"/>
  <c r="Y235" i="17"/>
  <c r="AM230" i="17"/>
  <c r="M221" i="17"/>
  <c r="U221" i="17"/>
  <c r="AC221" i="17"/>
  <c r="AK221" i="17"/>
  <c r="AS221" i="17"/>
  <c r="K221" i="17"/>
  <c r="T221" i="17"/>
  <c r="AD221" i="17"/>
  <c r="AM221" i="17"/>
  <c r="R221" i="17"/>
  <c r="AB221" i="17"/>
  <c r="AN221" i="17"/>
  <c r="AH219" i="17"/>
  <c r="O213" i="17"/>
  <c r="W213" i="17"/>
  <c r="AE213" i="17"/>
  <c r="AM213" i="17"/>
  <c r="L213" i="17"/>
  <c r="U213" i="17"/>
  <c r="AD213" i="17"/>
  <c r="AN213" i="17"/>
  <c r="M213" i="17"/>
  <c r="V213" i="17"/>
  <c r="AF213" i="17"/>
  <c r="AO213" i="17"/>
  <c r="Q213" i="17"/>
  <c r="AB213" i="17"/>
  <c r="AP213" i="17"/>
  <c r="AF206" i="17"/>
  <c r="Q195" i="17"/>
  <c r="AC195" i="17"/>
  <c r="AP195" i="17"/>
  <c r="N195" i="17"/>
  <c r="AD195" i="17"/>
  <c r="AR195" i="17"/>
  <c r="S195" i="17"/>
  <c r="AG195" i="17"/>
  <c r="AS195" i="17"/>
  <c r="M195" i="17"/>
  <c r="AI195" i="17"/>
  <c r="AE188" i="17"/>
  <c r="AB184" i="17"/>
  <c r="K178" i="17"/>
  <c r="Y178" i="17"/>
  <c r="AO178" i="17"/>
  <c r="P178" i="17"/>
  <c r="AG178" i="17"/>
  <c r="S178" i="17"/>
  <c r="AH178" i="17"/>
  <c r="V178" i="17"/>
  <c r="AI178" i="17"/>
  <c r="O178" i="17"/>
  <c r="AQ178" i="17"/>
  <c r="W178" i="17"/>
  <c r="X178" i="17"/>
  <c r="AC174" i="17"/>
  <c r="K173" i="17"/>
  <c r="W173" i="17"/>
  <c r="AG173" i="17"/>
  <c r="AQ173" i="17"/>
  <c r="O173" i="17"/>
  <c r="Z173" i="17"/>
  <c r="AM173" i="17"/>
  <c r="P173" i="17"/>
  <c r="AA173" i="17"/>
  <c r="AN173" i="17"/>
  <c r="Q173" i="17"/>
  <c r="AB173" i="17"/>
  <c r="AO173" i="17"/>
  <c r="L173" i="17"/>
  <c r="AH173" i="17"/>
  <c r="R173" i="17"/>
  <c r="AI173" i="17"/>
  <c r="S173" i="17"/>
  <c r="AJ173" i="17"/>
  <c r="AC164" i="17"/>
  <c r="T164" i="17"/>
  <c r="AM164" i="17"/>
  <c r="U164" i="17"/>
  <c r="AN164" i="17"/>
  <c r="Y164" i="17"/>
  <c r="AO164" i="17"/>
  <c r="O164" i="17"/>
  <c r="P164" i="17"/>
  <c r="Q164" i="17"/>
  <c r="AI152" i="17"/>
  <c r="AQ151" i="17"/>
  <c r="P141" i="17"/>
  <c r="X141" i="17"/>
  <c r="AF141" i="17"/>
  <c r="AN141" i="17"/>
  <c r="S141" i="17"/>
  <c r="AB141" i="17"/>
  <c r="AK141" i="17"/>
  <c r="T141" i="17"/>
  <c r="AD141" i="17"/>
  <c r="AO141" i="17"/>
  <c r="K141" i="17"/>
  <c r="U141" i="17"/>
  <c r="AE141" i="17"/>
  <c r="AP141" i="17"/>
  <c r="L141" i="17"/>
  <c r="V141" i="17"/>
  <c r="AG141" i="17"/>
  <c r="AQ141" i="17"/>
  <c r="O141" i="17"/>
  <c r="AH141" i="17"/>
  <c r="Q141" i="17"/>
  <c r="AI141" i="17"/>
  <c r="R141" i="17"/>
  <c r="AJ141" i="17"/>
  <c r="AE110" i="17"/>
  <c r="AF107" i="17"/>
  <c r="AO64" i="17"/>
  <c r="R56" i="17"/>
  <c r="L56" i="17"/>
  <c r="U56" i="17"/>
  <c r="AD56" i="17"/>
  <c r="AM56" i="17"/>
  <c r="Q56" i="17"/>
  <c r="AB56" i="17"/>
  <c r="AL56" i="17"/>
  <c r="N56" i="17"/>
  <c r="Y56" i="17"/>
  <c r="AK56" i="17"/>
  <c r="M56" i="17"/>
  <c r="AA56" i="17"/>
  <c r="AO56" i="17"/>
  <c r="O56" i="17"/>
  <c r="AC56" i="17"/>
  <c r="AQ56" i="17"/>
  <c r="P56" i="17"/>
  <c r="AG56" i="17"/>
  <c r="S56" i="17"/>
  <c r="AI56" i="17"/>
  <c r="T56" i="17"/>
  <c r="AJ56" i="17"/>
  <c r="K56" i="17"/>
  <c r="AS56" i="17"/>
  <c r="V56" i="17"/>
  <c r="W56" i="17"/>
  <c r="X54" i="17"/>
  <c r="AN54" i="17"/>
  <c r="AS54" i="17"/>
  <c r="AH54" i="17"/>
  <c r="AO54" i="17"/>
  <c r="U54" i="17"/>
  <c r="V54" i="17"/>
  <c r="W54" i="17"/>
  <c r="AP54" i="17"/>
  <c r="R292" i="17"/>
  <c r="N292" i="17"/>
  <c r="X292" i="17"/>
  <c r="AJ292" i="17"/>
  <c r="AG286" i="17"/>
  <c r="R270" i="17"/>
  <c r="M270" i="17"/>
  <c r="V270" i="17"/>
  <c r="AE270" i="17"/>
  <c r="AN270" i="17"/>
  <c r="Q270" i="17"/>
  <c r="AB270" i="17"/>
  <c r="AL270" i="17"/>
  <c r="AA325" i="17"/>
  <c r="AS324" i="17"/>
  <c r="T324" i="17"/>
  <c r="M312" i="17"/>
  <c r="Z312" i="17"/>
  <c r="AP312" i="17"/>
  <c r="P294" i="17"/>
  <c r="K294" i="17"/>
  <c r="T294" i="17"/>
  <c r="AC294" i="17"/>
  <c r="AL294" i="17"/>
  <c r="AR292" i="17"/>
  <c r="AE292" i="17"/>
  <c r="AQ286" i="17"/>
  <c r="R284" i="17"/>
  <c r="Q284" i="17"/>
  <c r="AC284" i="17"/>
  <c r="AM284" i="17"/>
  <c r="M284" i="17"/>
  <c r="X284" i="17"/>
  <c r="AK284" i="17"/>
  <c r="AB278" i="17"/>
  <c r="AQ270" i="17"/>
  <c r="S270" i="17"/>
  <c r="K197" i="17"/>
  <c r="T197" i="17"/>
  <c r="AI197" i="17"/>
  <c r="AE197" i="17"/>
  <c r="L197" i="17"/>
  <c r="AF197" i="17"/>
  <c r="X197" i="17"/>
  <c r="P158" i="17"/>
  <c r="O158" i="17"/>
  <c r="Y158" i="17"/>
  <c r="AH158" i="17"/>
  <c r="AQ158" i="17"/>
  <c r="T158" i="17"/>
  <c r="AD158" i="17"/>
  <c r="AO158" i="17"/>
  <c r="K158" i="17"/>
  <c r="U158" i="17"/>
  <c r="AE158" i="17"/>
  <c r="AP158" i="17"/>
  <c r="L158" i="17"/>
  <c r="V158" i="17"/>
  <c r="AG158" i="17"/>
  <c r="AR158" i="17"/>
  <c r="R158" i="17"/>
  <c r="AJ158" i="17"/>
  <c r="S158" i="17"/>
  <c r="AK158" i="17"/>
  <c r="W158" i="17"/>
  <c r="AL158" i="17"/>
  <c r="P134" i="17"/>
  <c r="AF134" i="17"/>
  <c r="AE134" i="17"/>
  <c r="Y134" i="17"/>
  <c r="Z134" i="17"/>
  <c r="AC134" i="17"/>
  <c r="R134" i="17"/>
  <c r="AD134" i="17"/>
  <c r="AM134" i="17"/>
  <c r="Z325" i="17"/>
  <c r="AD324" i="17"/>
  <c r="Y320" i="17"/>
  <c r="P318" i="17"/>
  <c r="M318" i="17"/>
  <c r="V318" i="17"/>
  <c r="AE318" i="17"/>
  <c r="AO318" i="17"/>
  <c r="T312" i="17"/>
  <c r="AG300" i="17"/>
  <c r="AH298" i="17"/>
  <c r="R294" i="17"/>
  <c r="K289" i="17"/>
  <c r="S289" i="17"/>
  <c r="AA289" i="17"/>
  <c r="AI289" i="17"/>
  <c r="AQ289" i="17"/>
  <c r="L289" i="17"/>
  <c r="U289" i="17"/>
  <c r="AD289" i="17"/>
  <c r="U284" i="17"/>
  <c r="AI280" i="17"/>
  <c r="P270" i="17"/>
  <c r="Z261" i="17"/>
  <c r="AC237" i="17"/>
  <c r="M206" i="17"/>
  <c r="U206" i="17"/>
  <c r="AC206" i="17"/>
  <c r="AK206" i="17"/>
  <c r="AS206" i="17"/>
  <c r="P206" i="17"/>
  <c r="Y206" i="17"/>
  <c r="AH206" i="17"/>
  <c r="AQ206" i="17"/>
  <c r="Q206" i="17"/>
  <c r="Z206" i="17"/>
  <c r="AI206" i="17"/>
  <c r="AR206" i="17"/>
  <c r="R206" i="17"/>
  <c r="AD206" i="17"/>
  <c r="AO206" i="17"/>
  <c r="P342" i="17"/>
  <c r="Q342" i="17"/>
  <c r="Z342" i="17"/>
  <c r="AI342" i="17"/>
  <c r="AR342" i="17"/>
  <c r="AN324" i="17"/>
  <c r="T320" i="17"/>
  <c r="AL318" i="17"/>
  <c r="R318" i="17"/>
  <c r="AA294" i="17"/>
  <c r="AC289" i="17"/>
  <c r="AM286" i="17"/>
  <c r="Q286" i="17"/>
  <c r="AH285" i="17"/>
  <c r="AF284" i="17"/>
  <c r="AP282" i="17"/>
  <c r="U278" i="17"/>
  <c r="AA270" i="17"/>
  <c r="X268" i="17"/>
  <c r="AM268" i="17"/>
  <c r="V268" i="17"/>
  <c r="AL268" i="17"/>
  <c r="X261" i="17"/>
  <c r="AL260" i="17"/>
  <c r="X2" i="17"/>
  <c r="N347" i="17"/>
  <c r="T347" i="17"/>
  <c r="AH347" i="17"/>
  <c r="AS347" i="17"/>
  <c r="AK342" i="17"/>
  <c r="AA342" i="17"/>
  <c r="O342" i="17"/>
  <c r="N339" i="17"/>
  <c r="Z339" i="17"/>
  <c r="AK339" i="17"/>
  <c r="M336" i="17"/>
  <c r="Q336" i="17"/>
  <c r="AG336" i="17"/>
  <c r="L333" i="17"/>
  <c r="AG333" i="17"/>
  <c r="AI331" i="17"/>
  <c r="T331" i="17"/>
  <c r="AK326" i="17"/>
  <c r="AA326" i="17"/>
  <c r="AO325" i="17"/>
  <c r="Q325" i="17"/>
  <c r="AL324" i="17"/>
  <c r="Y324" i="17"/>
  <c r="AO323" i="17"/>
  <c r="AH320" i="17"/>
  <c r="Q320" i="17"/>
  <c r="R319" i="17"/>
  <c r="AG319" i="17"/>
  <c r="AJ318" i="17"/>
  <c r="Z318" i="17"/>
  <c r="O318" i="17"/>
  <c r="AH312" i="17"/>
  <c r="Q312" i="17"/>
  <c r="AJ308" i="17"/>
  <c r="AI307" i="17"/>
  <c r="S307" i="17"/>
  <c r="AH306" i="17"/>
  <c r="Y301" i="17"/>
  <c r="AN300" i="17"/>
  <c r="AC300" i="17"/>
  <c r="AS294" i="17"/>
  <c r="AI294" i="17"/>
  <c r="Y294" i="17"/>
  <c r="N294" i="17"/>
  <c r="AL292" i="17"/>
  <c r="Y292" i="17"/>
  <c r="M292" i="17"/>
  <c r="K290" i="17"/>
  <c r="Z290" i="17"/>
  <c r="AK289" i="17"/>
  <c r="Z289" i="17"/>
  <c r="P289" i="17"/>
  <c r="AP288" i="17"/>
  <c r="AK286" i="17"/>
  <c r="Y286" i="17"/>
  <c r="AR284" i="17"/>
  <c r="AD284" i="17"/>
  <c r="O284" i="17"/>
  <c r="AH282" i="17"/>
  <c r="AD279" i="17"/>
  <c r="AM278" i="17"/>
  <c r="W274" i="17"/>
  <c r="AH274" i="17"/>
  <c r="Q274" i="17"/>
  <c r="AF274" i="17"/>
  <c r="AR274" i="17"/>
  <c r="AJ270" i="17"/>
  <c r="X270" i="17"/>
  <c r="L270" i="17"/>
  <c r="AI269" i="17"/>
  <c r="S269" i="17"/>
  <c r="AN268" i="17"/>
  <c r="Q268" i="17"/>
  <c r="AI266" i="17"/>
  <c r="AN261" i="17"/>
  <c r="AC260" i="17"/>
  <c r="AS254" i="17"/>
  <c r="AF254" i="17"/>
  <c r="P254" i="17"/>
  <c r="R253" i="17"/>
  <c r="AA253" i="17"/>
  <c r="T253" i="17"/>
  <c r="AO253" i="17"/>
  <c r="L253" i="17"/>
  <c r="AN253" i="17"/>
  <c r="AN247" i="17"/>
  <c r="W247" i="17"/>
  <c r="P246" i="17"/>
  <c r="L246" i="17"/>
  <c r="V246" i="17"/>
  <c r="AG246" i="17"/>
  <c r="AR246" i="17"/>
  <c r="O246" i="17"/>
  <c r="AB246" i="17"/>
  <c r="AM246" i="17"/>
  <c r="M246" i="17"/>
  <c r="AA246" i="17"/>
  <c r="AO246" i="17"/>
  <c r="Z245" i="17"/>
  <c r="AI245" i="17"/>
  <c r="X245" i="17"/>
  <c r="Y239" i="17"/>
  <c r="AK239" i="17"/>
  <c r="AK237" i="17"/>
  <c r="Z237" i="17"/>
  <c r="M237" i="17"/>
  <c r="AS235" i="17"/>
  <c r="Z233" i="17"/>
  <c r="AP233" i="17"/>
  <c r="Q233" i="17"/>
  <c r="AH233" i="17"/>
  <c r="R233" i="17"/>
  <c r="AJ233" i="17"/>
  <c r="Y232" i="17"/>
  <c r="AK232" i="17"/>
  <c r="AB232" i="17"/>
  <c r="AL230" i="17"/>
  <c r="R227" i="17"/>
  <c r="AR227" i="17"/>
  <c r="AE206" i="17"/>
  <c r="O206" i="17"/>
  <c r="U200" i="17"/>
  <c r="AF200" i="17"/>
  <c r="K200" i="17"/>
  <c r="AR197" i="17"/>
  <c r="S197" i="17"/>
  <c r="AK196" i="17"/>
  <c r="AC196" i="17"/>
  <c r="P190" i="17"/>
  <c r="S190" i="17"/>
  <c r="AB190" i="17"/>
  <c r="AK190" i="17"/>
  <c r="T190" i="17"/>
  <c r="AD190" i="17"/>
  <c r="AO190" i="17"/>
  <c r="K190" i="17"/>
  <c r="U190" i="17"/>
  <c r="AE190" i="17"/>
  <c r="AP190" i="17"/>
  <c r="L190" i="17"/>
  <c r="V190" i="17"/>
  <c r="AG190" i="17"/>
  <c r="AQ190" i="17"/>
  <c r="O190" i="17"/>
  <c r="AH190" i="17"/>
  <c r="Q190" i="17"/>
  <c r="AI190" i="17"/>
  <c r="R190" i="17"/>
  <c r="AJ190" i="17"/>
  <c r="AD188" i="17"/>
  <c r="AB174" i="17"/>
  <c r="P159" i="17"/>
  <c r="AC159" i="17"/>
  <c r="AO159" i="17"/>
  <c r="O159" i="17"/>
  <c r="AE159" i="17"/>
  <c r="AS159" i="17"/>
  <c r="Q159" i="17"/>
  <c r="AF159" i="17"/>
  <c r="U159" i="17"/>
  <c r="AG159" i="17"/>
  <c r="N159" i="17"/>
  <c r="AL159" i="17"/>
  <c r="V159" i="17"/>
  <c r="AM159" i="17"/>
  <c r="W159" i="17"/>
  <c r="AP159" i="17"/>
  <c r="Q158" i="17"/>
  <c r="L157" i="17"/>
  <c r="T157" i="17"/>
  <c r="AB157" i="17"/>
  <c r="AJ157" i="17"/>
  <c r="AR157" i="17"/>
  <c r="S157" i="17"/>
  <c r="AC157" i="17"/>
  <c r="AL157" i="17"/>
  <c r="K157" i="17"/>
  <c r="U157" i="17"/>
  <c r="AD157" i="17"/>
  <c r="AM157" i="17"/>
  <c r="M157" i="17"/>
  <c r="V157" i="17"/>
  <c r="AE157" i="17"/>
  <c r="AN157" i="17"/>
  <c r="N157" i="17"/>
  <c r="Z157" i="17"/>
  <c r="AP157" i="17"/>
  <c r="O157" i="17"/>
  <c r="AA157" i="17"/>
  <c r="AQ157" i="17"/>
  <c r="P157" i="17"/>
  <c r="AF157" i="17"/>
  <c r="AS157" i="17"/>
  <c r="T156" i="17"/>
  <c r="AJ156" i="17"/>
  <c r="K156" i="17"/>
  <c r="AB156" i="17"/>
  <c r="L156" i="17"/>
  <c r="AF156" i="17"/>
  <c r="M156" i="17"/>
  <c r="AI156" i="17"/>
  <c r="Z156" i="17"/>
  <c r="AA156" i="17"/>
  <c r="AK156" i="17"/>
  <c r="Y152" i="17"/>
  <c r="AP151" i="17"/>
  <c r="AN134" i="17"/>
  <c r="P110" i="17"/>
  <c r="Y107" i="17"/>
  <c r="AN64" i="17"/>
  <c r="R324" i="17"/>
  <c r="L324" i="17"/>
  <c r="V324" i="17"/>
  <c r="AF324" i="17"/>
  <c r="AR324" i="17"/>
  <c r="K298" i="17"/>
  <c r="R298" i="17"/>
  <c r="U292" i="17"/>
  <c r="P286" i="17"/>
  <c r="M286" i="17"/>
  <c r="V286" i="17"/>
  <c r="AE286" i="17"/>
  <c r="AO286" i="17"/>
  <c r="O286" i="17"/>
  <c r="Z286" i="17"/>
  <c r="AJ286" i="17"/>
  <c r="N278" i="17"/>
  <c r="L278" i="17"/>
  <c r="AD278" i="17"/>
  <c r="S278" i="17"/>
  <c r="AL278" i="17"/>
  <c r="AO298" i="17"/>
  <c r="T292" i="17"/>
  <c r="M288" i="17"/>
  <c r="S288" i="17"/>
  <c r="AI288" i="17"/>
  <c r="L288" i="17"/>
  <c r="AH288" i="17"/>
  <c r="AD286" i="17"/>
  <c r="S286" i="17"/>
  <c r="AD270" i="17"/>
  <c r="P261" i="17"/>
  <c r="AB261" i="17"/>
  <c r="AQ261" i="17"/>
  <c r="K261" i="17"/>
  <c r="AA261" i="17"/>
  <c r="Y261" i="17"/>
  <c r="AP261" i="17"/>
  <c r="AR237" i="17"/>
  <c r="S237" i="17"/>
  <c r="P235" i="17"/>
  <c r="AG235" i="17"/>
  <c r="N235" i="17"/>
  <c r="AF235" i="17"/>
  <c r="X235" i="17"/>
  <c r="AR235" i="17"/>
  <c r="AO324" i="17"/>
  <c r="AP320" i="17"/>
  <c r="Z307" i="17"/>
  <c r="AH301" i="17"/>
  <c r="R300" i="17"/>
  <c r="L300" i="17"/>
  <c r="V300" i="17"/>
  <c r="AF300" i="17"/>
  <c r="AR300" i="17"/>
  <c r="AB294" i="17"/>
  <c r="AD292" i="17"/>
  <c r="R286" i="17"/>
  <c r="P280" i="17"/>
  <c r="Z280" i="17"/>
  <c r="AR280" i="17"/>
  <c r="R280" i="17"/>
  <c r="AP280" i="17"/>
  <c r="AA278" i="17"/>
  <c r="Y269" i="17"/>
  <c r="AB235" i="17"/>
  <c r="Z219" i="17"/>
  <c r="Y219" i="17"/>
  <c r="R219" i="17"/>
  <c r="AL219" i="17"/>
  <c r="T219" i="17"/>
  <c r="AD219" i="17"/>
  <c r="AB158" i="17"/>
  <c r="AK107" i="17"/>
  <c r="W38" i="17"/>
  <c r="O38" i="17"/>
  <c r="AE38" i="17"/>
  <c r="P38" i="17"/>
  <c r="AF38" i="17"/>
  <c r="Q38" i="17"/>
  <c r="AG38" i="17"/>
  <c r="U38" i="17"/>
  <c r="AM38" i="17"/>
  <c r="AS38" i="17"/>
  <c r="V38" i="17"/>
  <c r="AO38" i="17"/>
  <c r="AC38" i="17"/>
  <c r="AD38" i="17"/>
  <c r="Y38" i="17"/>
  <c r="AN38" i="17"/>
  <c r="S342" i="17"/>
  <c r="P326" i="17"/>
  <c r="Q326" i="17"/>
  <c r="Z326" i="17"/>
  <c r="AI326" i="17"/>
  <c r="AR326" i="17"/>
  <c r="AC324" i="17"/>
  <c r="S312" i="17"/>
  <c r="AS300" i="17"/>
  <c r="AK294" i="17"/>
  <c r="Q294" i="17"/>
  <c r="Z288" i="17"/>
  <c r="L285" i="17"/>
  <c r="Q285" i="17"/>
  <c r="AI285" i="17"/>
  <c r="K285" i="17"/>
  <c r="AO285" i="17"/>
  <c r="Y2" i="17"/>
  <c r="AJ342" i="17"/>
  <c r="Y342" i="17"/>
  <c r="N342" i="17"/>
  <c r="K338" i="17"/>
  <c r="R338" i="17"/>
  <c r="AO335" i="17"/>
  <c r="R332" i="17"/>
  <c r="O332" i="17"/>
  <c r="Y332" i="17"/>
  <c r="AK332" i="17"/>
  <c r="AH331" i="17"/>
  <c r="S331" i="17"/>
  <c r="AJ326" i="17"/>
  <c r="Y326" i="17"/>
  <c r="N326" i="17"/>
  <c r="AI325" i="17"/>
  <c r="K325" i="17"/>
  <c r="AK324" i="17"/>
  <c r="X324" i="17"/>
  <c r="M324" i="17"/>
  <c r="N323" i="17"/>
  <c r="L323" i="17"/>
  <c r="Z323" i="17"/>
  <c r="AK323" i="17"/>
  <c r="AG320" i="17"/>
  <c r="L320" i="17"/>
  <c r="AS318" i="17"/>
  <c r="AI318" i="17"/>
  <c r="Y318" i="17"/>
  <c r="N318" i="17"/>
  <c r="L317" i="17"/>
  <c r="K317" i="17"/>
  <c r="AI317" i="17"/>
  <c r="AG312" i="17"/>
  <c r="L312" i="17"/>
  <c r="L309" i="17"/>
  <c r="Z309" i="17"/>
  <c r="R308" i="17"/>
  <c r="M308" i="17"/>
  <c r="W308" i="17"/>
  <c r="AG308" i="17"/>
  <c r="AS308" i="17"/>
  <c r="AH307" i="17"/>
  <c r="R307" i="17"/>
  <c r="AG306" i="17"/>
  <c r="AQ301" i="17"/>
  <c r="S301" i="17"/>
  <c r="AM300" i="17"/>
  <c r="AB300" i="17"/>
  <c r="O300" i="17"/>
  <c r="Q298" i="17"/>
  <c r="M296" i="17"/>
  <c r="L296" i="17"/>
  <c r="AG296" i="17"/>
  <c r="AR294" i="17"/>
  <c r="AH294" i="17"/>
  <c r="W294" i="17"/>
  <c r="M294" i="17"/>
  <c r="AK292" i="17"/>
  <c r="W292" i="17"/>
  <c r="L292" i="17"/>
  <c r="AO290" i="17"/>
  <c r="AS289" i="17"/>
  <c r="AJ289" i="17"/>
  <c r="Y289" i="17"/>
  <c r="O289" i="17"/>
  <c r="AO288" i="17"/>
  <c r="R288" i="17"/>
  <c r="AI286" i="17"/>
  <c r="W286" i="17"/>
  <c r="K286" i="17"/>
  <c r="Z285" i="17"/>
  <c r="AO284" i="17"/>
  <c r="AB284" i="17"/>
  <c r="N284" i="17"/>
  <c r="Z282" i="17"/>
  <c r="T280" i="17"/>
  <c r="AB279" i="17"/>
  <c r="AK278" i="17"/>
  <c r="K278" i="17"/>
  <c r="AJ274" i="17"/>
  <c r="T274" i="17"/>
  <c r="O271" i="17"/>
  <c r="AD271" i="17"/>
  <c r="AP271" i="17"/>
  <c r="N271" i="17"/>
  <c r="AE271" i="17"/>
  <c r="AI270" i="17"/>
  <c r="W270" i="17"/>
  <c r="K270" i="17"/>
  <c r="AH269" i="17"/>
  <c r="R269" i="17"/>
  <c r="AK268" i="17"/>
  <c r="P268" i="17"/>
  <c r="X266" i="17"/>
  <c r="AJ261" i="17"/>
  <c r="Q261" i="17"/>
  <c r="X260" i="17"/>
  <c r="AR254" i="17"/>
  <c r="AD254" i="17"/>
  <c r="O254" i="17"/>
  <c r="K249" i="17"/>
  <c r="N249" i="17"/>
  <c r="W249" i="17"/>
  <c r="AF249" i="17"/>
  <c r="AO249" i="17"/>
  <c r="O249" i="17"/>
  <c r="Y249" i="17"/>
  <c r="AJ249" i="17"/>
  <c r="T249" i="17"/>
  <c r="AE249" i="17"/>
  <c r="AR249" i="17"/>
  <c r="AM247" i="17"/>
  <c r="Q247" i="17"/>
  <c r="AG244" i="17"/>
  <c r="AJ237" i="17"/>
  <c r="Y237" i="17"/>
  <c r="L237" i="17"/>
  <c r="AP235" i="17"/>
  <c r="Q235" i="17"/>
  <c r="AD230" i="17"/>
  <c r="U219" i="17"/>
  <c r="N215" i="17"/>
  <c r="AI215" i="17"/>
  <c r="S215" i="17"/>
  <c r="AS215" i="17"/>
  <c r="Z215" i="17"/>
  <c r="Q215" i="17"/>
  <c r="AD214" i="17"/>
  <c r="AG214" i="17"/>
  <c r="N214" i="17"/>
  <c r="AN214" i="17"/>
  <c r="R214" i="17"/>
  <c r="AO214" i="17"/>
  <c r="W214" i="17"/>
  <c r="AP206" i="17"/>
  <c r="AB206" i="17"/>
  <c r="N206" i="17"/>
  <c r="AJ200" i="17"/>
  <c r="AQ197" i="17"/>
  <c r="P197" i="17"/>
  <c r="AA190" i="17"/>
  <c r="AN189" i="17"/>
  <c r="AC188" i="17"/>
  <c r="N186" i="17"/>
  <c r="X186" i="17"/>
  <c r="AH186" i="17"/>
  <c r="Q186" i="17"/>
  <c r="AD186" i="17"/>
  <c r="AO186" i="17"/>
  <c r="R186" i="17"/>
  <c r="AE186" i="17"/>
  <c r="AP186" i="17"/>
  <c r="S186" i="17"/>
  <c r="AF186" i="17"/>
  <c r="AQ186" i="17"/>
  <c r="P186" i="17"/>
  <c r="AL186" i="17"/>
  <c r="V186" i="17"/>
  <c r="AM186" i="17"/>
  <c r="W186" i="17"/>
  <c r="AN186" i="17"/>
  <c r="AA174" i="17"/>
  <c r="AK159" i="17"/>
  <c r="AS158" i="17"/>
  <c r="N158" i="17"/>
  <c r="AG157" i="17"/>
  <c r="AS156" i="17"/>
  <c r="X152" i="17"/>
  <c r="AO151" i="17"/>
  <c r="Q134" i="17"/>
  <c r="R132" i="17"/>
  <c r="AF132" i="17"/>
  <c r="AA132" i="17"/>
  <c r="AP132" i="17"/>
  <c r="P132" i="17"/>
  <c r="AG132" i="17"/>
  <c r="Q132" i="17"/>
  <c r="AJ132" i="17"/>
  <c r="S132" i="17"/>
  <c r="AM132" i="17"/>
  <c r="W132" i="17"/>
  <c r="Z132" i="17"/>
  <c r="AB132" i="17"/>
  <c r="M110" i="17"/>
  <c r="W107" i="17"/>
  <c r="R81" i="17"/>
  <c r="U81" i="17"/>
  <c r="AE81" i="17"/>
  <c r="AO81" i="17"/>
  <c r="V81" i="17"/>
  <c r="AG81" i="17"/>
  <c r="W81" i="17"/>
  <c r="AK81" i="17"/>
  <c r="L81" i="17"/>
  <c r="Y81" i="17"/>
  <c r="AN81" i="17"/>
  <c r="M81" i="17"/>
  <c r="AB81" i="17"/>
  <c r="AR81" i="17"/>
  <c r="N81" i="17"/>
  <c r="AC81" i="17"/>
  <c r="AS81" i="17"/>
  <c r="T81" i="17"/>
  <c r="X81" i="17"/>
  <c r="AD81" i="17"/>
  <c r="AI64" i="17"/>
  <c r="R287" i="17"/>
  <c r="Y287" i="17"/>
  <c r="Q272" i="17"/>
  <c r="AA272" i="17"/>
  <c r="AK272" i="17"/>
  <c r="O267" i="17"/>
  <c r="W267" i="17"/>
  <c r="AE267" i="17"/>
  <c r="AM267" i="17"/>
  <c r="U264" i="17"/>
  <c r="AI264" i="17"/>
  <c r="O242" i="17"/>
  <c r="Z242" i="17"/>
  <c r="AN242" i="17"/>
  <c r="P242" i="17"/>
  <c r="AE242" i="17"/>
  <c r="AQ242" i="17"/>
  <c r="K229" i="17"/>
  <c r="S229" i="17"/>
  <c r="AA229" i="17"/>
  <c r="AI229" i="17"/>
  <c r="AQ229" i="17"/>
  <c r="P229" i="17"/>
  <c r="Y229" i="17"/>
  <c r="AH229" i="17"/>
  <c r="AR229" i="17"/>
  <c r="L212" i="17"/>
  <c r="X212" i="17"/>
  <c r="AH212" i="17"/>
  <c r="AR212" i="17"/>
  <c r="P212" i="17"/>
  <c r="AA212" i="17"/>
  <c r="AN212" i="17"/>
  <c r="Q212" i="17"/>
  <c r="AB212" i="17"/>
  <c r="AO212" i="17"/>
  <c r="S205" i="17"/>
  <c r="AP205" i="17"/>
  <c r="T205" i="17"/>
  <c r="AR205" i="17"/>
  <c r="X205" i="17"/>
  <c r="AS205" i="17"/>
  <c r="AH203" i="17"/>
  <c r="U203" i="17"/>
  <c r="AC203" i="17"/>
  <c r="AS193" i="17"/>
  <c r="AH193" i="17"/>
  <c r="AM177" i="17"/>
  <c r="AA177" i="17"/>
  <c r="AA171" i="17"/>
  <c r="Q171" i="17"/>
  <c r="AK171" i="17"/>
  <c r="N171" i="17"/>
  <c r="AO171" i="17"/>
  <c r="R171" i="17"/>
  <c r="S171" i="17"/>
  <c r="AL169" i="17"/>
  <c r="AI163" i="17"/>
  <c r="R136" i="17"/>
  <c r="S136" i="17"/>
  <c r="AB136" i="17"/>
  <c r="AK136" i="17"/>
  <c r="M136" i="17"/>
  <c r="W136" i="17"/>
  <c r="AG136" i="17"/>
  <c r="AR136" i="17"/>
  <c r="N136" i="17"/>
  <c r="Y136" i="17"/>
  <c r="AL136" i="17"/>
  <c r="O136" i="17"/>
  <c r="AA136" i="17"/>
  <c r="AM136" i="17"/>
  <c r="P136" i="17"/>
  <c r="AC136" i="17"/>
  <c r="AN136" i="17"/>
  <c r="Z129" i="17"/>
  <c r="W129" i="17"/>
  <c r="V129" i="17"/>
  <c r="X129" i="17"/>
  <c r="Y129" i="17"/>
  <c r="AP117" i="17"/>
  <c r="AJ115" i="17"/>
  <c r="L115" i="17"/>
  <c r="AE112" i="17"/>
  <c r="K112" i="17"/>
  <c r="K90" i="17"/>
  <c r="P90" i="17"/>
  <c r="P75" i="17"/>
  <c r="N75" i="17"/>
  <c r="W75" i="17"/>
  <c r="AG75" i="17"/>
  <c r="AP75" i="17"/>
  <c r="R75" i="17"/>
  <c r="AB75" i="17"/>
  <c r="AL75" i="17"/>
  <c r="M75" i="17"/>
  <c r="Z75" i="17"/>
  <c r="AK75" i="17"/>
  <c r="K75" i="17"/>
  <c r="Y75" i="17"/>
  <c r="AM75" i="17"/>
  <c r="L75" i="17"/>
  <c r="AC75" i="17"/>
  <c r="AR75" i="17"/>
  <c r="O75" i="17"/>
  <c r="AD75" i="17"/>
  <c r="AS75" i="17"/>
  <c r="Q75" i="17"/>
  <c r="AE75" i="17"/>
  <c r="AR73" i="17"/>
  <c r="T73" i="17"/>
  <c r="O193" i="17"/>
  <c r="W193" i="17"/>
  <c r="AE193" i="17"/>
  <c r="AM193" i="17"/>
  <c r="S193" i="17"/>
  <c r="AB193" i="17"/>
  <c r="AK193" i="17"/>
  <c r="K193" i="17"/>
  <c r="T193" i="17"/>
  <c r="AC193" i="17"/>
  <c r="AL193" i="17"/>
  <c r="AC179" i="17"/>
  <c r="AD179" i="17"/>
  <c r="K179" i="17"/>
  <c r="Q179" i="17"/>
  <c r="U179" i="17"/>
  <c r="R169" i="17"/>
  <c r="Z169" i="17"/>
  <c r="AH169" i="17"/>
  <c r="AP169" i="17"/>
  <c r="L169" i="17"/>
  <c r="U169" i="17"/>
  <c r="AD169" i="17"/>
  <c r="AM169" i="17"/>
  <c r="M169" i="17"/>
  <c r="V169" i="17"/>
  <c r="AE169" i="17"/>
  <c r="AN169" i="17"/>
  <c r="N169" i="17"/>
  <c r="W169" i="17"/>
  <c r="AF169" i="17"/>
  <c r="AO169" i="17"/>
  <c r="Q148" i="17"/>
  <c r="AE148" i="17"/>
  <c r="AP148" i="17"/>
  <c r="L148" i="17"/>
  <c r="Z148" i="17"/>
  <c r="AO148" i="17"/>
  <c r="O148" i="17"/>
  <c r="AF148" i="17"/>
  <c r="P148" i="17"/>
  <c r="AG148" i="17"/>
  <c r="S148" i="17"/>
  <c r="AH148" i="17"/>
  <c r="R123" i="17"/>
  <c r="P123" i="17"/>
  <c r="AB123" i="17"/>
  <c r="AL123" i="17"/>
  <c r="V123" i="17"/>
  <c r="AG123" i="17"/>
  <c r="O123" i="17"/>
  <c r="AD123" i="17"/>
  <c r="AR123" i="17"/>
  <c r="Q123" i="17"/>
  <c r="AE123" i="17"/>
  <c r="AS123" i="17"/>
  <c r="T123" i="17"/>
  <c r="AF123" i="17"/>
  <c r="M117" i="17"/>
  <c r="U117" i="17"/>
  <c r="AC117" i="17"/>
  <c r="AK117" i="17"/>
  <c r="AS117" i="17"/>
  <c r="S117" i="17"/>
  <c r="AB117" i="17"/>
  <c r="AL117" i="17"/>
  <c r="L117" i="17"/>
  <c r="W117" i="17"/>
  <c r="AG117" i="17"/>
  <c r="AQ117" i="17"/>
  <c r="N117" i="17"/>
  <c r="X117" i="17"/>
  <c r="AH117" i="17"/>
  <c r="AR117" i="17"/>
  <c r="O117" i="17"/>
  <c r="Y117" i="17"/>
  <c r="AI117" i="17"/>
  <c r="AI92" i="17"/>
  <c r="O92" i="17"/>
  <c r="S92" i="17"/>
  <c r="Z92" i="17"/>
  <c r="AA92" i="17"/>
  <c r="X85" i="17"/>
  <c r="M85" i="17"/>
  <c r="AO85" i="17"/>
  <c r="AG85" i="17"/>
  <c r="T85" i="17"/>
  <c r="U85" i="17"/>
  <c r="Y85" i="17"/>
  <c r="Y79" i="17"/>
  <c r="W79" i="17"/>
  <c r="V79" i="17"/>
  <c r="X79" i="17"/>
  <c r="M78" i="17"/>
  <c r="U78" i="17"/>
  <c r="AC78" i="17"/>
  <c r="Q78" i="17"/>
  <c r="Z78" i="17"/>
  <c r="AI78" i="17"/>
  <c r="AQ78" i="17"/>
  <c r="T78" i="17"/>
  <c r="AE78" i="17"/>
  <c r="AN78" i="17"/>
  <c r="N78" i="17"/>
  <c r="Y78" i="17"/>
  <c r="AK78" i="17"/>
  <c r="W78" i="17"/>
  <c r="AJ78" i="17"/>
  <c r="K78" i="17"/>
  <c r="X78" i="17"/>
  <c r="AL78" i="17"/>
  <c r="L78" i="17"/>
  <c r="AA78" i="17"/>
  <c r="AM78" i="17"/>
  <c r="K61" i="17"/>
  <c r="S61" i="17"/>
  <c r="AA61" i="17"/>
  <c r="AI61" i="17"/>
  <c r="AQ61" i="17"/>
  <c r="P61" i="17"/>
  <c r="Y61" i="17"/>
  <c r="AH61" i="17"/>
  <c r="AR61" i="17"/>
  <c r="L61" i="17"/>
  <c r="V61" i="17"/>
  <c r="AF61" i="17"/>
  <c r="AP61" i="17"/>
  <c r="O61" i="17"/>
  <c r="AB61" i="17"/>
  <c r="AM61" i="17"/>
  <c r="Q61" i="17"/>
  <c r="AC61" i="17"/>
  <c r="AN61" i="17"/>
  <c r="M61" i="17"/>
  <c r="AD61" i="17"/>
  <c r="N61" i="17"/>
  <c r="AE61" i="17"/>
  <c r="R61" i="17"/>
  <c r="AG61" i="17"/>
  <c r="L59" i="17"/>
  <c r="AB59" i="17"/>
  <c r="AA55" i="17"/>
  <c r="AI55" i="17"/>
  <c r="R55" i="17"/>
  <c r="AO55" i="17"/>
  <c r="AC55" i="17"/>
  <c r="Y55" i="17"/>
  <c r="Z55" i="17"/>
  <c r="Q55" i="17"/>
  <c r="S55" i="17"/>
  <c r="AJ55" i="17"/>
  <c r="P177" i="17"/>
  <c r="X177" i="17"/>
  <c r="AF177" i="17"/>
  <c r="AN177" i="17"/>
  <c r="N177" i="17"/>
  <c r="W177" i="17"/>
  <c r="AG177" i="17"/>
  <c r="AP177" i="17"/>
  <c r="O177" i="17"/>
  <c r="Y177" i="17"/>
  <c r="AH177" i="17"/>
  <c r="AQ177" i="17"/>
  <c r="Q177" i="17"/>
  <c r="Z177" i="17"/>
  <c r="AI177" i="17"/>
  <c r="AR177" i="17"/>
  <c r="AC167" i="17"/>
  <c r="O167" i="17"/>
  <c r="AE167" i="17"/>
  <c r="P167" i="17"/>
  <c r="AK167" i="17"/>
  <c r="Q167" i="17"/>
  <c r="AL167" i="17"/>
  <c r="L163" i="17"/>
  <c r="Y163" i="17"/>
  <c r="AJ163" i="17"/>
  <c r="N163" i="17"/>
  <c r="AC163" i="17"/>
  <c r="AQ163" i="17"/>
  <c r="Q163" i="17"/>
  <c r="AD163" i="17"/>
  <c r="AR163" i="17"/>
  <c r="S163" i="17"/>
  <c r="AG163" i="17"/>
  <c r="AS163" i="17"/>
  <c r="K127" i="17"/>
  <c r="AO127" i="17"/>
  <c r="AH127" i="17"/>
  <c r="R115" i="17"/>
  <c r="Q115" i="17"/>
  <c r="AC115" i="17"/>
  <c r="AM115" i="17"/>
  <c r="P115" i="17"/>
  <c r="AD115" i="17"/>
  <c r="AO115" i="17"/>
  <c r="M115" i="17"/>
  <c r="Y115" i="17"/>
  <c r="AN115" i="17"/>
  <c r="N115" i="17"/>
  <c r="AB115" i="17"/>
  <c r="AR115" i="17"/>
  <c r="O115" i="17"/>
  <c r="AE115" i="17"/>
  <c r="AS115" i="17"/>
  <c r="R112" i="17"/>
  <c r="S112" i="17"/>
  <c r="AB112" i="17"/>
  <c r="AK112" i="17"/>
  <c r="M112" i="17"/>
  <c r="W112" i="17"/>
  <c r="AG112" i="17"/>
  <c r="AR112" i="17"/>
  <c r="N112" i="17"/>
  <c r="Y112" i="17"/>
  <c r="AL112" i="17"/>
  <c r="O112" i="17"/>
  <c r="AA112" i="17"/>
  <c r="AM112" i="17"/>
  <c r="P112" i="17"/>
  <c r="AC112" i="17"/>
  <c r="AN112" i="17"/>
  <c r="U88" i="17"/>
  <c r="AL88" i="17"/>
  <c r="R88" i="17"/>
  <c r="AK88" i="17"/>
  <c r="L88" i="17"/>
  <c r="AF88" i="17"/>
  <c r="AD88" i="17"/>
  <c r="K88" i="17"/>
  <c r="AN88" i="17"/>
  <c r="M88" i="17"/>
  <c r="AO88" i="17"/>
  <c r="R73" i="17"/>
  <c r="P73" i="17"/>
  <c r="AB73" i="17"/>
  <c r="AL73" i="17"/>
  <c r="L73" i="17"/>
  <c r="W73" i="17"/>
  <c r="AJ73" i="17"/>
  <c r="M73" i="17"/>
  <c r="Y73" i="17"/>
  <c r="AN73" i="17"/>
  <c r="O73" i="17"/>
  <c r="AE73" i="17"/>
  <c r="AD73" i="17"/>
  <c r="N73" i="17"/>
  <c r="AF73" i="17"/>
  <c r="Q73" i="17"/>
  <c r="AG73" i="17"/>
  <c r="M176" i="17"/>
  <c r="Y176" i="17"/>
  <c r="AI176" i="17"/>
  <c r="AS176" i="17"/>
  <c r="AG175" i="17"/>
  <c r="AD175" i="17"/>
  <c r="M146" i="17"/>
  <c r="Y146" i="17"/>
  <c r="AI146" i="17"/>
  <c r="AS146" i="17"/>
  <c r="L146" i="17"/>
  <c r="Z146" i="17"/>
  <c r="AK146" i="17"/>
  <c r="W118" i="17"/>
  <c r="AM118" i="17"/>
  <c r="AE118" i="17"/>
  <c r="AO114" i="17"/>
  <c r="AA114" i="17"/>
  <c r="K114" i="17"/>
  <c r="X105" i="17"/>
  <c r="AP105" i="17"/>
  <c r="Q105" i="17"/>
  <c r="AH105" i="17"/>
  <c r="AO97" i="17"/>
  <c r="AD97" i="17"/>
  <c r="W76" i="17"/>
  <c r="O76" i="17"/>
  <c r="AD76" i="17"/>
  <c r="AS76" i="17"/>
  <c r="M76" i="17"/>
  <c r="AC76" i="17"/>
  <c r="N76" i="17"/>
  <c r="AF76" i="17"/>
  <c r="Q76" i="17"/>
  <c r="AM76" i="17"/>
  <c r="X41" i="17"/>
  <c r="AD41" i="17"/>
  <c r="O41" i="17"/>
  <c r="AE41" i="17"/>
  <c r="P41" i="17"/>
  <c r="AF41" i="17"/>
  <c r="Q41" i="17"/>
  <c r="AG41" i="17"/>
  <c r="AH41" i="17"/>
  <c r="W41" i="17"/>
  <c r="Z41" i="17"/>
  <c r="V41" i="17"/>
  <c r="AN41" i="17"/>
  <c r="AF39" i="17"/>
  <c r="AG39" i="17"/>
  <c r="P39" i="17"/>
  <c r="AH39" i="17"/>
  <c r="Q39" i="17"/>
  <c r="AO39" i="17"/>
  <c r="R39" i="17"/>
  <c r="AP39" i="17"/>
  <c r="AR39" i="17"/>
  <c r="S39" i="17"/>
  <c r="AQ39" i="17"/>
  <c r="AQ176" i="17"/>
  <c r="AF176" i="17"/>
  <c r="S176" i="17"/>
  <c r="AS175" i="17"/>
  <c r="P166" i="17"/>
  <c r="K166" i="17"/>
  <c r="T166" i="17"/>
  <c r="AC166" i="17"/>
  <c r="AL166" i="17"/>
  <c r="M161" i="17"/>
  <c r="U161" i="17"/>
  <c r="AC161" i="17"/>
  <c r="AK161" i="17"/>
  <c r="AS161" i="17"/>
  <c r="AN160" i="17"/>
  <c r="X160" i="17"/>
  <c r="AH146" i="17"/>
  <c r="T146" i="17"/>
  <c r="Z145" i="17"/>
  <c r="AN145" i="17"/>
  <c r="S145" i="17"/>
  <c r="AL145" i="17"/>
  <c r="P131" i="17"/>
  <c r="AD131" i="17"/>
  <c r="AO131" i="17"/>
  <c r="U131" i="17"/>
  <c r="AG131" i="17"/>
  <c r="N126" i="17"/>
  <c r="AK126" i="17"/>
  <c r="AG126" i="17"/>
  <c r="X118" i="17"/>
  <c r="AE105" i="17"/>
  <c r="R96" i="17"/>
  <c r="K96" i="17"/>
  <c r="T96" i="17"/>
  <c r="AC96" i="17"/>
  <c r="AL96" i="17"/>
  <c r="L96" i="17"/>
  <c r="V96" i="17"/>
  <c r="AF96" i="17"/>
  <c r="AQ96" i="17"/>
  <c r="AE76" i="17"/>
  <c r="L71" i="17"/>
  <c r="U71" i="17"/>
  <c r="AD71" i="17"/>
  <c r="AM71" i="17"/>
  <c r="M71" i="17"/>
  <c r="X71" i="17"/>
  <c r="AH71" i="17"/>
  <c r="AQ71" i="17"/>
  <c r="S71" i="17"/>
  <c r="AF71" i="17"/>
  <c r="AP71" i="17"/>
  <c r="Q71" i="17"/>
  <c r="AC71" i="17"/>
  <c r="AR71" i="17"/>
  <c r="R71" i="17"/>
  <c r="Y65" i="17"/>
  <c r="K65" i="17"/>
  <c r="AF65" i="17"/>
  <c r="N65" i="17"/>
  <c r="AH65" i="17"/>
  <c r="AE65" i="17"/>
  <c r="O65" i="17"/>
  <c r="AP65" i="17"/>
  <c r="S65" i="17"/>
  <c r="R24" i="17"/>
  <c r="Z24" i="17"/>
  <c r="AH24" i="17"/>
  <c r="AP24" i="17"/>
  <c r="K24" i="17"/>
  <c r="S24" i="17"/>
  <c r="AA24" i="17"/>
  <c r="AI24" i="17"/>
  <c r="AQ24" i="17"/>
  <c r="L24" i="17"/>
  <c r="T24" i="17"/>
  <c r="AB24" i="17"/>
  <c r="AJ24" i="17"/>
  <c r="AR24" i="17"/>
  <c r="M24" i="17"/>
  <c r="U24" i="17"/>
  <c r="AC24" i="17"/>
  <c r="AK24" i="17"/>
  <c r="AS24" i="17"/>
  <c r="Q24" i="17"/>
  <c r="AG24" i="17"/>
  <c r="V24" i="17"/>
  <c r="AL24" i="17"/>
  <c r="AE24" i="17"/>
  <c r="AF24" i="17"/>
  <c r="O24" i="17"/>
  <c r="AO24" i="17"/>
  <c r="P24" i="17"/>
  <c r="K11" i="17"/>
  <c r="X11" i="17"/>
  <c r="AJ11" i="17"/>
  <c r="L11" i="17"/>
  <c r="Y11" i="17"/>
  <c r="AK11" i="17"/>
  <c r="O11" i="17"/>
  <c r="AA11" i="17"/>
  <c r="AL11" i="17"/>
  <c r="P11" i="17"/>
  <c r="AB11" i="17"/>
  <c r="AM11" i="17"/>
  <c r="T11" i="17"/>
  <c r="AS11" i="17"/>
  <c r="U11" i="17"/>
  <c r="Q11" i="17"/>
  <c r="S11" i="17"/>
  <c r="AG11" i="17"/>
  <c r="AQ11" i="17"/>
  <c r="AR11" i="17"/>
  <c r="R262" i="17"/>
  <c r="P262" i="17"/>
  <c r="R256" i="17"/>
  <c r="AH256" i="17"/>
  <c r="Q252" i="17"/>
  <c r="W252" i="17"/>
  <c r="K251" i="17"/>
  <c r="S251" i="17"/>
  <c r="AA251" i="17"/>
  <c r="AI251" i="17"/>
  <c r="AQ251" i="17"/>
  <c r="X250" i="17"/>
  <c r="Q250" i="17"/>
  <c r="AG250" i="17"/>
  <c r="AO216" i="17"/>
  <c r="Q204" i="17"/>
  <c r="AJ204" i="17"/>
  <c r="AI202" i="17"/>
  <c r="U201" i="17"/>
  <c r="Y201" i="17"/>
  <c r="P198" i="17"/>
  <c r="L198" i="17"/>
  <c r="U198" i="17"/>
  <c r="AD198" i="17"/>
  <c r="AM198" i="17"/>
  <c r="AP176" i="17"/>
  <c r="AC176" i="17"/>
  <c r="R176" i="17"/>
  <c r="AF175" i="17"/>
  <c r="AM166" i="17"/>
  <c r="AB166" i="17"/>
  <c r="R166" i="17"/>
  <c r="AM162" i="17"/>
  <c r="AR161" i="17"/>
  <c r="AI161" i="17"/>
  <c r="Z161" i="17"/>
  <c r="Q161" i="17"/>
  <c r="AP160" i="17"/>
  <c r="N149" i="17"/>
  <c r="V149" i="17"/>
  <c r="AD149" i="17"/>
  <c r="AL149" i="17"/>
  <c r="Y147" i="17"/>
  <c r="AO147" i="17"/>
  <c r="L147" i="17"/>
  <c r="AE147" i="17"/>
  <c r="AG146" i="17"/>
  <c r="S146" i="17"/>
  <c r="AP145" i="17"/>
  <c r="W145" i="17"/>
  <c r="R144" i="17"/>
  <c r="K144" i="17"/>
  <c r="T144" i="17"/>
  <c r="AC144" i="17"/>
  <c r="AL144" i="17"/>
  <c r="M144" i="17"/>
  <c r="W144" i="17"/>
  <c r="AG144" i="17"/>
  <c r="AR144" i="17"/>
  <c r="R143" i="17"/>
  <c r="AJ143" i="17"/>
  <c r="Q143" i="17"/>
  <c r="AK143" i="17"/>
  <c r="L140" i="17"/>
  <c r="AE140" i="17"/>
  <c r="AR140" i="17"/>
  <c r="K140" i="17"/>
  <c r="AF140" i="17"/>
  <c r="V138" i="17"/>
  <c r="T138" i="17"/>
  <c r="AS138" i="17"/>
  <c r="L135" i="17"/>
  <c r="Y135" i="17"/>
  <c r="AJ135" i="17"/>
  <c r="M135" i="17"/>
  <c r="AA135" i="17"/>
  <c r="AP135" i="17"/>
  <c r="AK131" i="17"/>
  <c r="V131" i="17"/>
  <c r="AC126" i="17"/>
  <c r="T119" i="17"/>
  <c r="AO119" i="17"/>
  <c r="K119" i="17"/>
  <c r="AH119" i="17"/>
  <c r="V118" i="17"/>
  <c r="Z111" i="17"/>
  <c r="AH111" i="17"/>
  <c r="L109" i="17"/>
  <c r="T109" i="17"/>
  <c r="AB109" i="17"/>
  <c r="AJ109" i="17"/>
  <c r="AR109" i="17"/>
  <c r="P109" i="17"/>
  <c r="Y109" i="17"/>
  <c r="AH109" i="17"/>
  <c r="AQ109" i="17"/>
  <c r="AD105" i="17"/>
  <c r="L101" i="17"/>
  <c r="T101" i="17"/>
  <c r="AB101" i="17"/>
  <c r="AJ101" i="17"/>
  <c r="AR101" i="17"/>
  <c r="K101" i="17"/>
  <c r="U101" i="17"/>
  <c r="AD101" i="17"/>
  <c r="AM101" i="17"/>
  <c r="R99" i="17"/>
  <c r="U99" i="17"/>
  <c r="AE99" i="17"/>
  <c r="AO99" i="17"/>
  <c r="O99" i="17"/>
  <c r="AB99" i="17"/>
  <c r="AM99" i="17"/>
  <c r="AN97" i="17"/>
  <c r="AR96" i="17"/>
  <c r="AE96" i="17"/>
  <c r="S96" i="17"/>
  <c r="V84" i="17"/>
  <c r="N84" i="17"/>
  <c r="Z84" i="17"/>
  <c r="AN84" i="17"/>
  <c r="P84" i="17"/>
  <c r="AE84" i="17"/>
  <c r="U84" i="17"/>
  <c r="AM84" i="17"/>
  <c r="Y76" i="17"/>
  <c r="AL71" i="17"/>
  <c r="Y71" i="17"/>
  <c r="AO65" i="17"/>
  <c r="P62" i="17"/>
  <c r="AC62" i="17"/>
  <c r="AO62" i="17"/>
  <c r="U62" i="17"/>
  <c r="AG62" i="17"/>
  <c r="V62" i="17"/>
  <c r="AK62" i="17"/>
  <c r="O62" i="17"/>
  <c r="AH62" i="17"/>
  <c r="Q62" i="17"/>
  <c r="AL62" i="17"/>
  <c r="O49" i="17"/>
  <c r="AD49" i="17"/>
  <c r="P49" i="17"/>
  <c r="AE49" i="17"/>
  <c r="Q49" i="17"/>
  <c r="AI49" i="17"/>
  <c r="R49" i="17"/>
  <c r="AL49" i="17"/>
  <c r="AA49" i="17"/>
  <c r="AO49" i="17"/>
  <c r="Y49" i="17"/>
  <c r="Z49" i="17"/>
  <c r="AM49" i="17"/>
  <c r="AM24" i="17"/>
  <c r="Q66" i="17"/>
  <c r="AB66" i="17"/>
  <c r="AA66" i="17"/>
  <c r="K53" i="17"/>
  <c r="S53" i="17"/>
  <c r="AA53" i="17"/>
  <c r="AI53" i="17"/>
  <c r="AQ53" i="17"/>
  <c r="Q53" i="17"/>
  <c r="Z53" i="17"/>
  <c r="AJ53" i="17"/>
  <c r="AS53" i="17"/>
  <c r="O53" i="17"/>
  <c r="Y53" i="17"/>
  <c r="AK53" i="17"/>
  <c r="R40" i="17"/>
  <c r="K40" i="17"/>
  <c r="T40" i="17"/>
  <c r="AC40" i="17"/>
  <c r="AL40" i="17"/>
  <c r="L40" i="17"/>
  <c r="U40" i="17"/>
  <c r="AD40" i="17"/>
  <c r="AM40" i="17"/>
  <c r="M40" i="17"/>
  <c r="V40" i="17"/>
  <c r="AE40" i="17"/>
  <c r="AN40" i="17"/>
  <c r="N40" i="17"/>
  <c r="W40" i="17"/>
  <c r="AF40" i="17"/>
  <c r="AO40" i="17"/>
  <c r="Y40" i="17"/>
  <c r="AR40" i="17"/>
  <c r="P40" i="17"/>
  <c r="AJ40" i="17"/>
  <c r="AI40" i="17"/>
  <c r="Z25" i="17"/>
  <c r="R25" i="17"/>
  <c r="AL25" i="17"/>
  <c r="U25" i="17"/>
  <c r="AM25" i="17"/>
  <c r="X25" i="17"/>
  <c r="Y25" i="17"/>
  <c r="P25" i="17"/>
  <c r="AD25" i="17"/>
  <c r="AH25" i="17"/>
  <c r="AK25" i="17"/>
  <c r="K130" i="17"/>
  <c r="AB130" i="17"/>
  <c r="AQ130" i="17"/>
  <c r="R128" i="17"/>
  <c r="P128" i="17"/>
  <c r="Y128" i="17"/>
  <c r="AI128" i="17"/>
  <c r="AR128" i="17"/>
  <c r="N94" i="17"/>
  <c r="AD94" i="17"/>
  <c r="X74" i="17"/>
  <c r="K74" i="17"/>
  <c r="Z74" i="17"/>
  <c r="AO74" i="17"/>
  <c r="AA74" i="17"/>
  <c r="AQ74" i="17"/>
  <c r="Q74" i="17"/>
  <c r="AH74" i="17"/>
  <c r="AP53" i="17"/>
  <c r="AE53" i="17"/>
  <c r="T53" i="17"/>
  <c r="AB40" i="17"/>
  <c r="Q33" i="17"/>
  <c r="AH33" i="17"/>
  <c r="R33" i="17"/>
  <c r="AI33" i="17"/>
  <c r="S33" i="17"/>
  <c r="AL33" i="17"/>
  <c r="Y33" i="17"/>
  <c r="AP33" i="17"/>
  <c r="Z33" i="17"/>
  <c r="AA33" i="17"/>
  <c r="O33" i="17"/>
  <c r="AG33" i="17"/>
  <c r="M22" i="17"/>
  <c r="AG22" i="17"/>
  <c r="N22" i="17"/>
  <c r="AH22" i="17"/>
  <c r="O22" i="17"/>
  <c r="AJ22" i="17"/>
  <c r="V22" i="17"/>
  <c r="AK22" i="17"/>
  <c r="AN22" i="17"/>
  <c r="AS22" i="17"/>
  <c r="N14" i="17"/>
  <c r="Z14" i="17"/>
  <c r="AO14" i="17"/>
  <c r="O14" i="17"/>
  <c r="AB14" i="17"/>
  <c r="AP14" i="17"/>
  <c r="P14" i="17"/>
  <c r="AC14" i="17"/>
  <c r="AS14" i="17"/>
  <c r="Q14" i="17"/>
  <c r="AG14" i="17"/>
  <c r="AL14" i="17"/>
  <c r="T14" i="17"/>
  <c r="W14" i="17"/>
  <c r="X14" i="17"/>
  <c r="AM87" i="17"/>
  <c r="AF87" i="17"/>
  <c r="P83" i="17"/>
  <c r="L83" i="17"/>
  <c r="U83" i="17"/>
  <c r="AD83" i="17"/>
  <c r="AM83" i="17"/>
  <c r="X82" i="17"/>
  <c r="R82" i="17"/>
  <c r="AH82" i="17"/>
  <c r="M70" i="17"/>
  <c r="V70" i="17"/>
  <c r="AE70" i="17"/>
  <c r="AN70" i="17"/>
  <c r="R70" i="17"/>
  <c r="AC70" i="17"/>
  <c r="AM70" i="17"/>
  <c r="Q60" i="17"/>
  <c r="AA60" i="17"/>
  <c r="AM60" i="17"/>
  <c r="S60" i="17"/>
  <c r="AF60" i="17"/>
  <c r="AQ60" i="17"/>
  <c r="R48" i="17"/>
  <c r="L48" i="17"/>
  <c r="U48" i="17"/>
  <c r="AD48" i="17"/>
  <c r="AM48" i="17"/>
  <c r="M48" i="17"/>
  <c r="V48" i="17"/>
  <c r="AE48" i="17"/>
  <c r="AN48" i="17"/>
  <c r="N48" i="17"/>
  <c r="W48" i="17"/>
  <c r="AF48" i="17"/>
  <c r="AO48" i="17"/>
  <c r="O48" i="17"/>
  <c r="X48" i="17"/>
  <c r="AG48" i="17"/>
  <c r="AQ48" i="17"/>
  <c r="T48" i="17"/>
  <c r="AL48" i="17"/>
  <c r="Y48" i="17"/>
  <c r="AS48" i="17"/>
  <c r="S36" i="17"/>
  <c r="L36" i="17"/>
  <c r="X36" i="17"/>
  <c r="AI36" i="17"/>
  <c r="N36" i="17"/>
  <c r="Y36" i="17"/>
  <c r="AJ36" i="17"/>
  <c r="O36" i="17"/>
  <c r="Z36" i="17"/>
  <c r="AM36" i="17"/>
  <c r="P36" i="17"/>
  <c r="AA36" i="17"/>
  <c r="AN36" i="17"/>
  <c r="W36" i="17"/>
  <c r="AR36" i="17"/>
  <c r="AE36" i="17"/>
  <c r="AF36" i="17"/>
  <c r="W19" i="17"/>
  <c r="Y19" i="17"/>
  <c r="AO19" i="17"/>
  <c r="K19" i="17"/>
  <c r="AA19" i="17"/>
  <c r="AQ19" i="17"/>
  <c r="N19" i="17"/>
  <c r="AB19" i="17"/>
  <c r="AS19" i="17"/>
  <c r="O19" i="17"/>
  <c r="AC19" i="17"/>
  <c r="Q19" i="17"/>
  <c r="T19" i="17"/>
  <c r="P19" i="17"/>
  <c r="K17" i="17"/>
  <c r="Y17" i="17"/>
  <c r="AK17" i="17"/>
  <c r="M17" i="17"/>
  <c r="Z17" i="17"/>
  <c r="AL17" i="17"/>
  <c r="P17" i="17"/>
  <c r="AA17" i="17"/>
  <c r="AM17" i="17"/>
  <c r="Q17" i="17"/>
  <c r="AC17" i="17"/>
  <c r="AN17" i="17"/>
  <c r="U17" i="17"/>
  <c r="V17" i="17"/>
  <c r="AC10" i="17"/>
  <c r="M10" i="17"/>
  <c r="AF10" i="17"/>
  <c r="Q10" i="17"/>
  <c r="AL10" i="17"/>
  <c r="R10" i="17"/>
  <c r="AN10" i="17"/>
  <c r="S10" i="17"/>
  <c r="AO10" i="17"/>
  <c r="AB10" i="17"/>
  <c r="AD10" i="17"/>
  <c r="AR10" i="17"/>
  <c r="X77" i="17"/>
  <c r="T77" i="17"/>
  <c r="AO77" i="17"/>
  <c r="R32" i="17"/>
  <c r="Z32" i="17"/>
  <c r="AH32" i="17"/>
  <c r="AP32" i="17"/>
  <c r="K32" i="17"/>
  <c r="S32" i="17"/>
  <c r="AA32" i="17"/>
  <c r="AI32" i="17"/>
  <c r="AQ32" i="17"/>
  <c r="L32" i="17"/>
  <c r="T32" i="17"/>
  <c r="AB32" i="17"/>
  <c r="AJ32" i="17"/>
  <c r="AR32" i="17"/>
  <c r="M32" i="17"/>
  <c r="U32" i="17"/>
  <c r="AC32" i="17"/>
  <c r="AK32" i="17"/>
  <c r="AS32" i="17"/>
  <c r="V32" i="17"/>
  <c r="AL32" i="17"/>
  <c r="W32" i="17"/>
  <c r="AM32" i="17"/>
  <c r="AH27" i="17"/>
  <c r="AJ27" i="17"/>
  <c r="Q27" i="17"/>
  <c r="AK27" i="17"/>
  <c r="R27" i="17"/>
  <c r="AR27" i="17"/>
  <c r="S27" i="17"/>
  <c r="L23" i="17"/>
  <c r="AG23" i="17"/>
  <c r="M23" i="17"/>
  <c r="AH23" i="17"/>
  <c r="R23" i="17"/>
  <c r="AI23" i="17"/>
  <c r="U23" i="17"/>
  <c r="AJ23" i="17"/>
  <c r="AQ23" i="17"/>
  <c r="AR23" i="17"/>
  <c r="AI17" i="17"/>
  <c r="R43" i="17"/>
  <c r="M43" i="17"/>
  <c r="W43" i="17"/>
  <c r="AG43" i="17"/>
  <c r="AS43" i="17"/>
  <c r="N43" i="17"/>
  <c r="X43" i="17"/>
  <c r="AJ43" i="17"/>
  <c r="O43" i="17"/>
  <c r="Y43" i="17"/>
  <c r="AK43" i="17"/>
  <c r="P43" i="17"/>
  <c r="AB43" i="17"/>
  <c r="AL43" i="17"/>
  <c r="X12" i="17"/>
  <c r="Z12" i="17"/>
  <c r="AP12" i="17"/>
  <c r="K12" i="17"/>
  <c r="AA12" i="17"/>
  <c r="AQ12" i="17"/>
  <c r="O12" i="17"/>
  <c r="AB12" i="17"/>
  <c r="P12" i="17"/>
  <c r="AD12" i="17"/>
  <c r="K18" i="17"/>
  <c r="Y18" i="17"/>
  <c r="AJ18" i="17"/>
  <c r="L18" i="17"/>
  <c r="Z18" i="17"/>
  <c r="AK18" i="17"/>
  <c r="P18" i="17"/>
  <c r="AA18" i="17"/>
  <c r="AL18" i="17"/>
  <c r="Q18" i="17"/>
  <c r="AB18" i="17"/>
  <c r="AN18" i="17"/>
  <c r="AN45" i="17"/>
  <c r="AF45" i="17"/>
  <c r="X45" i="17"/>
  <c r="P45" i="17"/>
  <c r="AI37" i="17"/>
  <c r="AA37" i="17"/>
  <c r="S37" i="17"/>
  <c r="K37" i="17"/>
  <c r="AN35" i="17"/>
  <c r="M35" i="17"/>
  <c r="K30" i="17"/>
  <c r="V29" i="17"/>
  <c r="X8" i="17"/>
  <c r="P8" i="17"/>
  <c r="AM45" i="17"/>
  <c r="AE45" i="17"/>
  <c r="W45" i="17"/>
  <c r="Z37" i="17"/>
  <c r="AJ35" i="17"/>
  <c r="AE8" i="17"/>
  <c r="W8" i="17"/>
  <c r="O8" i="17"/>
  <c r="V8" i="17"/>
  <c r="N236" i="17"/>
  <c r="V236" i="17"/>
  <c r="AD236" i="17"/>
  <c r="AL236" i="17"/>
  <c r="S236" i="17"/>
  <c r="AB236" i="17"/>
  <c r="AK236" i="17"/>
  <c r="K236" i="17"/>
  <c r="T236" i="17"/>
  <c r="AC236" i="17"/>
  <c r="AM236" i="17"/>
  <c r="L236" i="17"/>
  <c r="U236" i="17"/>
  <c r="AE236" i="17"/>
  <c r="AN236" i="17"/>
  <c r="R224" i="17"/>
  <c r="Z224" i="17"/>
  <c r="AH224" i="17"/>
  <c r="AP224" i="17"/>
  <c r="M224" i="17"/>
  <c r="V224" i="17"/>
  <c r="AE224" i="17"/>
  <c r="AN224" i="17"/>
  <c r="N224" i="17"/>
  <c r="W224" i="17"/>
  <c r="AF224" i="17"/>
  <c r="AO224" i="17"/>
  <c r="O224" i="17"/>
  <c r="X224" i="17"/>
  <c r="AG224" i="17"/>
  <c r="AQ224" i="17"/>
  <c r="K199" i="17"/>
  <c r="S199" i="17"/>
  <c r="AA199" i="17"/>
  <c r="AI199" i="17"/>
  <c r="AQ199" i="17"/>
  <c r="L199" i="17"/>
  <c r="T199" i="17"/>
  <c r="AB199" i="17"/>
  <c r="AJ199" i="17"/>
  <c r="AR199" i="17"/>
  <c r="V199" i="17"/>
  <c r="AF199" i="17"/>
  <c r="AP199" i="17"/>
  <c r="M199" i="17"/>
  <c r="W199" i="17"/>
  <c r="AG199" i="17"/>
  <c r="AS199" i="17"/>
  <c r="Y199" i="17"/>
  <c r="AM199" i="17"/>
  <c r="N199" i="17"/>
  <c r="Z199" i="17"/>
  <c r="AN199" i="17"/>
  <c r="O199" i="17"/>
  <c r="AC199" i="17"/>
  <c r="AO199" i="17"/>
  <c r="L194" i="17"/>
  <c r="T194" i="17"/>
  <c r="AB194" i="17"/>
  <c r="AJ194" i="17"/>
  <c r="AR194" i="17"/>
  <c r="M194" i="17"/>
  <c r="U194" i="17"/>
  <c r="AC194" i="17"/>
  <c r="AK194" i="17"/>
  <c r="AS194" i="17"/>
  <c r="K194" i="17"/>
  <c r="W194" i="17"/>
  <c r="AG194" i="17"/>
  <c r="AQ194" i="17"/>
  <c r="N194" i="17"/>
  <c r="X194" i="17"/>
  <c r="AH194" i="17"/>
  <c r="O194" i="17"/>
  <c r="AA194" i="17"/>
  <c r="AO194" i="17"/>
  <c r="P194" i="17"/>
  <c r="AD194" i="17"/>
  <c r="AP194" i="17"/>
  <c r="Q194" i="17"/>
  <c r="AE194" i="17"/>
  <c r="L124" i="17"/>
  <c r="T124" i="17"/>
  <c r="AB124" i="17"/>
  <c r="AJ124" i="17"/>
  <c r="AR124" i="17"/>
  <c r="M124" i="17"/>
  <c r="U124" i="17"/>
  <c r="AC124" i="17"/>
  <c r="AK124" i="17"/>
  <c r="AS124" i="17"/>
  <c r="N124" i="17"/>
  <c r="V124" i="17"/>
  <c r="AD124" i="17"/>
  <c r="AL124" i="17"/>
  <c r="X124" i="17"/>
  <c r="AI124" i="17"/>
  <c r="K124" i="17"/>
  <c r="Y124" i="17"/>
  <c r="AM124" i="17"/>
  <c r="R124" i="17"/>
  <c r="AH124" i="17"/>
  <c r="S124" i="17"/>
  <c r="AN124" i="17"/>
  <c r="W124" i="17"/>
  <c r="AO124" i="17"/>
  <c r="AG124" i="17"/>
  <c r="O124" i="17"/>
  <c r="AP124" i="17"/>
  <c r="P124" i="17"/>
  <c r="AQ124" i="17"/>
  <c r="AF343" i="17"/>
  <c r="AF335" i="17"/>
  <c r="P335" i="17"/>
  <c r="X327" i="17"/>
  <c r="AN319" i="17"/>
  <c r="AF311" i="17"/>
  <c r="P311" i="17"/>
  <c r="X295" i="17"/>
  <c r="AF287" i="17"/>
  <c r="O239" i="17"/>
  <c r="W239" i="17"/>
  <c r="AE239" i="17"/>
  <c r="AM239" i="17"/>
  <c r="L239" i="17"/>
  <c r="U239" i="17"/>
  <c r="AD239" i="17"/>
  <c r="AN239" i="17"/>
  <c r="M239" i="17"/>
  <c r="V239" i="17"/>
  <c r="AF239" i="17"/>
  <c r="AO239" i="17"/>
  <c r="N239" i="17"/>
  <c r="X239" i="17"/>
  <c r="AG239" i="17"/>
  <c r="AP239" i="17"/>
  <c r="W236" i="17"/>
  <c r="AJ231" i="17"/>
  <c r="AJ224" i="17"/>
  <c r="L222" i="17"/>
  <c r="T222" i="17"/>
  <c r="AB222" i="17"/>
  <c r="AJ222" i="17"/>
  <c r="AR222" i="17"/>
  <c r="O222" i="17"/>
  <c r="X222" i="17"/>
  <c r="AG222" i="17"/>
  <c r="AP222" i="17"/>
  <c r="P222" i="17"/>
  <c r="Y222" i="17"/>
  <c r="AH222" i="17"/>
  <c r="AQ222" i="17"/>
  <c r="Q222" i="17"/>
  <c r="Z222" i="17"/>
  <c r="AI222" i="17"/>
  <c r="AS222" i="17"/>
  <c r="AD199" i="17"/>
  <c r="AF194" i="17"/>
  <c r="AO100" i="17"/>
  <c r="R89" i="17"/>
  <c r="Z89" i="17"/>
  <c r="AH89" i="17"/>
  <c r="AP89" i="17"/>
  <c r="M89" i="17"/>
  <c r="V89" i="17"/>
  <c r="AE89" i="17"/>
  <c r="AN89" i="17"/>
  <c r="N89" i="17"/>
  <c r="W89" i="17"/>
  <c r="AF89" i="17"/>
  <c r="AO89" i="17"/>
  <c r="O89" i="17"/>
  <c r="X89" i="17"/>
  <c r="AG89" i="17"/>
  <c r="AQ89" i="17"/>
  <c r="K89" i="17"/>
  <c r="AA89" i="17"/>
  <c r="AM89" i="17"/>
  <c r="L89" i="17"/>
  <c r="AB89" i="17"/>
  <c r="AR89" i="17"/>
  <c r="S89" i="17"/>
  <c r="AK89" i="17"/>
  <c r="T89" i="17"/>
  <c r="AL89" i="17"/>
  <c r="U89" i="17"/>
  <c r="AS89" i="17"/>
  <c r="AC89" i="17"/>
  <c r="AD89" i="17"/>
  <c r="AI89" i="17"/>
  <c r="O34" i="17"/>
  <c r="W34" i="17"/>
  <c r="AE34" i="17"/>
  <c r="AM34" i="17"/>
  <c r="K34" i="17"/>
  <c r="T34" i="17"/>
  <c r="AC34" i="17"/>
  <c r="AL34" i="17"/>
  <c r="L34" i="17"/>
  <c r="U34" i="17"/>
  <c r="AD34" i="17"/>
  <c r="AN34" i="17"/>
  <c r="M34" i="17"/>
  <c r="V34" i="17"/>
  <c r="AF34" i="17"/>
  <c r="AO34" i="17"/>
  <c r="N34" i="17"/>
  <c r="AA34" i="17"/>
  <c r="AQ34" i="17"/>
  <c r="P34" i="17"/>
  <c r="AB34" i="17"/>
  <c r="AR34" i="17"/>
  <c r="Q34" i="17"/>
  <c r="AG34" i="17"/>
  <c r="AS34" i="17"/>
  <c r="S34" i="17"/>
  <c r="AP34" i="17"/>
  <c r="X34" i="17"/>
  <c r="Y34" i="17"/>
  <c r="AJ34" i="17"/>
  <c r="AK34" i="17"/>
  <c r="R34" i="17"/>
  <c r="Z34" i="17"/>
  <c r="AH34" i="17"/>
  <c r="AI34" i="17"/>
  <c r="AF346" i="17"/>
  <c r="W343" i="17"/>
  <c r="AN338" i="17"/>
  <c r="AE335" i="17"/>
  <c r="AN330" i="17"/>
  <c r="AE327" i="17"/>
  <c r="O327" i="17"/>
  <c r="AN322" i="17"/>
  <c r="AE319" i="17"/>
  <c r="AF314" i="17"/>
  <c r="W311" i="17"/>
  <c r="O311" i="17"/>
  <c r="AE303" i="17"/>
  <c r="O303" i="17"/>
  <c r="Q301" i="17"/>
  <c r="AN298" i="17"/>
  <c r="W295" i="17"/>
  <c r="X290" i="17"/>
  <c r="AM287" i="17"/>
  <c r="O287" i="17"/>
  <c r="X282" i="17"/>
  <c r="AM273" i="17"/>
  <c r="S266" i="17"/>
  <c r="AQ258" i="17"/>
  <c r="R258" i="17"/>
  <c r="AJ239" i="17"/>
  <c r="AH236" i="17"/>
  <c r="AI231" i="17"/>
  <c r="AL227" i="17"/>
  <c r="Y227" i="17"/>
  <c r="S224" i="17"/>
  <c r="AK222" i="17"/>
  <c r="R196" i="17"/>
  <c r="Z196" i="17"/>
  <c r="AH196" i="17"/>
  <c r="AP196" i="17"/>
  <c r="K196" i="17"/>
  <c r="S196" i="17"/>
  <c r="AA196" i="17"/>
  <c r="AI196" i="17"/>
  <c r="AQ196" i="17"/>
  <c r="L196" i="17"/>
  <c r="V196" i="17"/>
  <c r="AF196" i="17"/>
  <c r="AR196" i="17"/>
  <c r="M196" i="17"/>
  <c r="W196" i="17"/>
  <c r="AG196" i="17"/>
  <c r="AS196" i="17"/>
  <c r="P196" i="17"/>
  <c r="AD196" i="17"/>
  <c r="Q196" i="17"/>
  <c r="AE196" i="17"/>
  <c r="T196" i="17"/>
  <c r="AJ196" i="17"/>
  <c r="Z184" i="17"/>
  <c r="AD172" i="17"/>
  <c r="O154" i="17"/>
  <c r="W154" i="17"/>
  <c r="AE154" i="17"/>
  <c r="AM154" i="17"/>
  <c r="P154" i="17"/>
  <c r="X154" i="17"/>
  <c r="AF154" i="17"/>
  <c r="AN154" i="17"/>
  <c r="K154" i="17"/>
  <c r="U154" i="17"/>
  <c r="AG154" i="17"/>
  <c r="AQ154" i="17"/>
  <c r="L154" i="17"/>
  <c r="V154" i="17"/>
  <c r="AH154" i="17"/>
  <c r="AR154" i="17"/>
  <c r="N154" i="17"/>
  <c r="AB154" i="17"/>
  <c r="AP154" i="17"/>
  <c r="Q154" i="17"/>
  <c r="AC154" i="17"/>
  <c r="AS154" i="17"/>
  <c r="R154" i="17"/>
  <c r="AD154" i="17"/>
  <c r="AJ154" i="17"/>
  <c r="M154" i="17"/>
  <c r="AK154" i="17"/>
  <c r="S154" i="17"/>
  <c r="AL154" i="17"/>
  <c r="K142" i="17"/>
  <c r="S142" i="17"/>
  <c r="AA142" i="17"/>
  <c r="AI142" i="17"/>
  <c r="AQ142" i="17"/>
  <c r="L142" i="17"/>
  <c r="T142" i="17"/>
  <c r="AB142" i="17"/>
  <c r="AJ142" i="17"/>
  <c r="AR142" i="17"/>
  <c r="O142" i="17"/>
  <c r="Y142" i="17"/>
  <c r="AK142" i="17"/>
  <c r="P142" i="17"/>
  <c r="Z142" i="17"/>
  <c r="AL142" i="17"/>
  <c r="Q142" i="17"/>
  <c r="AE142" i="17"/>
  <c r="AS142" i="17"/>
  <c r="R142" i="17"/>
  <c r="AF142" i="17"/>
  <c r="U142" i="17"/>
  <c r="AG142" i="17"/>
  <c r="AH142" i="17"/>
  <c r="M142" i="17"/>
  <c r="AM142" i="17"/>
  <c r="N142" i="17"/>
  <c r="AN142" i="17"/>
  <c r="AF124" i="17"/>
  <c r="K121" i="17"/>
  <c r="S121" i="17"/>
  <c r="AA121" i="17"/>
  <c r="AI121" i="17"/>
  <c r="AQ121" i="17"/>
  <c r="L121" i="17"/>
  <c r="T121" i="17"/>
  <c r="AB121" i="17"/>
  <c r="AJ121" i="17"/>
  <c r="AR121" i="17"/>
  <c r="M121" i="17"/>
  <c r="U121" i="17"/>
  <c r="AC121" i="17"/>
  <c r="AK121" i="17"/>
  <c r="AS121" i="17"/>
  <c r="P121" i="17"/>
  <c r="AD121" i="17"/>
  <c r="AO121" i="17"/>
  <c r="Q121" i="17"/>
  <c r="AE121" i="17"/>
  <c r="AP121" i="17"/>
  <c r="R121" i="17"/>
  <c r="AH121" i="17"/>
  <c r="V121" i="17"/>
  <c r="AL121" i="17"/>
  <c r="W121" i="17"/>
  <c r="AM121" i="17"/>
  <c r="X121" i="17"/>
  <c r="Y121" i="17"/>
  <c r="Z121" i="17"/>
  <c r="M103" i="17"/>
  <c r="U103" i="17"/>
  <c r="AC103" i="17"/>
  <c r="AK103" i="17"/>
  <c r="AS103" i="17"/>
  <c r="N103" i="17"/>
  <c r="V103" i="17"/>
  <c r="AD103" i="17"/>
  <c r="AL103" i="17"/>
  <c r="O103" i="17"/>
  <c r="W103" i="17"/>
  <c r="AE103" i="17"/>
  <c r="AM103" i="17"/>
  <c r="L103" i="17"/>
  <c r="Z103" i="17"/>
  <c r="AN103" i="17"/>
  <c r="P103" i="17"/>
  <c r="AA103" i="17"/>
  <c r="AO103" i="17"/>
  <c r="Q103" i="17"/>
  <c r="AG103" i="17"/>
  <c r="R103" i="17"/>
  <c r="AH103" i="17"/>
  <c r="S103" i="17"/>
  <c r="AI103" i="17"/>
  <c r="AP103" i="17"/>
  <c r="K103" i="17"/>
  <c r="AQ103" i="17"/>
  <c r="T103" i="17"/>
  <c r="AR103" i="17"/>
  <c r="R102" i="17"/>
  <c r="Z102" i="17"/>
  <c r="AH102" i="17"/>
  <c r="AP102" i="17"/>
  <c r="K102" i="17"/>
  <c r="S102" i="17"/>
  <c r="AA102" i="17"/>
  <c r="AI102" i="17"/>
  <c r="AQ102" i="17"/>
  <c r="L102" i="17"/>
  <c r="T102" i="17"/>
  <c r="AB102" i="17"/>
  <c r="AJ102" i="17"/>
  <c r="AR102" i="17"/>
  <c r="M102" i="17"/>
  <c r="X102" i="17"/>
  <c r="AL102" i="17"/>
  <c r="N102" i="17"/>
  <c r="Y102" i="17"/>
  <c r="AM102" i="17"/>
  <c r="Q102" i="17"/>
  <c r="AG102" i="17"/>
  <c r="U102" i="17"/>
  <c r="AK102" i="17"/>
  <c r="V102" i="17"/>
  <c r="AN102" i="17"/>
  <c r="W102" i="17"/>
  <c r="AC102" i="17"/>
  <c r="AD102" i="17"/>
  <c r="M4" i="17"/>
  <c r="U4" i="17"/>
  <c r="AC4" i="17"/>
  <c r="AK4" i="17"/>
  <c r="AS4" i="17"/>
  <c r="L4" i="17"/>
  <c r="V4" i="17"/>
  <c r="AE4" i="17"/>
  <c r="AN4" i="17"/>
  <c r="N4" i="17"/>
  <c r="W4" i="17"/>
  <c r="AF4" i="17"/>
  <c r="AO4" i="17"/>
  <c r="O4" i="17"/>
  <c r="X4" i="17"/>
  <c r="AG4" i="17"/>
  <c r="AP4" i="17"/>
  <c r="P4" i="17"/>
  <c r="AB4" i="17"/>
  <c r="AR4" i="17"/>
  <c r="Q4" i="17"/>
  <c r="AD4" i="17"/>
  <c r="R4" i="17"/>
  <c r="AH4" i="17"/>
  <c r="S4" i="17"/>
  <c r="AM4" i="17"/>
  <c r="T4" i="17"/>
  <c r="AQ4" i="17"/>
  <c r="Y4" i="17"/>
  <c r="Z4" i="17"/>
  <c r="AA4" i="17"/>
  <c r="AI4" i="17"/>
  <c r="AJ4" i="17"/>
  <c r="AL4" i="17"/>
  <c r="AN349" i="17"/>
  <c r="X349" i="17"/>
  <c r="AM346" i="17"/>
  <c r="W346" i="17"/>
  <c r="O346" i="17"/>
  <c r="AL343" i="17"/>
  <c r="V343" i="17"/>
  <c r="AF341" i="17"/>
  <c r="P341" i="17"/>
  <c r="AM338" i="17"/>
  <c r="W338" i="17"/>
  <c r="AD335" i="17"/>
  <c r="N335" i="17"/>
  <c r="AF333" i="17"/>
  <c r="P333" i="17"/>
  <c r="AM330" i="17"/>
  <c r="W330" i="17"/>
  <c r="AL327" i="17"/>
  <c r="V327" i="17"/>
  <c r="N327" i="17"/>
  <c r="AF325" i="17"/>
  <c r="AE322" i="17"/>
  <c r="AD319" i="17"/>
  <c r="N319" i="17"/>
  <c r="AN317" i="17"/>
  <c r="X317" i="17"/>
  <c r="P317" i="17"/>
  <c r="AM314" i="17"/>
  <c r="W314" i="17"/>
  <c r="AD311" i="17"/>
  <c r="AN309" i="17"/>
  <c r="W306" i="17"/>
  <c r="Y304" i="17"/>
  <c r="Q304" i="17"/>
  <c r="AL303" i="17"/>
  <c r="N303" i="17"/>
  <c r="AF301" i="17"/>
  <c r="P301" i="17"/>
  <c r="AE298" i="17"/>
  <c r="V295" i="17"/>
  <c r="AN293" i="17"/>
  <c r="AM290" i="17"/>
  <c r="O290" i="17"/>
  <c r="Q288" i="17"/>
  <c r="AD287" i="17"/>
  <c r="AF285" i="17"/>
  <c r="AM282" i="17"/>
  <c r="O282" i="17"/>
  <c r="AO280" i="17"/>
  <c r="Q280" i="17"/>
  <c r="AI279" i="17"/>
  <c r="Q279" i="17"/>
  <c r="AF266" i="17"/>
  <c r="AE258" i="17"/>
  <c r="K255" i="17"/>
  <c r="S255" i="17"/>
  <c r="AA255" i="17"/>
  <c r="AI255" i="17"/>
  <c r="AQ255" i="17"/>
  <c r="L255" i="17"/>
  <c r="T255" i="17"/>
  <c r="AB255" i="17"/>
  <c r="AJ255" i="17"/>
  <c r="AR255" i="17"/>
  <c r="M255" i="17"/>
  <c r="U255" i="17"/>
  <c r="AC255" i="17"/>
  <c r="AK255" i="17"/>
  <c r="AS255" i="17"/>
  <c r="AP248" i="17"/>
  <c r="M245" i="17"/>
  <c r="U245" i="17"/>
  <c r="AC245" i="17"/>
  <c r="AK245" i="17"/>
  <c r="AS245" i="17"/>
  <c r="N245" i="17"/>
  <c r="V245" i="17"/>
  <c r="AD245" i="17"/>
  <c r="AL245" i="17"/>
  <c r="O245" i="17"/>
  <c r="W245" i="17"/>
  <c r="AE245" i="17"/>
  <c r="AM245" i="17"/>
  <c r="AI239" i="17"/>
  <c r="Q236" i="17"/>
  <c r="AJ234" i="17"/>
  <c r="R232" i="17"/>
  <c r="Z232" i="17"/>
  <c r="AH232" i="17"/>
  <c r="AP232" i="17"/>
  <c r="L232" i="17"/>
  <c r="U232" i="17"/>
  <c r="AD232" i="17"/>
  <c r="AM232" i="17"/>
  <c r="M232" i="17"/>
  <c r="V232" i="17"/>
  <c r="AE232" i="17"/>
  <c r="AN232" i="17"/>
  <c r="N232" i="17"/>
  <c r="W232" i="17"/>
  <c r="AF232" i="17"/>
  <c r="AO232" i="17"/>
  <c r="AK227" i="17"/>
  <c r="M225" i="17"/>
  <c r="U225" i="17"/>
  <c r="AC225" i="17"/>
  <c r="AK225" i="17"/>
  <c r="AS225" i="17"/>
  <c r="L225" i="17"/>
  <c r="V225" i="17"/>
  <c r="AE225" i="17"/>
  <c r="AN225" i="17"/>
  <c r="N225" i="17"/>
  <c r="W225" i="17"/>
  <c r="AF225" i="17"/>
  <c r="AO225" i="17"/>
  <c r="O225" i="17"/>
  <c r="X225" i="17"/>
  <c r="AG225" i="17"/>
  <c r="AP225" i="17"/>
  <c r="Q224" i="17"/>
  <c r="S222" i="17"/>
  <c r="R216" i="17"/>
  <c r="Z216" i="17"/>
  <c r="AH216" i="17"/>
  <c r="AP216" i="17"/>
  <c r="K216" i="17"/>
  <c r="S216" i="17"/>
  <c r="AA216" i="17"/>
  <c r="AI216" i="17"/>
  <c r="AQ216" i="17"/>
  <c r="N216" i="17"/>
  <c r="X216" i="17"/>
  <c r="AJ216" i="17"/>
  <c r="O216" i="17"/>
  <c r="Y216" i="17"/>
  <c r="AK216" i="17"/>
  <c r="P216" i="17"/>
  <c r="AB216" i="17"/>
  <c r="AL216" i="17"/>
  <c r="AN211" i="17"/>
  <c r="X209" i="17"/>
  <c r="Y194" i="17"/>
  <c r="M189" i="17"/>
  <c r="U189" i="17"/>
  <c r="AC189" i="17"/>
  <c r="AK189" i="17"/>
  <c r="AS189" i="17"/>
  <c r="N189" i="17"/>
  <c r="V189" i="17"/>
  <c r="AD189" i="17"/>
  <c r="AL189" i="17"/>
  <c r="O189" i="17"/>
  <c r="Y189" i="17"/>
  <c r="AI189" i="17"/>
  <c r="P189" i="17"/>
  <c r="Z189" i="17"/>
  <c r="AJ189" i="17"/>
  <c r="Q189" i="17"/>
  <c r="AE189" i="17"/>
  <c r="AQ189" i="17"/>
  <c r="R189" i="17"/>
  <c r="AF189" i="17"/>
  <c r="AR189" i="17"/>
  <c r="S189" i="17"/>
  <c r="AG189" i="17"/>
  <c r="AP184" i="17"/>
  <c r="AE124" i="17"/>
  <c r="N122" i="17"/>
  <c r="V122" i="17"/>
  <c r="AD122" i="17"/>
  <c r="AL122" i="17"/>
  <c r="O122" i="17"/>
  <c r="W122" i="17"/>
  <c r="AE122" i="17"/>
  <c r="AM122" i="17"/>
  <c r="P122" i="17"/>
  <c r="X122" i="17"/>
  <c r="AF122" i="17"/>
  <c r="AN122" i="17"/>
  <c r="R122" i="17"/>
  <c r="AC122" i="17"/>
  <c r="AQ122" i="17"/>
  <c r="S122" i="17"/>
  <c r="AG122" i="17"/>
  <c r="AR122" i="17"/>
  <c r="M122" i="17"/>
  <c r="AH122" i="17"/>
  <c r="Q122" i="17"/>
  <c r="AI122" i="17"/>
  <c r="T122" i="17"/>
  <c r="AJ122" i="17"/>
  <c r="K122" i="17"/>
  <c r="AO122" i="17"/>
  <c r="L122" i="17"/>
  <c r="AP122" i="17"/>
  <c r="U122" i="17"/>
  <c r="AS122" i="17"/>
  <c r="M90" i="17"/>
  <c r="U90" i="17"/>
  <c r="AC90" i="17"/>
  <c r="AK90" i="17"/>
  <c r="AS90" i="17"/>
  <c r="L90" i="17"/>
  <c r="V90" i="17"/>
  <c r="AE90" i="17"/>
  <c r="AN90" i="17"/>
  <c r="N90" i="17"/>
  <c r="W90" i="17"/>
  <c r="AF90" i="17"/>
  <c r="AO90" i="17"/>
  <c r="O90" i="17"/>
  <c r="X90" i="17"/>
  <c r="AG90" i="17"/>
  <c r="AP90" i="17"/>
  <c r="R90" i="17"/>
  <c r="AH90" i="17"/>
  <c r="S90" i="17"/>
  <c r="AI90" i="17"/>
  <c r="T90" i="17"/>
  <c r="AM90" i="17"/>
  <c r="Y90" i="17"/>
  <c r="AQ90" i="17"/>
  <c r="Z90" i="17"/>
  <c r="AR90" i="17"/>
  <c r="Q90" i="17"/>
  <c r="AA90" i="17"/>
  <c r="AB90" i="17"/>
  <c r="AE349" i="17"/>
  <c r="Q347" i="17"/>
  <c r="AL346" i="17"/>
  <c r="AF344" i="17"/>
  <c r="P344" i="17"/>
  <c r="AK343" i="17"/>
  <c r="M343" i="17"/>
  <c r="AE341" i="17"/>
  <c r="O341" i="17"/>
  <c r="Y339" i="17"/>
  <c r="Q339" i="17"/>
  <c r="AD338" i="17"/>
  <c r="N338" i="17"/>
  <c r="AK335" i="17"/>
  <c r="M335" i="17"/>
  <c r="AE333" i="17"/>
  <c r="O333" i="17"/>
  <c r="V330" i="17"/>
  <c r="AN328" i="17"/>
  <c r="AK327" i="17"/>
  <c r="U327" i="17"/>
  <c r="AM325" i="17"/>
  <c r="W325" i="17"/>
  <c r="O325" i="17"/>
  <c r="AL322" i="17"/>
  <c r="V322" i="17"/>
  <c r="AN320" i="17"/>
  <c r="X320" i="17"/>
  <c r="P320" i="17"/>
  <c r="AS319" i="17"/>
  <c r="AC319" i="17"/>
  <c r="M319" i="17"/>
  <c r="W317" i="17"/>
  <c r="AL314" i="17"/>
  <c r="AN312" i="17"/>
  <c r="X312" i="17"/>
  <c r="AS311" i="17"/>
  <c r="U311" i="17"/>
  <c r="AM309" i="17"/>
  <c r="O309" i="17"/>
  <c r="AD306" i="17"/>
  <c r="N306" i="17"/>
  <c r="AN304" i="17"/>
  <c r="X304" i="17"/>
  <c r="P304" i="17"/>
  <c r="AK303" i="17"/>
  <c r="M303" i="17"/>
  <c r="AE301" i="17"/>
  <c r="V298" i="17"/>
  <c r="AN296" i="17"/>
  <c r="AC295" i="17"/>
  <c r="M295" i="17"/>
  <c r="AE293" i="17"/>
  <c r="O293" i="17"/>
  <c r="Y291" i="17"/>
  <c r="Q291" i="17"/>
  <c r="AL290" i="17"/>
  <c r="N290" i="17"/>
  <c r="AN288" i="17"/>
  <c r="X288" i="17"/>
  <c r="AS287" i="17"/>
  <c r="U287" i="17"/>
  <c r="AM285" i="17"/>
  <c r="O285" i="17"/>
  <c r="AL282" i="17"/>
  <c r="AR278" i="17"/>
  <c r="Y278" i="17"/>
  <c r="P278" i="17"/>
  <c r="O277" i="17"/>
  <c r="W277" i="17"/>
  <c r="AE277" i="17"/>
  <c r="AM277" i="17"/>
  <c r="R276" i="17"/>
  <c r="AE266" i="17"/>
  <c r="Q266" i="17"/>
  <c r="R260" i="17"/>
  <c r="Z260" i="17"/>
  <c r="AH260" i="17"/>
  <c r="AP260" i="17"/>
  <c r="K260" i="17"/>
  <c r="S260" i="17"/>
  <c r="AA260" i="17"/>
  <c r="AI260" i="17"/>
  <c r="AQ260" i="17"/>
  <c r="L260" i="17"/>
  <c r="T260" i="17"/>
  <c r="AB260" i="17"/>
  <c r="AJ260" i="17"/>
  <c r="AR260" i="17"/>
  <c r="AO258" i="17"/>
  <c r="AF252" i="17"/>
  <c r="AA248" i="17"/>
  <c r="AG245" i="17"/>
  <c r="AS244" i="17"/>
  <c r="Q244" i="17"/>
  <c r="X240" i="17"/>
  <c r="AH239" i="17"/>
  <c r="AF236" i="17"/>
  <c r="AI234" i="17"/>
  <c r="L230" i="17"/>
  <c r="T230" i="17"/>
  <c r="AB230" i="17"/>
  <c r="AJ230" i="17"/>
  <c r="AR230" i="17"/>
  <c r="N230" i="17"/>
  <c r="W230" i="17"/>
  <c r="AF230" i="17"/>
  <c r="AO230" i="17"/>
  <c r="O230" i="17"/>
  <c r="X230" i="17"/>
  <c r="AG230" i="17"/>
  <c r="AP230" i="17"/>
  <c r="P230" i="17"/>
  <c r="Y230" i="17"/>
  <c r="AH230" i="17"/>
  <c r="AQ230" i="17"/>
  <c r="T227" i="17"/>
  <c r="P224" i="17"/>
  <c r="AE222" i="17"/>
  <c r="AJ220" i="17"/>
  <c r="U211" i="17"/>
  <c r="U209" i="17"/>
  <c r="U208" i="17"/>
  <c r="U207" i="17"/>
  <c r="M202" i="17"/>
  <c r="U202" i="17"/>
  <c r="AC202" i="17"/>
  <c r="AK202" i="17"/>
  <c r="AS202" i="17"/>
  <c r="N202" i="17"/>
  <c r="W202" i="17"/>
  <c r="AF202" i="17"/>
  <c r="AO202" i="17"/>
  <c r="O202" i="17"/>
  <c r="X202" i="17"/>
  <c r="AG202" i="17"/>
  <c r="AP202" i="17"/>
  <c r="L202" i="17"/>
  <c r="Z202" i="17"/>
  <c r="AL202" i="17"/>
  <c r="P202" i="17"/>
  <c r="AA202" i="17"/>
  <c r="AM202" i="17"/>
  <c r="Q202" i="17"/>
  <c r="AB202" i="17"/>
  <c r="AN202" i="17"/>
  <c r="V194" i="17"/>
  <c r="AA189" i="17"/>
  <c r="AO184" i="17"/>
  <c r="W172" i="17"/>
  <c r="AD142" i="17"/>
  <c r="AJ103" i="17"/>
  <c r="P91" i="17"/>
  <c r="X91" i="17"/>
  <c r="AF91" i="17"/>
  <c r="AN91" i="17"/>
  <c r="L91" i="17"/>
  <c r="U91" i="17"/>
  <c r="AD91" i="17"/>
  <c r="AM91" i="17"/>
  <c r="M91" i="17"/>
  <c r="V91" i="17"/>
  <c r="AE91" i="17"/>
  <c r="AO91" i="17"/>
  <c r="N91" i="17"/>
  <c r="W91" i="17"/>
  <c r="AG91" i="17"/>
  <c r="AP91" i="17"/>
  <c r="Z91" i="17"/>
  <c r="AL91" i="17"/>
  <c r="K91" i="17"/>
  <c r="AA91" i="17"/>
  <c r="AQ91" i="17"/>
  <c r="S91" i="17"/>
  <c r="AK91" i="17"/>
  <c r="T91" i="17"/>
  <c r="AR91" i="17"/>
  <c r="Y91" i="17"/>
  <c r="AS91" i="17"/>
  <c r="O91" i="17"/>
  <c r="Q91" i="17"/>
  <c r="R91" i="17"/>
  <c r="AL341" i="17"/>
  <c r="AD341" i="17"/>
  <c r="V341" i="17"/>
  <c r="N341" i="17"/>
  <c r="AQ340" i="17"/>
  <c r="AI340" i="17"/>
  <c r="AA340" i="17"/>
  <c r="S340" i="17"/>
  <c r="K340" i="17"/>
  <c r="AN339" i="17"/>
  <c r="AF339" i="17"/>
  <c r="X339" i="17"/>
  <c r="P339" i="17"/>
  <c r="AS338" i="17"/>
  <c r="AK338" i="17"/>
  <c r="AC338" i="17"/>
  <c r="U338" i="17"/>
  <c r="M338" i="17"/>
  <c r="AM336" i="17"/>
  <c r="AE336" i="17"/>
  <c r="W336" i="17"/>
  <c r="O336" i="17"/>
  <c r="AR335" i="17"/>
  <c r="AJ335" i="17"/>
  <c r="AB335" i="17"/>
  <c r="T335" i="17"/>
  <c r="L335" i="17"/>
  <c r="AL333" i="17"/>
  <c r="AD333" i="17"/>
  <c r="V333" i="17"/>
  <c r="N333" i="17"/>
  <c r="AQ332" i="17"/>
  <c r="AI332" i="17"/>
  <c r="AA332" i="17"/>
  <c r="S332" i="17"/>
  <c r="K332" i="17"/>
  <c r="AN331" i="17"/>
  <c r="AF331" i="17"/>
  <c r="X331" i="17"/>
  <c r="P331" i="17"/>
  <c r="AS330" i="17"/>
  <c r="AK330" i="17"/>
  <c r="AC330" i="17"/>
  <c r="U330" i="17"/>
  <c r="M330" i="17"/>
  <c r="AM328" i="17"/>
  <c r="AE328" i="17"/>
  <c r="W328" i="17"/>
  <c r="O328" i="17"/>
  <c r="AR327" i="17"/>
  <c r="AJ327" i="17"/>
  <c r="AB327" i="17"/>
  <c r="T327" i="17"/>
  <c r="L327" i="17"/>
  <c r="AL325" i="17"/>
  <c r="AD325" i="17"/>
  <c r="V325" i="17"/>
  <c r="N325" i="17"/>
  <c r="AQ324" i="17"/>
  <c r="AI324" i="17"/>
  <c r="AA324" i="17"/>
  <c r="S324" i="17"/>
  <c r="K324" i="17"/>
  <c r="AN323" i="17"/>
  <c r="AF323" i="17"/>
  <c r="X323" i="17"/>
  <c r="P323" i="17"/>
  <c r="AS322" i="17"/>
  <c r="AK322" i="17"/>
  <c r="AC322" i="17"/>
  <c r="U322" i="17"/>
  <c r="M322" i="17"/>
  <c r="AM320" i="17"/>
  <c r="AE320" i="17"/>
  <c r="W320" i="17"/>
  <c r="O320" i="17"/>
  <c r="AR319" i="17"/>
  <c r="AJ319" i="17"/>
  <c r="AB319" i="17"/>
  <c r="T319" i="17"/>
  <c r="L319" i="17"/>
  <c r="AL317" i="17"/>
  <c r="AD317" i="17"/>
  <c r="V317" i="17"/>
  <c r="N317" i="17"/>
  <c r="AQ316" i="17"/>
  <c r="AI316" i="17"/>
  <c r="AA316" i="17"/>
  <c r="S316" i="17"/>
  <c r="K316" i="17"/>
  <c r="AN315" i="17"/>
  <c r="AF315" i="17"/>
  <c r="X315" i="17"/>
  <c r="P315" i="17"/>
  <c r="AS314" i="17"/>
  <c r="AK314" i="17"/>
  <c r="AC314" i="17"/>
  <c r="U314" i="17"/>
  <c r="M314" i="17"/>
  <c r="AM312" i="17"/>
  <c r="AE312" i="17"/>
  <c r="W312" i="17"/>
  <c r="O312" i="17"/>
  <c r="AR311" i="17"/>
  <c r="AJ311" i="17"/>
  <c r="AB311" i="17"/>
  <c r="T311" i="17"/>
  <c r="L311" i="17"/>
  <c r="AL309" i="17"/>
  <c r="AD309" i="17"/>
  <c r="V309" i="17"/>
  <c r="N309" i="17"/>
  <c r="AQ308" i="17"/>
  <c r="AI308" i="17"/>
  <c r="AA308" i="17"/>
  <c r="S308" i="17"/>
  <c r="K308" i="17"/>
  <c r="AN307" i="17"/>
  <c r="AF307" i="17"/>
  <c r="X307" i="17"/>
  <c r="P307" i="17"/>
  <c r="AS306" i="17"/>
  <c r="AK306" i="17"/>
  <c r="AC306" i="17"/>
  <c r="U306" i="17"/>
  <c r="M306" i="17"/>
  <c r="AM304" i="17"/>
  <c r="AE304" i="17"/>
  <c r="W304" i="17"/>
  <c r="O304" i="17"/>
  <c r="AR303" i="17"/>
  <c r="AJ303" i="17"/>
  <c r="AB303" i="17"/>
  <c r="T303" i="17"/>
  <c r="L303" i="17"/>
  <c r="AL301" i="17"/>
  <c r="AD301" i="17"/>
  <c r="V301" i="17"/>
  <c r="N301" i="17"/>
  <c r="AQ300" i="17"/>
  <c r="AI300" i="17"/>
  <c r="AA300" i="17"/>
  <c r="S300" i="17"/>
  <c r="K300" i="17"/>
  <c r="AN299" i="17"/>
  <c r="AF299" i="17"/>
  <c r="X299" i="17"/>
  <c r="P299" i="17"/>
  <c r="AS298" i="17"/>
  <c r="AK298" i="17"/>
  <c r="AC298" i="17"/>
  <c r="U298" i="17"/>
  <c r="M298" i="17"/>
  <c r="AM296" i="17"/>
  <c r="AE296" i="17"/>
  <c r="W296" i="17"/>
  <c r="O296" i="17"/>
  <c r="AR295" i="17"/>
  <c r="AJ295" i="17"/>
  <c r="AB295" i="17"/>
  <c r="T295" i="17"/>
  <c r="L295" i="17"/>
  <c r="AL293" i="17"/>
  <c r="AD293" i="17"/>
  <c r="V293" i="17"/>
  <c r="N293" i="17"/>
  <c r="AQ292" i="17"/>
  <c r="AI292" i="17"/>
  <c r="AA292" i="17"/>
  <c r="S292" i="17"/>
  <c r="K292" i="17"/>
  <c r="AN291" i="17"/>
  <c r="AF291" i="17"/>
  <c r="X291" i="17"/>
  <c r="P291" i="17"/>
  <c r="AS290" i="17"/>
  <c r="AK290" i="17"/>
  <c r="AC290" i="17"/>
  <c r="U290" i="17"/>
  <c r="M290" i="17"/>
  <c r="AM288" i="17"/>
  <c r="AE288" i="17"/>
  <c r="W288" i="17"/>
  <c r="O288" i="17"/>
  <c r="AR287" i="17"/>
  <c r="AJ287" i="17"/>
  <c r="AB287" i="17"/>
  <c r="T287" i="17"/>
  <c r="L287" i="17"/>
  <c r="AL285" i="17"/>
  <c r="AD285" i="17"/>
  <c r="V285" i="17"/>
  <c r="N285" i="17"/>
  <c r="AQ284" i="17"/>
  <c r="AI284" i="17"/>
  <c r="AA284" i="17"/>
  <c r="S284" i="17"/>
  <c r="K284" i="17"/>
  <c r="AN283" i="17"/>
  <c r="AF283" i="17"/>
  <c r="X283" i="17"/>
  <c r="P283" i="17"/>
  <c r="AS282" i="17"/>
  <c r="AK282" i="17"/>
  <c r="AC282" i="17"/>
  <c r="U282" i="17"/>
  <c r="M282" i="17"/>
  <c r="AM280" i="17"/>
  <c r="AE280" i="17"/>
  <c r="W280" i="17"/>
  <c r="N280" i="17"/>
  <c r="AP279" i="17"/>
  <c r="AG279" i="17"/>
  <c r="X279" i="17"/>
  <c r="O279" i="17"/>
  <c r="AQ278" i="17"/>
  <c r="AG278" i="17"/>
  <c r="X278" i="17"/>
  <c r="O278" i="17"/>
  <c r="AR277" i="17"/>
  <c r="AI277" i="17"/>
  <c r="Z277" i="17"/>
  <c r="Q277" i="17"/>
  <c r="AS276" i="17"/>
  <c r="AI276" i="17"/>
  <c r="Z276" i="17"/>
  <c r="Q276" i="17"/>
  <c r="M274" i="17"/>
  <c r="U274" i="17"/>
  <c r="AC274" i="17"/>
  <c r="AK274" i="17"/>
  <c r="AS274" i="17"/>
  <c r="N274" i="17"/>
  <c r="V274" i="17"/>
  <c r="AD274" i="17"/>
  <c r="AL274" i="17"/>
  <c r="AJ273" i="17"/>
  <c r="X273" i="17"/>
  <c r="K271" i="17"/>
  <c r="S271" i="17"/>
  <c r="AA271" i="17"/>
  <c r="AI271" i="17"/>
  <c r="L271" i="17"/>
  <c r="T271" i="17"/>
  <c r="AB271" i="17"/>
  <c r="AJ271" i="17"/>
  <c r="AR271" i="17"/>
  <c r="M271" i="17"/>
  <c r="U271" i="17"/>
  <c r="AC271" i="17"/>
  <c r="AK271" i="17"/>
  <c r="AS271" i="17"/>
  <c r="R268" i="17"/>
  <c r="Z268" i="17"/>
  <c r="AH268" i="17"/>
  <c r="AP268" i="17"/>
  <c r="K268" i="17"/>
  <c r="S268" i="17"/>
  <c r="AA268" i="17"/>
  <c r="AI268" i="17"/>
  <c r="AQ268" i="17"/>
  <c r="L268" i="17"/>
  <c r="T268" i="17"/>
  <c r="AB268" i="17"/>
  <c r="AJ268" i="17"/>
  <c r="AR268" i="17"/>
  <c r="AO266" i="17"/>
  <c r="AA266" i="17"/>
  <c r="P266" i="17"/>
  <c r="AG263" i="17"/>
  <c r="M261" i="17"/>
  <c r="U261" i="17"/>
  <c r="AC261" i="17"/>
  <c r="AK261" i="17"/>
  <c r="AS261" i="17"/>
  <c r="N261" i="17"/>
  <c r="V261" i="17"/>
  <c r="AD261" i="17"/>
  <c r="AL261" i="17"/>
  <c r="O261" i="17"/>
  <c r="W261" i="17"/>
  <c r="AE261" i="17"/>
  <c r="AM261" i="17"/>
  <c r="AF260" i="17"/>
  <c r="U260" i="17"/>
  <c r="AN258" i="17"/>
  <c r="Z258" i="17"/>
  <c r="N256" i="17"/>
  <c r="V256" i="17"/>
  <c r="AD256" i="17"/>
  <c r="AL256" i="17"/>
  <c r="O256" i="17"/>
  <c r="W256" i="17"/>
  <c r="AE256" i="17"/>
  <c r="AM256" i="17"/>
  <c r="P256" i="17"/>
  <c r="X256" i="17"/>
  <c r="AF256" i="17"/>
  <c r="AN256" i="17"/>
  <c r="AF255" i="17"/>
  <c r="R255" i="17"/>
  <c r="AR253" i="17"/>
  <c r="AG253" i="17"/>
  <c r="S253" i="17"/>
  <c r="AS252" i="17"/>
  <c r="AE252" i="17"/>
  <c r="AM250" i="17"/>
  <c r="Y250" i="17"/>
  <c r="K250" i="17"/>
  <c r="AK248" i="17"/>
  <c r="Z248" i="17"/>
  <c r="AQ245" i="17"/>
  <c r="AF245" i="17"/>
  <c r="R245" i="17"/>
  <c r="AO244" i="17"/>
  <c r="AD244" i="17"/>
  <c r="AJ240" i="17"/>
  <c r="AS239" i="17"/>
  <c r="AC239" i="17"/>
  <c r="Q239" i="17"/>
  <c r="L238" i="17"/>
  <c r="T238" i="17"/>
  <c r="AB238" i="17"/>
  <c r="AJ238" i="17"/>
  <c r="AR238" i="17"/>
  <c r="M238" i="17"/>
  <c r="V238" i="17"/>
  <c r="AE238" i="17"/>
  <c r="AN238" i="17"/>
  <c r="N238" i="17"/>
  <c r="W238" i="17"/>
  <c r="AF238" i="17"/>
  <c r="AO238" i="17"/>
  <c r="O238" i="17"/>
  <c r="X238" i="17"/>
  <c r="AG238" i="17"/>
  <c r="AP238" i="17"/>
  <c r="AQ236" i="17"/>
  <c r="AA236" i="17"/>
  <c r="O236" i="17"/>
  <c r="K235" i="17"/>
  <c r="S235" i="17"/>
  <c r="AA235" i="17"/>
  <c r="AI235" i="17"/>
  <c r="AQ235" i="17"/>
  <c r="T235" i="17"/>
  <c r="AC235" i="17"/>
  <c r="AL235" i="17"/>
  <c r="L235" i="17"/>
  <c r="U235" i="17"/>
  <c r="AD235" i="17"/>
  <c r="AM235" i="17"/>
  <c r="M235" i="17"/>
  <c r="V235" i="17"/>
  <c r="AE235" i="17"/>
  <c r="AN235" i="17"/>
  <c r="AH234" i="17"/>
  <c r="R234" i="17"/>
  <c r="AI232" i="17"/>
  <c r="S232" i="17"/>
  <c r="AR231" i="17"/>
  <c r="AB231" i="17"/>
  <c r="AK230" i="17"/>
  <c r="U230" i="17"/>
  <c r="AH227" i="17"/>
  <c r="AQ226" i="17"/>
  <c r="AA226" i="17"/>
  <c r="K226" i="17"/>
  <c r="AI225" i="17"/>
  <c r="S225" i="17"/>
  <c r="AR224" i="17"/>
  <c r="AB224" i="17"/>
  <c r="L224" i="17"/>
  <c r="O223" i="17"/>
  <c r="W223" i="17"/>
  <c r="AE223" i="17"/>
  <c r="AM223" i="17"/>
  <c r="N223" i="17"/>
  <c r="X223" i="17"/>
  <c r="AG223" i="17"/>
  <c r="AP223" i="17"/>
  <c r="P223" i="17"/>
  <c r="Y223" i="17"/>
  <c r="AH223" i="17"/>
  <c r="AQ223" i="17"/>
  <c r="Q223" i="17"/>
  <c r="Z223" i="17"/>
  <c r="AI223" i="17"/>
  <c r="AR223" i="17"/>
  <c r="AD222" i="17"/>
  <c r="N222" i="17"/>
  <c r="AI220" i="17"/>
  <c r="AR219" i="17"/>
  <c r="AB219" i="17"/>
  <c r="L219" i="17"/>
  <c r="AM216" i="17"/>
  <c r="U216" i="17"/>
  <c r="O215" i="17"/>
  <c r="W215" i="17"/>
  <c r="AE215" i="17"/>
  <c r="AM215" i="17"/>
  <c r="P215" i="17"/>
  <c r="X215" i="17"/>
  <c r="AF215" i="17"/>
  <c r="AN215" i="17"/>
  <c r="T215" i="17"/>
  <c r="AD215" i="17"/>
  <c r="AP215" i="17"/>
  <c r="K215" i="17"/>
  <c r="U215" i="17"/>
  <c r="AG215" i="17"/>
  <c r="AQ215" i="17"/>
  <c r="L215" i="17"/>
  <c r="V215" i="17"/>
  <c r="AH215" i="17"/>
  <c r="AR215" i="17"/>
  <c r="AE214" i="17"/>
  <c r="K214" i="17"/>
  <c r="AL211" i="17"/>
  <c r="R211" i="17"/>
  <c r="AQ210" i="17"/>
  <c r="AQ209" i="17"/>
  <c r="AK208" i="17"/>
  <c r="AK207" i="17"/>
  <c r="S207" i="17"/>
  <c r="K204" i="17"/>
  <c r="S204" i="17"/>
  <c r="AA204" i="17"/>
  <c r="AI204" i="17"/>
  <c r="AQ204" i="17"/>
  <c r="M204" i="17"/>
  <c r="V204" i="17"/>
  <c r="AE204" i="17"/>
  <c r="AN204" i="17"/>
  <c r="N204" i="17"/>
  <c r="W204" i="17"/>
  <c r="AF204" i="17"/>
  <c r="AO204" i="17"/>
  <c r="L204" i="17"/>
  <c r="Y204" i="17"/>
  <c r="AK204" i="17"/>
  <c r="O204" i="17"/>
  <c r="Z204" i="17"/>
  <c r="AL204" i="17"/>
  <c r="P204" i="17"/>
  <c r="AB204" i="17"/>
  <c r="AM204" i="17"/>
  <c r="P203" i="17"/>
  <c r="X203" i="17"/>
  <c r="AF203" i="17"/>
  <c r="AN203" i="17"/>
  <c r="M203" i="17"/>
  <c r="V203" i="17"/>
  <c r="AE203" i="17"/>
  <c r="AO203" i="17"/>
  <c r="N203" i="17"/>
  <c r="W203" i="17"/>
  <c r="AG203" i="17"/>
  <c r="AP203" i="17"/>
  <c r="L203" i="17"/>
  <c r="Z203" i="17"/>
  <c r="AK203" i="17"/>
  <c r="O203" i="17"/>
  <c r="AA203" i="17"/>
  <c r="AL203" i="17"/>
  <c r="Q203" i="17"/>
  <c r="AB203" i="17"/>
  <c r="AM203" i="17"/>
  <c r="Y202" i="17"/>
  <c r="AS201" i="17"/>
  <c r="V201" i="17"/>
  <c r="AS200" i="17"/>
  <c r="V200" i="17"/>
  <c r="AL199" i="17"/>
  <c r="Q199" i="17"/>
  <c r="AO196" i="17"/>
  <c r="X196" i="17"/>
  <c r="AN194" i="17"/>
  <c r="S194" i="17"/>
  <c r="AA192" i="17"/>
  <c r="X189" i="17"/>
  <c r="AN184" i="17"/>
  <c r="K183" i="17"/>
  <c r="S183" i="17"/>
  <c r="AA183" i="17"/>
  <c r="AI183" i="17"/>
  <c r="AQ183" i="17"/>
  <c r="L183" i="17"/>
  <c r="T183" i="17"/>
  <c r="AB183" i="17"/>
  <c r="AJ183" i="17"/>
  <c r="AR183" i="17"/>
  <c r="P183" i="17"/>
  <c r="Z183" i="17"/>
  <c r="AL183" i="17"/>
  <c r="Q183" i="17"/>
  <c r="AC183" i="17"/>
  <c r="AM183" i="17"/>
  <c r="X183" i="17"/>
  <c r="AN183" i="17"/>
  <c r="M183" i="17"/>
  <c r="Y183" i="17"/>
  <c r="AO183" i="17"/>
  <c r="N183" i="17"/>
  <c r="AD183" i="17"/>
  <c r="AP183" i="17"/>
  <c r="AP175" i="17"/>
  <c r="M175" i="17"/>
  <c r="AS172" i="17"/>
  <c r="Q172" i="17"/>
  <c r="X170" i="17"/>
  <c r="AO160" i="17"/>
  <c r="R160" i="17"/>
  <c r="AA154" i="17"/>
  <c r="AH150" i="17"/>
  <c r="AC142" i="17"/>
  <c r="Z124" i="17"/>
  <c r="AK122" i="17"/>
  <c r="AG121" i="17"/>
  <c r="AP113" i="17"/>
  <c r="AF103" i="17"/>
  <c r="AF102" i="17"/>
  <c r="N98" i="17"/>
  <c r="V98" i="17"/>
  <c r="AD98" i="17"/>
  <c r="AL98" i="17"/>
  <c r="O98" i="17"/>
  <c r="W98" i="17"/>
  <c r="AE98" i="17"/>
  <c r="AM98" i="17"/>
  <c r="P98" i="17"/>
  <c r="X98" i="17"/>
  <c r="AF98" i="17"/>
  <c r="AN98" i="17"/>
  <c r="L98" i="17"/>
  <c r="Z98" i="17"/>
  <c r="AK98" i="17"/>
  <c r="M98" i="17"/>
  <c r="AA98" i="17"/>
  <c r="AO98" i="17"/>
  <c r="K98" i="17"/>
  <c r="AC98" i="17"/>
  <c r="AS98" i="17"/>
  <c r="Q98" i="17"/>
  <c r="AG98" i="17"/>
  <c r="R98" i="17"/>
  <c r="AH98" i="17"/>
  <c r="Y98" i="17"/>
  <c r="AB98" i="17"/>
  <c r="AI98" i="17"/>
  <c r="AL90" i="17"/>
  <c r="Y89" i="17"/>
  <c r="AO63" i="17"/>
  <c r="L258" i="17"/>
  <c r="T258" i="17"/>
  <c r="AB258" i="17"/>
  <c r="AJ258" i="17"/>
  <c r="AR258" i="17"/>
  <c r="M258" i="17"/>
  <c r="U258" i="17"/>
  <c r="AC258" i="17"/>
  <c r="AK258" i="17"/>
  <c r="AS258" i="17"/>
  <c r="N258" i="17"/>
  <c r="V258" i="17"/>
  <c r="AD258" i="17"/>
  <c r="AL258" i="17"/>
  <c r="N248" i="17"/>
  <c r="V248" i="17"/>
  <c r="AD248" i="17"/>
  <c r="AL248" i="17"/>
  <c r="O248" i="17"/>
  <c r="W248" i="17"/>
  <c r="AE248" i="17"/>
  <c r="AM248" i="17"/>
  <c r="P248" i="17"/>
  <c r="X248" i="17"/>
  <c r="AF248" i="17"/>
  <c r="AN248" i="17"/>
  <c r="O231" i="17"/>
  <c r="W231" i="17"/>
  <c r="AE231" i="17"/>
  <c r="AM231" i="17"/>
  <c r="M231" i="17"/>
  <c r="V231" i="17"/>
  <c r="AF231" i="17"/>
  <c r="AO231" i="17"/>
  <c r="N231" i="17"/>
  <c r="X231" i="17"/>
  <c r="AG231" i="17"/>
  <c r="AP231" i="17"/>
  <c r="P231" i="17"/>
  <c r="Y231" i="17"/>
  <c r="AH231" i="17"/>
  <c r="AQ231" i="17"/>
  <c r="N184" i="17"/>
  <c r="V184" i="17"/>
  <c r="AD184" i="17"/>
  <c r="AL184" i="17"/>
  <c r="O184" i="17"/>
  <c r="W184" i="17"/>
  <c r="AE184" i="17"/>
  <c r="AM184" i="17"/>
  <c r="K184" i="17"/>
  <c r="U184" i="17"/>
  <c r="AG184" i="17"/>
  <c r="AQ184" i="17"/>
  <c r="L184" i="17"/>
  <c r="X184" i="17"/>
  <c r="AH184" i="17"/>
  <c r="AR184" i="17"/>
  <c r="Q184" i="17"/>
  <c r="AC184" i="17"/>
  <c r="AS184" i="17"/>
  <c r="R184" i="17"/>
  <c r="AF184" i="17"/>
  <c r="S184" i="17"/>
  <c r="AI184" i="17"/>
  <c r="L100" i="17"/>
  <c r="T100" i="17"/>
  <c r="AB100" i="17"/>
  <c r="AJ100" i="17"/>
  <c r="AR100" i="17"/>
  <c r="M100" i="17"/>
  <c r="U100" i="17"/>
  <c r="AC100" i="17"/>
  <c r="AK100" i="17"/>
  <c r="AS100" i="17"/>
  <c r="N100" i="17"/>
  <c r="V100" i="17"/>
  <c r="AD100" i="17"/>
  <c r="AL100" i="17"/>
  <c r="R100" i="17"/>
  <c r="AF100" i="17"/>
  <c r="AQ100" i="17"/>
  <c r="S100" i="17"/>
  <c r="AG100" i="17"/>
  <c r="O100" i="17"/>
  <c r="AE100" i="17"/>
  <c r="P100" i="17"/>
  <c r="AH100" i="17"/>
  <c r="Q100" i="17"/>
  <c r="AI100" i="17"/>
  <c r="Y100" i="17"/>
  <c r="Z100" i="17"/>
  <c r="AA100" i="17"/>
  <c r="X343" i="17"/>
  <c r="AN335" i="17"/>
  <c r="AF327" i="17"/>
  <c r="P327" i="17"/>
  <c r="X319" i="17"/>
  <c r="AN311" i="17"/>
  <c r="AN303" i="17"/>
  <c r="X303" i="17"/>
  <c r="AF295" i="17"/>
  <c r="P295" i="17"/>
  <c r="AN287" i="17"/>
  <c r="X287" i="17"/>
  <c r="R273" i="17"/>
  <c r="Z273" i="17"/>
  <c r="AH273" i="17"/>
  <c r="AP273" i="17"/>
  <c r="K273" i="17"/>
  <c r="S273" i="17"/>
  <c r="AA273" i="17"/>
  <c r="AI273" i="17"/>
  <c r="AQ273" i="17"/>
  <c r="S258" i="17"/>
  <c r="AG248" i="17"/>
  <c r="AI236" i="17"/>
  <c r="T231" i="17"/>
  <c r="Z207" i="17"/>
  <c r="AA184" i="17"/>
  <c r="L57" i="17"/>
  <c r="T57" i="17"/>
  <c r="AB57" i="17"/>
  <c r="AJ57" i="17"/>
  <c r="AR57" i="17"/>
  <c r="M57" i="17"/>
  <c r="U57" i="17"/>
  <c r="AC57" i="17"/>
  <c r="AK57" i="17"/>
  <c r="AS57" i="17"/>
  <c r="N57" i="17"/>
  <c r="X57" i="17"/>
  <c r="AH57" i="17"/>
  <c r="O57" i="17"/>
  <c r="Y57" i="17"/>
  <c r="AI57" i="17"/>
  <c r="P57" i="17"/>
  <c r="Z57" i="17"/>
  <c r="AL57" i="17"/>
  <c r="S57" i="17"/>
  <c r="AM57" i="17"/>
  <c r="V57" i="17"/>
  <c r="AN57" i="17"/>
  <c r="W57" i="17"/>
  <c r="AO57" i="17"/>
  <c r="AA57" i="17"/>
  <c r="AD57" i="17"/>
  <c r="R57" i="17"/>
  <c r="AE57" i="17"/>
  <c r="AF57" i="17"/>
  <c r="K57" i="17"/>
  <c r="Q57" i="17"/>
  <c r="AN346" i="17"/>
  <c r="P346" i="17"/>
  <c r="AE343" i="17"/>
  <c r="O343" i="17"/>
  <c r="AF338" i="17"/>
  <c r="P338" i="17"/>
  <c r="W335" i="17"/>
  <c r="X330" i="17"/>
  <c r="W327" i="17"/>
  <c r="AF322" i="17"/>
  <c r="P322" i="17"/>
  <c r="W319" i="17"/>
  <c r="X314" i="17"/>
  <c r="P314" i="17"/>
  <c r="AM311" i="17"/>
  <c r="AF306" i="17"/>
  <c r="X306" i="17"/>
  <c r="P306" i="17"/>
  <c r="AM303" i="17"/>
  <c r="AF298" i="17"/>
  <c r="P298" i="17"/>
  <c r="AM295" i="17"/>
  <c r="O295" i="17"/>
  <c r="AN290" i="17"/>
  <c r="AE287" i="17"/>
  <c r="AN282" i="17"/>
  <c r="P282" i="17"/>
  <c r="AC273" i="17"/>
  <c r="AG266" i="17"/>
  <c r="AC248" i="17"/>
  <c r="R244" i="17"/>
  <c r="Z244" i="17"/>
  <c r="AH244" i="17"/>
  <c r="AP244" i="17"/>
  <c r="K244" i="17"/>
  <c r="S244" i="17"/>
  <c r="AA244" i="17"/>
  <c r="AI244" i="17"/>
  <c r="AQ244" i="17"/>
  <c r="L244" i="17"/>
  <c r="T244" i="17"/>
  <c r="AB244" i="17"/>
  <c r="AJ244" i="17"/>
  <c r="AR244" i="17"/>
  <c r="R236" i="17"/>
  <c r="S231" i="17"/>
  <c r="K227" i="17"/>
  <c r="S227" i="17"/>
  <c r="AA227" i="17"/>
  <c r="AI227" i="17"/>
  <c r="AQ227" i="17"/>
  <c r="L227" i="17"/>
  <c r="U227" i="17"/>
  <c r="AD227" i="17"/>
  <c r="AM227" i="17"/>
  <c r="M227" i="17"/>
  <c r="V227" i="17"/>
  <c r="AE227" i="17"/>
  <c r="AN227" i="17"/>
  <c r="N227" i="17"/>
  <c r="W227" i="17"/>
  <c r="AF227" i="17"/>
  <c r="AO227" i="17"/>
  <c r="M210" i="17"/>
  <c r="U210" i="17"/>
  <c r="AC210" i="17"/>
  <c r="AK210" i="17"/>
  <c r="L210" i="17"/>
  <c r="V210" i="17"/>
  <c r="AE210" i="17"/>
  <c r="AN210" i="17"/>
  <c r="N210" i="17"/>
  <c r="W210" i="17"/>
  <c r="AF210" i="17"/>
  <c r="AO210" i="17"/>
  <c r="K210" i="17"/>
  <c r="Y210" i="17"/>
  <c r="AJ210" i="17"/>
  <c r="O210" i="17"/>
  <c r="Z210" i="17"/>
  <c r="AL210" i="17"/>
  <c r="P210" i="17"/>
  <c r="AA210" i="17"/>
  <c r="AM210" i="17"/>
  <c r="R209" i="17"/>
  <c r="Z209" i="17"/>
  <c r="AH209" i="17"/>
  <c r="AP209" i="17"/>
  <c r="M209" i="17"/>
  <c r="V209" i="17"/>
  <c r="AE209" i="17"/>
  <c r="AN209" i="17"/>
  <c r="N209" i="17"/>
  <c r="W209" i="17"/>
  <c r="AF209" i="17"/>
  <c r="AO209" i="17"/>
  <c r="L209" i="17"/>
  <c r="Y209" i="17"/>
  <c r="AK209" i="17"/>
  <c r="O209" i="17"/>
  <c r="AA209" i="17"/>
  <c r="AL209" i="17"/>
  <c r="P209" i="17"/>
  <c r="AB209" i="17"/>
  <c r="AM209" i="17"/>
  <c r="O208" i="17"/>
  <c r="W208" i="17"/>
  <c r="AE208" i="17"/>
  <c r="AM208" i="17"/>
  <c r="N208" i="17"/>
  <c r="X208" i="17"/>
  <c r="AG208" i="17"/>
  <c r="AP208" i="17"/>
  <c r="P208" i="17"/>
  <c r="Y208" i="17"/>
  <c r="AH208" i="17"/>
  <c r="AQ208" i="17"/>
  <c r="M208" i="17"/>
  <c r="AA208" i="17"/>
  <c r="AL208" i="17"/>
  <c r="Q208" i="17"/>
  <c r="AB208" i="17"/>
  <c r="AN208" i="17"/>
  <c r="R208" i="17"/>
  <c r="AC208" i="17"/>
  <c r="AO208" i="17"/>
  <c r="X199" i="17"/>
  <c r="M181" i="17"/>
  <c r="U181" i="17"/>
  <c r="AC181" i="17"/>
  <c r="AK181" i="17"/>
  <c r="AS181" i="17"/>
  <c r="N181" i="17"/>
  <c r="V181" i="17"/>
  <c r="AD181" i="17"/>
  <c r="AL181" i="17"/>
  <c r="K181" i="17"/>
  <c r="W181" i="17"/>
  <c r="AG181" i="17"/>
  <c r="AQ181" i="17"/>
  <c r="L181" i="17"/>
  <c r="X181" i="17"/>
  <c r="AH181" i="17"/>
  <c r="AR181" i="17"/>
  <c r="O181" i="17"/>
  <c r="Y181" i="17"/>
  <c r="R181" i="17"/>
  <c r="AI181" i="17"/>
  <c r="S181" i="17"/>
  <c r="AJ181" i="17"/>
  <c r="T181" i="17"/>
  <c r="AM181" i="17"/>
  <c r="AN100" i="17"/>
  <c r="N72" i="17"/>
  <c r="V72" i="17"/>
  <c r="AD72" i="17"/>
  <c r="AL72" i="17"/>
  <c r="O72" i="17"/>
  <c r="W72" i="17"/>
  <c r="AE72" i="17"/>
  <c r="AM72" i="17"/>
  <c r="P72" i="17"/>
  <c r="X72" i="17"/>
  <c r="AF72" i="17"/>
  <c r="AN72" i="17"/>
  <c r="M72" i="17"/>
  <c r="AA72" i="17"/>
  <c r="AO72" i="17"/>
  <c r="Q72" i="17"/>
  <c r="AB72" i="17"/>
  <c r="AP72" i="17"/>
  <c r="R72" i="17"/>
  <c r="AC72" i="17"/>
  <c r="AQ72" i="17"/>
  <c r="AG72" i="17"/>
  <c r="K72" i="17"/>
  <c r="AH72" i="17"/>
  <c r="T72" i="17"/>
  <c r="AS72" i="17"/>
  <c r="U72" i="17"/>
  <c r="Y72" i="17"/>
  <c r="Z72" i="17"/>
  <c r="AI72" i="17"/>
  <c r="AJ72" i="17"/>
  <c r="AF349" i="17"/>
  <c r="P349" i="17"/>
  <c r="AE346" i="17"/>
  <c r="AD343" i="17"/>
  <c r="N343" i="17"/>
  <c r="AN341" i="17"/>
  <c r="X341" i="17"/>
  <c r="AE338" i="17"/>
  <c r="O338" i="17"/>
  <c r="AL335" i="17"/>
  <c r="V335" i="17"/>
  <c r="AN333" i="17"/>
  <c r="X333" i="17"/>
  <c r="AE330" i="17"/>
  <c r="O330" i="17"/>
  <c r="AD327" i="17"/>
  <c r="AN325" i="17"/>
  <c r="X325" i="17"/>
  <c r="P325" i="17"/>
  <c r="AM322" i="17"/>
  <c r="W322" i="17"/>
  <c r="O322" i="17"/>
  <c r="AL319" i="17"/>
  <c r="V319" i="17"/>
  <c r="AF317" i="17"/>
  <c r="AE314" i="17"/>
  <c r="O314" i="17"/>
  <c r="V311" i="17"/>
  <c r="N311" i="17"/>
  <c r="AF309" i="17"/>
  <c r="AE306" i="17"/>
  <c r="V303" i="17"/>
  <c r="AN301" i="17"/>
  <c r="W298" i="17"/>
  <c r="Q296" i="17"/>
  <c r="AL295" i="17"/>
  <c r="X293" i="17"/>
  <c r="P293" i="17"/>
  <c r="W290" i="17"/>
  <c r="V287" i="17"/>
  <c r="X285" i="17"/>
  <c r="AE282" i="17"/>
  <c r="Y280" i="17"/>
  <c r="AB273" i="17"/>
  <c r="Q258" i="17"/>
  <c r="W255" i="17"/>
  <c r="R252" i="17"/>
  <c r="Z252" i="17"/>
  <c r="AH252" i="17"/>
  <c r="AP252" i="17"/>
  <c r="K252" i="17"/>
  <c r="S252" i="17"/>
  <c r="AA252" i="17"/>
  <c r="AI252" i="17"/>
  <c r="AQ252" i="17"/>
  <c r="L252" i="17"/>
  <c r="T252" i="17"/>
  <c r="AB252" i="17"/>
  <c r="AJ252" i="17"/>
  <c r="AR252" i="17"/>
  <c r="Q248" i="17"/>
  <c r="U244" i="17"/>
  <c r="AS236" i="17"/>
  <c r="W234" i="17"/>
  <c r="R231" i="17"/>
  <c r="X227" i="17"/>
  <c r="AD224" i="17"/>
  <c r="AF222" i="17"/>
  <c r="N220" i="17"/>
  <c r="V220" i="17"/>
  <c r="AD220" i="17"/>
  <c r="AL220" i="17"/>
  <c r="L220" i="17"/>
  <c r="U220" i="17"/>
  <c r="AE220" i="17"/>
  <c r="AN220" i="17"/>
  <c r="M220" i="17"/>
  <c r="W220" i="17"/>
  <c r="AF220" i="17"/>
  <c r="AO220" i="17"/>
  <c r="O220" i="17"/>
  <c r="X220" i="17"/>
  <c r="AG220" i="17"/>
  <c r="AP220" i="17"/>
  <c r="AB210" i="17"/>
  <c r="V208" i="17"/>
  <c r="V207" i="17"/>
  <c r="AO154" i="17"/>
  <c r="L87" i="17"/>
  <c r="T87" i="17"/>
  <c r="AB87" i="17"/>
  <c r="AJ87" i="17"/>
  <c r="AR87" i="17"/>
  <c r="M87" i="17"/>
  <c r="U87" i="17"/>
  <c r="N87" i="17"/>
  <c r="X87" i="17"/>
  <c r="AG87" i="17"/>
  <c r="AP87" i="17"/>
  <c r="O87" i="17"/>
  <c r="Y87" i="17"/>
  <c r="AH87" i="17"/>
  <c r="AQ87" i="17"/>
  <c r="P87" i="17"/>
  <c r="Z87" i="17"/>
  <c r="AI87" i="17"/>
  <c r="AS87" i="17"/>
  <c r="AC87" i="17"/>
  <c r="AO87" i="17"/>
  <c r="K87" i="17"/>
  <c r="AD87" i="17"/>
  <c r="V87" i="17"/>
  <c r="AN87" i="17"/>
  <c r="W87" i="17"/>
  <c r="AA87" i="17"/>
  <c r="Q87" i="17"/>
  <c r="R87" i="17"/>
  <c r="S87" i="17"/>
  <c r="AM349" i="17"/>
  <c r="O349" i="17"/>
  <c r="AD346" i="17"/>
  <c r="N346" i="17"/>
  <c r="AC343" i="17"/>
  <c r="AM341" i="17"/>
  <c r="AF336" i="17"/>
  <c r="P336" i="17"/>
  <c r="AC335" i="17"/>
  <c r="W333" i="17"/>
  <c r="AD330" i="17"/>
  <c r="N330" i="17"/>
  <c r="AF328" i="17"/>
  <c r="X328" i="17"/>
  <c r="AS327" i="17"/>
  <c r="AC327" i="17"/>
  <c r="M327" i="17"/>
  <c r="AE325" i="17"/>
  <c r="AD322" i="17"/>
  <c r="N322" i="17"/>
  <c r="AF320" i="17"/>
  <c r="U319" i="17"/>
  <c r="AE317" i="17"/>
  <c r="O317" i="17"/>
  <c r="V314" i="17"/>
  <c r="N314" i="17"/>
  <c r="AF312" i="17"/>
  <c r="P312" i="17"/>
  <c r="AC311" i="17"/>
  <c r="W309" i="17"/>
  <c r="V306" i="17"/>
  <c r="AC303" i="17"/>
  <c r="W301" i="17"/>
  <c r="Y299" i="17"/>
  <c r="Q299" i="17"/>
  <c r="AL298" i="17"/>
  <c r="N298" i="17"/>
  <c r="AF296" i="17"/>
  <c r="P296" i="17"/>
  <c r="AK295" i="17"/>
  <c r="W293" i="17"/>
  <c r="V290" i="17"/>
  <c r="AF288" i="17"/>
  <c r="P288" i="17"/>
  <c r="AC287" i="17"/>
  <c r="M287" i="17"/>
  <c r="W285" i="17"/>
  <c r="V282" i="17"/>
  <c r="AF280" i="17"/>
  <c r="X280" i="17"/>
  <c r="O280" i="17"/>
  <c r="AH279" i="17"/>
  <c r="Y273" i="17"/>
  <c r="K263" i="17"/>
  <c r="S263" i="17"/>
  <c r="AA263" i="17"/>
  <c r="AI263" i="17"/>
  <c r="AQ263" i="17"/>
  <c r="L263" i="17"/>
  <c r="T263" i="17"/>
  <c r="AB263" i="17"/>
  <c r="AJ263" i="17"/>
  <c r="AR263" i="17"/>
  <c r="M263" i="17"/>
  <c r="U263" i="17"/>
  <c r="AC263" i="17"/>
  <c r="AK263" i="17"/>
  <c r="AS263" i="17"/>
  <c r="AA258" i="17"/>
  <c r="AG255" i="17"/>
  <c r="U252" i="17"/>
  <c r="AO248" i="17"/>
  <c r="M248" i="17"/>
  <c r="S245" i="17"/>
  <c r="AE244" i="17"/>
  <c r="R240" i="17"/>
  <c r="Z240" i="17"/>
  <c r="AH240" i="17"/>
  <c r="K240" i="17"/>
  <c r="T240" i="17"/>
  <c r="AC240" i="17"/>
  <c r="AL240" i="17"/>
  <c r="L240" i="17"/>
  <c r="U240" i="17"/>
  <c r="AD240" i="17"/>
  <c r="AM240" i="17"/>
  <c r="M240" i="17"/>
  <c r="V240" i="17"/>
  <c r="AE240" i="17"/>
  <c r="AN240" i="17"/>
  <c r="AR236" i="17"/>
  <c r="T232" i="17"/>
  <c r="AS231" i="17"/>
  <c r="Q231" i="17"/>
  <c r="V230" i="17"/>
  <c r="AJ227" i="17"/>
  <c r="AJ225" i="17"/>
  <c r="AS224" i="17"/>
  <c r="R222" i="17"/>
  <c r="AN216" i="17"/>
  <c r="AM211" i="17"/>
  <c r="AR210" i="17"/>
  <c r="AL207" i="17"/>
  <c r="Y196" i="17"/>
  <c r="T184" i="17"/>
  <c r="AB181" i="17"/>
  <c r="O179" i="17"/>
  <c r="W179" i="17"/>
  <c r="AE179" i="17"/>
  <c r="AM179" i="17"/>
  <c r="P179" i="17"/>
  <c r="X179" i="17"/>
  <c r="AF179" i="17"/>
  <c r="AN179" i="17"/>
  <c r="L179" i="17"/>
  <c r="V179" i="17"/>
  <c r="AH179" i="17"/>
  <c r="AR179" i="17"/>
  <c r="M179" i="17"/>
  <c r="Y179" i="17"/>
  <c r="AI179" i="17"/>
  <c r="AS179" i="17"/>
  <c r="N179" i="17"/>
  <c r="Z179" i="17"/>
  <c r="AJ179" i="17"/>
  <c r="R179" i="17"/>
  <c r="AG179" i="17"/>
  <c r="S179" i="17"/>
  <c r="AK179" i="17"/>
  <c r="T179" i="17"/>
  <c r="AL179" i="17"/>
  <c r="AI154" i="17"/>
  <c r="AK150" i="17"/>
  <c r="AA124" i="17"/>
  <c r="N114" i="17"/>
  <c r="V114" i="17"/>
  <c r="AD114" i="17"/>
  <c r="AL114" i="17"/>
  <c r="O114" i="17"/>
  <c r="W114" i="17"/>
  <c r="AE114" i="17"/>
  <c r="AM114" i="17"/>
  <c r="P114" i="17"/>
  <c r="X114" i="17"/>
  <c r="AF114" i="17"/>
  <c r="AN114" i="17"/>
  <c r="Q114" i="17"/>
  <c r="AB114" i="17"/>
  <c r="AP114" i="17"/>
  <c r="R114" i="17"/>
  <c r="AC114" i="17"/>
  <c r="AQ114" i="17"/>
  <c r="L114" i="17"/>
  <c r="AG114" i="17"/>
  <c r="M114" i="17"/>
  <c r="AH114" i="17"/>
  <c r="S114" i="17"/>
  <c r="AI114" i="17"/>
  <c r="T114" i="17"/>
  <c r="AR114" i="17"/>
  <c r="U114" i="17"/>
  <c r="AS114" i="17"/>
  <c r="Y114" i="17"/>
  <c r="AO102" i="17"/>
  <c r="X100" i="17"/>
  <c r="AJ89" i="17"/>
  <c r="R28" i="17"/>
  <c r="Z28" i="17"/>
  <c r="AH28" i="17"/>
  <c r="AP28" i="17"/>
  <c r="N28" i="17"/>
  <c r="W28" i="17"/>
  <c r="AF28" i="17"/>
  <c r="AO28" i="17"/>
  <c r="P28" i="17"/>
  <c r="Y28" i="17"/>
  <c r="AI28" i="17"/>
  <c r="AR28" i="17"/>
  <c r="M28" i="17"/>
  <c r="AA28" i="17"/>
  <c r="AL28" i="17"/>
  <c r="O28" i="17"/>
  <c r="AB28" i="17"/>
  <c r="AM28" i="17"/>
  <c r="Q28" i="17"/>
  <c r="AC28" i="17"/>
  <c r="AN28" i="17"/>
  <c r="L28" i="17"/>
  <c r="AG28" i="17"/>
  <c r="S28" i="17"/>
  <c r="AJ28" i="17"/>
  <c r="T28" i="17"/>
  <c r="AK28" i="17"/>
  <c r="K28" i="17"/>
  <c r="U28" i="17"/>
  <c r="V28" i="17"/>
  <c r="AQ28" i="17"/>
  <c r="AS28" i="17"/>
  <c r="AL349" i="17"/>
  <c r="AD349" i="17"/>
  <c r="V349" i="17"/>
  <c r="N349" i="17"/>
  <c r="AQ348" i="17"/>
  <c r="AI348" i="17"/>
  <c r="AA348" i="17"/>
  <c r="S348" i="17"/>
  <c r="K348" i="17"/>
  <c r="AN347" i="17"/>
  <c r="AF347" i="17"/>
  <c r="X347" i="17"/>
  <c r="P347" i="17"/>
  <c r="AS346" i="17"/>
  <c r="AK346" i="17"/>
  <c r="AC346" i="17"/>
  <c r="U346" i="17"/>
  <c r="M346" i="17"/>
  <c r="AM344" i="17"/>
  <c r="AE344" i="17"/>
  <c r="W344" i="17"/>
  <c r="O344" i="17"/>
  <c r="AR343" i="17"/>
  <c r="AJ343" i="17"/>
  <c r="AB343" i="17"/>
  <c r="T343" i="17"/>
  <c r="L343" i="17"/>
  <c r="AS349" i="17"/>
  <c r="AK349" i="17"/>
  <c r="AC349" i="17"/>
  <c r="U349" i="17"/>
  <c r="M349" i="17"/>
  <c r="AP348" i="17"/>
  <c r="AH348" i="17"/>
  <c r="Z348" i="17"/>
  <c r="AM347" i="17"/>
  <c r="AE347" i="17"/>
  <c r="W347" i="17"/>
  <c r="O347" i="17"/>
  <c r="AR346" i="17"/>
  <c r="AJ346" i="17"/>
  <c r="AB346" i="17"/>
  <c r="T346" i="17"/>
  <c r="L346" i="17"/>
  <c r="AL344" i="17"/>
  <c r="AD344" i="17"/>
  <c r="V344" i="17"/>
  <c r="N344" i="17"/>
  <c r="AQ343" i="17"/>
  <c r="AI343" i="17"/>
  <c r="AA343" i="17"/>
  <c r="S343" i="17"/>
  <c r="K343" i="17"/>
  <c r="AN342" i="17"/>
  <c r="AF342" i="17"/>
  <c r="X342" i="17"/>
  <c r="AS341" i="17"/>
  <c r="AK341" i="17"/>
  <c r="AC341" i="17"/>
  <c r="U341" i="17"/>
  <c r="M341" i="17"/>
  <c r="AP340" i="17"/>
  <c r="AH340" i="17"/>
  <c r="Z340" i="17"/>
  <c r="AM339" i="17"/>
  <c r="AE339" i="17"/>
  <c r="W339" i="17"/>
  <c r="O339" i="17"/>
  <c r="AR338" i="17"/>
  <c r="AJ338" i="17"/>
  <c r="AB338" i="17"/>
  <c r="T338" i="17"/>
  <c r="L338" i="17"/>
  <c r="AL336" i="17"/>
  <c r="AD336" i="17"/>
  <c r="V336" i="17"/>
  <c r="N336" i="17"/>
  <c r="AQ335" i="17"/>
  <c r="AI335" i="17"/>
  <c r="AA335" i="17"/>
  <c r="S335" i="17"/>
  <c r="K335" i="17"/>
  <c r="AN334" i="17"/>
  <c r="AF334" i="17"/>
  <c r="X334" i="17"/>
  <c r="AS333" i="17"/>
  <c r="AK333" i="17"/>
  <c r="AC333" i="17"/>
  <c r="U333" i="17"/>
  <c r="M333" i="17"/>
  <c r="AP332" i="17"/>
  <c r="AH332" i="17"/>
  <c r="Z332" i="17"/>
  <c r="AM331" i="17"/>
  <c r="AE331" i="17"/>
  <c r="W331" i="17"/>
  <c r="O331" i="17"/>
  <c r="AR330" i="17"/>
  <c r="AJ330" i="17"/>
  <c r="AB330" i="17"/>
  <c r="T330" i="17"/>
  <c r="L330" i="17"/>
  <c r="AL328" i="17"/>
  <c r="AD328" i="17"/>
  <c r="V328" i="17"/>
  <c r="N328" i="17"/>
  <c r="AQ327" i="17"/>
  <c r="AI327" i="17"/>
  <c r="AA327" i="17"/>
  <c r="S327" i="17"/>
  <c r="K327" i="17"/>
  <c r="AN326" i="17"/>
  <c r="AF326" i="17"/>
  <c r="X326" i="17"/>
  <c r="AS325" i="17"/>
  <c r="AK325" i="17"/>
  <c r="AC325" i="17"/>
  <c r="U325" i="17"/>
  <c r="M325" i="17"/>
  <c r="AP324" i="17"/>
  <c r="AH324" i="17"/>
  <c r="Z324" i="17"/>
  <c r="AM323" i="17"/>
  <c r="AE323" i="17"/>
  <c r="W323" i="17"/>
  <c r="O323" i="17"/>
  <c r="AR322" i="17"/>
  <c r="AJ322" i="17"/>
  <c r="AB322" i="17"/>
  <c r="T322" i="17"/>
  <c r="L322" i="17"/>
  <c r="AL320" i="17"/>
  <c r="AD320" i="17"/>
  <c r="V320" i="17"/>
  <c r="N320" i="17"/>
  <c r="AQ319" i="17"/>
  <c r="AI319" i="17"/>
  <c r="AA319" i="17"/>
  <c r="S319" i="17"/>
  <c r="K319" i="17"/>
  <c r="AN318" i="17"/>
  <c r="AF318" i="17"/>
  <c r="X318" i="17"/>
  <c r="AS317" i="17"/>
  <c r="AK317" i="17"/>
  <c r="AC317" i="17"/>
  <c r="U317" i="17"/>
  <c r="M317" i="17"/>
  <c r="AP316" i="17"/>
  <c r="AH316" i="17"/>
  <c r="Z316" i="17"/>
  <c r="AM315" i="17"/>
  <c r="AE315" i="17"/>
  <c r="W315" i="17"/>
  <c r="O315" i="17"/>
  <c r="AR314" i="17"/>
  <c r="AJ314" i="17"/>
  <c r="AB314" i="17"/>
  <c r="T314" i="17"/>
  <c r="L314" i="17"/>
  <c r="AL312" i="17"/>
  <c r="AD312" i="17"/>
  <c r="V312" i="17"/>
  <c r="N312" i="17"/>
  <c r="AQ311" i="17"/>
  <c r="AI311" i="17"/>
  <c r="AA311" i="17"/>
  <c r="S311" i="17"/>
  <c r="K311" i="17"/>
  <c r="AN310" i="17"/>
  <c r="AF310" i="17"/>
  <c r="X310" i="17"/>
  <c r="AS309" i="17"/>
  <c r="AK309" i="17"/>
  <c r="AC309" i="17"/>
  <c r="U309" i="17"/>
  <c r="M309" i="17"/>
  <c r="AP308" i="17"/>
  <c r="AH308" i="17"/>
  <c r="Z308" i="17"/>
  <c r="AM307" i="17"/>
  <c r="AE307" i="17"/>
  <c r="W307" i="17"/>
  <c r="O307" i="17"/>
  <c r="AR306" i="17"/>
  <c r="AJ306" i="17"/>
  <c r="AB306" i="17"/>
  <c r="T306" i="17"/>
  <c r="L306" i="17"/>
  <c r="AL304" i="17"/>
  <c r="AD304" i="17"/>
  <c r="V304" i="17"/>
  <c r="N304" i="17"/>
  <c r="AQ303" i="17"/>
  <c r="AI303" i="17"/>
  <c r="AA303" i="17"/>
  <c r="S303" i="17"/>
  <c r="K303" i="17"/>
  <c r="AN302" i="17"/>
  <c r="AF302" i="17"/>
  <c r="X302" i="17"/>
  <c r="AS301" i="17"/>
  <c r="AK301" i="17"/>
  <c r="AC301" i="17"/>
  <c r="U301" i="17"/>
  <c r="M301" i="17"/>
  <c r="AP300" i="17"/>
  <c r="AH300" i="17"/>
  <c r="Z300" i="17"/>
  <c r="AM299" i="17"/>
  <c r="AE299" i="17"/>
  <c r="W299" i="17"/>
  <c r="O299" i="17"/>
  <c r="AR298" i="17"/>
  <c r="AJ298" i="17"/>
  <c r="AB298" i="17"/>
  <c r="T298" i="17"/>
  <c r="L298" i="17"/>
  <c r="AL296" i="17"/>
  <c r="AD296" i="17"/>
  <c r="V296" i="17"/>
  <c r="N296" i="17"/>
  <c r="AQ295" i="17"/>
  <c r="AI295" i="17"/>
  <c r="AA295" i="17"/>
  <c r="S295" i="17"/>
  <c r="K295" i="17"/>
  <c r="AN294" i="17"/>
  <c r="AF294" i="17"/>
  <c r="X294" i="17"/>
  <c r="AS293" i="17"/>
  <c r="AK293" i="17"/>
  <c r="AC293" i="17"/>
  <c r="U293" i="17"/>
  <c r="M293" i="17"/>
  <c r="AP292" i="17"/>
  <c r="AH292" i="17"/>
  <c r="Z292" i="17"/>
  <c r="AM291" i="17"/>
  <c r="AE291" i="17"/>
  <c r="W291" i="17"/>
  <c r="O291" i="17"/>
  <c r="AR290" i="17"/>
  <c r="AJ290" i="17"/>
  <c r="AB290" i="17"/>
  <c r="T290" i="17"/>
  <c r="L290" i="17"/>
  <c r="AL288" i="17"/>
  <c r="AD288" i="17"/>
  <c r="V288" i="17"/>
  <c r="N288" i="17"/>
  <c r="AQ287" i="17"/>
  <c r="AI287" i="17"/>
  <c r="AA287" i="17"/>
  <c r="S287" i="17"/>
  <c r="K287" i="17"/>
  <c r="AN286" i="17"/>
  <c r="AF286" i="17"/>
  <c r="X286" i="17"/>
  <c r="AS285" i="17"/>
  <c r="AK285" i="17"/>
  <c r="AC285" i="17"/>
  <c r="U285" i="17"/>
  <c r="M285" i="17"/>
  <c r="AP284" i="17"/>
  <c r="AH284" i="17"/>
  <c r="Z284" i="17"/>
  <c r="AM283" i="17"/>
  <c r="AE283" i="17"/>
  <c r="W283" i="17"/>
  <c r="O283" i="17"/>
  <c r="AR282" i="17"/>
  <c r="AJ282" i="17"/>
  <c r="AB282" i="17"/>
  <c r="T282" i="17"/>
  <c r="L282" i="17"/>
  <c r="AL280" i="17"/>
  <c r="AD280" i="17"/>
  <c r="V280" i="17"/>
  <c r="M280" i="17"/>
  <c r="AO279" i="17"/>
  <c r="AF279" i="17"/>
  <c r="W279" i="17"/>
  <c r="AO278" i="17"/>
  <c r="AF278" i="17"/>
  <c r="W278" i="17"/>
  <c r="AQ277" i="17"/>
  <c r="AH277" i="17"/>
  <c r="Y277" i="17"/>
  <c r="P277" i="17"/>
  <c r="AQ276" i="17"/>
  <c r="AH276" i="17"/>
  <c r="Y276" i="17"/>
  <c r="AN274" i="17"/>
  <c r="AB274" i="17"/>
  <c r="R274" i="17"/>
  <c r="AS273" i="17"/>
  <c r="AG273" i="17"/>
  <c r="W273" i="17"/>
  <c r="M273" i="17"/>
  <c r="O272" i="17"/>
  <c r="W272" i="17"/>
  <c r="AE272" i="17"/>
  <c r="AM272" i="17"/>
  <c r="P272" i="17"/>
  <c r="X272" i="17"/>
  <c r="AF272" i="17"/>
  <c r="AN272" i="17"/>
  <c r="AG271" i="17"/>
  <c r="V271" i="17"/>
  <c r="M269" i="17"/>
  <c r="U269" i="17"/>
  <c r="AC269" i="17"/>
  <c r="AK269" i="17"/>
  <c r="AS269" i="17"/>
  <c r="N269" i="17"/>
  <c r="V269" i="17"/>
  <c r="AD269" i="17"/>
  <c r="AL269" i="17"/>
  <c r="O269" i="17"/>
  <c r="W269" i="17"/>
  <c r="AE269" i="17"/>
  <c r="AM269" i="17"/>
  <c r="AF268" i="17"/>
  <c r="U268" i="17"/>
  <c r="AN266" i="17"/>
  <c r="Z266" i="17"/>
  <c r="N264" i="17"/>
  <c r="V264" i="17"/>
  <c r="AD264" i="17"/>
  <c r="AL264" i="17"/>
  <c r="O264" i="17"/>
  <c r="W264" i="17"/>
  <c r="AE264" i="17"/>
  <c r="AM264" i="17"/>
  <c r="P264" i="17"/>
  <c r="X264" i="17"/>
  <c r="AF264" i="17"/>
  <c r="AN264" i="17"/>
  <c r="AF263" i="17"/>
  <c r="R263" i="17"/>
  <c r="AR261" i="17"/>
  <c r="AG261" i="17"/>
  <c r="S261" i="17"/>
  <c r="AS260" i="17"/>
  <c r="AE260" i="17"/>
  <c r="Q260" i="17"/>
  <c r="AM258" i="17"/>
  <c r="Y258" i="17"/>
  <c r="K258" i="17"/>
  <c r="AR256" i="17"/>
  <c r="AG256" i="17"/>
  <c r="S256" i="17"/>
  <c r="AP255" i="17"/>
  <c r="AE255" i="17"/>
  <c r="Q255" i="17"/>
  <c r="AQ253" i="17"/>
  <c r="AF253" i="17"/>
  <c r="AO252" i="17"/>
  <c r="AD252" i="17"/>
  <c r="P252" i="17"/>
  <c r="AI250" i="17"/>
  <c r="AJ248" i="17"/>
  <c r="Y248" i="17"/>
  <c r="K248" i="17"/>
  <c r="K247" i="17"/>
  <c r="S247" i="17"/>
  <c r="AA247" i="17"/>
  <c r="AI247" i="17"/>
  <c r="AQ247" i="17"/>
  <c r="L247" i="17"/>
  <c r="T247" i="17"/>
  <c r="AB247" i="17"/>
  <c r="AJ247" i="17"/>
  <c r="AR247" i="17"/>
  <c r="M247" i="17"/>
  <c r="U247" i="17"/>
  <c r="AC247" i="17"/>
  <c r="AK247" i="17"/>
  <c r="AS247" i="17"/>
  <c r="AP245" i="17"/>
  <c r="AB245" i="17"/>
  <c r="Q245" i="17"/>
  <c r="AN244" i="17"/>
  <c r="AC244" i="17"/>
  <c r="O244" i="17"/>
  <c r="L242" i="17"/>
  <c r="T242" i="17"/>
  <c r="AB242" i="17"/>
  <c r="AJ242" i="17"/>
  <c r="AR242" i="17"/>
  <c r="M242" i="17"/>
  <c r="U242" i="17"/>
  <c r="AC242" i="17"/>
  <c r="AK242" i="17"/>
  <c r="AS242" i="17"/>
  <c r="N242" i="17"/>
  <c r="V242" i="17"/>
  <c r="AD242" i="17"/>
  <c r="AL242" i="17"/>
  <c r="AI240" i="17"/>
  <c r="S240" i="17"/>
  <c r="AR239" i="17"/>
  <c r="AB239" i="17"/>
  <c r="P239" i="17"/>
  <c r="AK238" i="17"/>
  <c r="U238" i="17"/>
  <c r="AP236" i="17"/>
  <c r="Z236" i="17"/>
  <c r="M236" i="17"/>
  <c r="AJ235" i="17"/>
  <c r="W235" i="17"/>
  <c r="AS234" i="17"/>
  <c r="AG234" i="17"/>
  <c r="M233" i="17"/>
  <c r="U233" i="17"/>
  <c r="AC233" i="17"/>
  <c r="AK233" i="17"/>
  <c r="AS233" i="17"/>
  <c r="K233" i="17"/>
  <c r="T233" i="17"/>
  <c r="AD233" i="17"/>
  <c r="AM233" i="17"/>
  <c r="L233" i="17"/>
  <c r="V233" i="17"/>
  <c r="AE233" i="17"/>
  <c r="AN233" i="17"/>
  <c r="N233" i="17"/>
  <c r="W233" i="17"/>
  <c r="AF233" i="17"/>
  <c r="AO233" i="17"/>
  <c r="AG232" i="17"/>
  <c r="Q232" i="17"/>
  <c r="AN231" i="17"/>
  <c r="AA231" i="17"/>
  <c r="K231" i="17"/>
  <c r="AI230" i="17"/>
  <c r="S230" i="17"/>
  <c r="N228" i="17"/>
  <c r="V228" i="17"/>
  <c r="AD228" i="17"/>
  <c r="AL228" i="17"/>
  <c r="K228" i="17"/>
  <c r="T228" i="17"/>
  <c r="AC228" i="17"/>
  <c r="AM228" i="17"/>
  <c r="L228" i="17"/>
  <c r="U228" i="17"/>
  <c r="AE228" i="17"/>
  <c r="AN228" i="17"/>
  <c r="M228" i="17"/>
  <c r="W228" i="17"/>
  <c r="AF228" i="17"/>
  <c r="AO228" i="17"/>
  <c r="AG227" i="17"/>
  <c r="Q227" i="17"/>
  <c r="AL226" i="17"/>
  <c r="AH225" i="17"/>
  <c r="R225" i="17"/>
  <c r="AM224" i="17"/>
  <c r="AA224" i="17"/>
  <c r="K224" i="17"/>
  <c r="AJ223" i="17"/>
  <c r="T223" i="17"/>
  <c r="AO222" i="17"/>
  <c r="AC222" i="17"/>
  <c r="M222" i="17"/>
  <c r="AH220" i="17"/>
  <c r="R220" i="17"/>
  <c r="AM219" i="17"/>
  <c r="AG216" i="17"/>
  <c r="T216" i="17"/>
  <c r="AL215" i="17"/>
  <c r="Y215" i="17"/>
  <c r="AQ214" i="17"/>
  <c r="AK211" i="17"/>
  <c r="AP210" i="17"/>
  <c r="S210" i="17"/>
  <c r="AJ209" i="17"/>
  <c r="S209" i="17"/>
  <c r="AJ208" i="17"/>
  <c r="S208" i="17"/>
  <c r="AI207" i="17"/>
  <c r="N205" i="17"/>
  <c r="V205" i="17"/>
  <c r="AD205" i="17"/>
  <c r="AL205" i="17"/>
  <c r="L205" i="17"/>
  <c r="U205" i="17"/>
  <c r="AE205" i="17"/>
  <c r="AN205" i="17"/>
  <c r="M205" i="17"/>
  <c r="W205" i="17"/>
  <c r="AF205" i="17"/>
  <c r="AO205" i="17"/>
  <c r="K205" i="17"/>
  <c r="Y205" i="17"/>
  <c r="AJ205" i="17"/>
  <c r="O205" i="17"/>
  <c r="Z205" i="17"/>
  <c r="AK205" i="17"/>
  <c r="P205" i="17"/>
  <c r="AA205" i="17"/>
  <c r="AM205" i="17"/>
  <c r="AC204" i="17"/>
  <c r="Y203" i="17"/>
  <c r="AR202" i="17"/>
  <c r="V202" i="17"/>
  <c r="AR201" i="17"/>
  <c r="AL200" i="17"/>
  <c r="AK199" i="17"/>
  <c r="P199" i="17"/>
  <c r="AN196" i="17"/>
  <c r="U196" i="17"/>
  <c r="AM194" i="17"/>
  <c r="R194" i="17"/>
  <c r="AQ192" i="17"/>
  <c r="AP189" i="17"/>
  <c r="W189" i="17"/>
  <c r="AK184" i="17"/>
  <c r="M184" i="17"/>
  <c r="AE183" i="17"/>
  <c r="Z181" i="17"/>
  <c r="AB179" i="17"/>
  <c r="AR172" i="17"/>
  <c r="L162" i="17"/>
  <c r="T162" i="17"/>
  <c r="AB162" i="17"/>
  <c r="AJ162" i="17"/>
  <c r="AR162" i="17"/>
  <c r="M162" i="17"/>
  <c r="U162" i="17"/>
  <c r="AC162" i="17"/>
  <c r="AK162" i="17"/>
  <c r="AS162" i="17"/>
  <c r="K162" i="17"/>
  <c r="W162" i="17"/>
  <c r="AG162" i="17"/>
  <c r="AQ162" i="17"/>
  <c r="N162" i="17"/>
  <c r="X162" i="17"/>
  <c r="AH162" i="17"/>
  <c r="O162" i="17"/>
  <c r="Y162" i="17"/>
  <c r="AI162" i="17"/>
  <c r="AD162" i="17"/>
  <c r="P162" i="17"/>
  <c r="AE162" i="17"/>
  <c r="Q162" i="17"/>
  <c r="AF162" i="17"/>
  <c r="Z154" i="17"/>
  <c r="X142" i="17"/>
  <c r="Q124" i="17"/>
  <c r="AB122" i="17"/>
  <c r="AF121" i="17"/>
  <c r="AK114" i="17"/>
  <c r="AB103" i="17"/>
  <c r="AE102" i="17"/>
  <c r="K100" i="17"/>
  <c r="AQ98" i="17"/>
  <c r="AJ91" i="17"/>
  <c r="AJ90" i="17"/>
  <c r="Q89" i="17"/>
  <c r="AL87" i="17"/>
  <c r="AK72" i="17"/>
  <c r="R59" i="17"/>
  <c r="Z59" i="17"/>
  <c r="AH59" i="17"/>
  <c r="AP59" i="17"/>
  <c r="K59" i="17"/>
  <c r="S59" i="17"/>
  <c r="AA59" i="17"/>
  <c r="AI59" i="17"/>
  <c r="AQ59" i="17"/>
  <c r="M59" i="17"/>
  <c r="W59" i="17"/>
  <c r="AG59" i="17"/>
  <c r="AS59" i="17"/>
  <c r="N59" i="17"/>
  <c r="X59" i="17"/>
  <c r="AJ59" i="17"/>
  <c r="O59" i="17"/>
  <c r="Y59" i="17"/>
  <c r="AK59" i="17"/>
  <c r="T59" i="17"/>
  <c r="AL59" i="17"/>
  <c r="U59" i="17"/>
  <c r="AM59" i="17"/>
  <c r="V59" i="17"/>
  <c r="AN59" i="17"/>
  <c r="P59" i="17"/>
  <c r="AR59" i="17"/>
  <c r="Q59" i="17"/>
  <c r="AC59" i="17"/>
  <c r="AD59" i="17"/>
  <c r="AE59" i="17"/>
  <c r="AF59" i="17"/>
  <c r="AO59" i="17"/>
  <c r="AP57" i="17"/>
  <c r="Q335" i="17"/>
  <c r="Q319" i="17"/>
  <c r="Q303" i="17"/>
  <c r="T248" i="17"/>
  <c r="AP100" i="17"/>
  <c r="Y346" i="17"/>
  <c r="Q346" i="17"/>
  <c r="AN343" i="17"/>
  <c r="P343" i="17"/>
  <c r="X335" i="17"/>
  <c r="AN327" i="17"/>
  <c r="AF319" i="17"/>
  <c r="P319" i="17"/>
  <c r="X311" i="17"/>
  <c r="Q306" i="17"/>
  <c r="AF303" i="17"/>
  <c r="P303" i="17"/>
  <c r="AN295" i="17"/>
  <c r="P287" i="17"/>
  <c r="L266" i="17"/>
  <c r="T266" i="17"/>
  <c r="AB266" i="17"/>
  <c r="AJ266" i="17"/>
  <c r="AR266" i="17"/>
  <c r="M266" i="17"/>
  <c r="U266" i="17"/>
  <c r="AC266" i="17"/>
  <c r="AK266" i="17"/>
  <c r="AS266" i="17"/>
  <c r="N266" i="17"/>
  <c r="V266" i="17"/>
  <c r="AD266" i="17"/>
  <c r="AL266" i="17"/>
  <c r="AG258" i="17"/>
  <c r="AR248" i="17"/>
  <c r="S248" i="17"/>
  <c r="T224" i="17"/>
  <c r="L207" i="17"/>
  <c r="T207" i="17"/>
  <c r="AB207" i="17"/>
  <c r="AJ207" i="17"/>
  <c r="AR207" i="17"/>
  <c r="O207" i="17"/>
  <c r="X207" i="17"/>
  <c r="AG207" i="17"/>
  <c r="AP207" i="17"/>
  <c r="P207" i="17"/>
  <c r="Y207" i="17"/>
  <c r="AH207" i="17"/>
  <c r="AQ207" i="17"/>
  <c r="N207" i="17"/>
  <c r="AA207" i="17"/>
  <c r="AM207" i="17"/>
  <c r="Q207" i="17"/>
  <c r="AC207" i="17"/>
  <c r="AN207" i="17"/>
  <c r="R207" i="17"/>
  <c r="AD207" i="17"/>
  <c r="AO207" i="17"/>
  <c r="R172" i="17"/>
  <c r="Z172" i="17"/>
  <c r="AH172" i="17"/>
  <c r="AP172" i="17"/>
  <c r="K172" i="17"/>
  <c r="S172" i="17"/>
  <c r="AA172" i="17"/>
  <c r="AI172" i="17"/>
  <c r="AQ172" i="17"/>
  <c r="N172" i="17"/>
  <c r="X172" i="17"/>
  <c r="AJ172" i="17"/>
  <c r="O172" i="17"/>
  <c r="Y172" i="17"/>
  <c r="AK172" i="17"/>
  <c r="P172" i="17"/>
  <c r="AB172" i="17"/>
  <c r="AL172" i="17"/>
  <c r="T172" i="17"/>
  <c r="AG172" i="17"/>
  <c r="U172" i="17"/>
  <c r="AM172" i="17"/>
  <c r="V172" i="17"/>
  <c r="AN172" i="17"/>
  <c r="N63" i="17"/>
  <c r="V63" i="17"/>
  <c r="AD63" i="17"/>
  <c r="AL63" i="17"/>
  <c r="O63" i="17"/>
  <c r="W63" i="17"/>
  <c r="AE63" i="17"/>
  <c r="AM63" i="17"/>
  <c r="L63" i="17"/>
  <c r="X63" i="17"/>
  <c r="AH63" i="17"/>
  <c r="AR63" i="17"/>
  <c r="M63" i="17"/>
  <c r="Y63" i="17"/>
  <c r="AI63" i="17"/>
  <c r="AS63" i="17"/>
  <c r="P63" i="17"/>
  <c r="Z63" i="17"/>
  <c r="AJ63" i="17"/>
  <c r="K63" i="17"/>
  <c r="AC63" i="17"/>
  <c r="Q63" i="17"/>
  <c r="AF63" i="17"/>
  <c r="R63" i="17"/>
  <c r="AG63" i="17"/>
  <c r="AB63" i="17"/>
  <c r="AK63" i="17"/>
  <c r="S63" i="17"/>
  <c r="T63" i="17"/>
  <c r="U63" i="17"/>
  <c r="AP63" i="17"/>
  <c r="AQ63" i="17"/>
  <c r="X346" i="17"/>
  <c r="AM343" i="17"/>
  <c r="X338" i="17"/>
  <c r="AM335" i="17"/>
  <c r="O335" i="17"/>
  <c r="AF330" i="17"/>
  <c r="P330" i="17"/>
  <c r="AM327" i="17"/>
  <c r="X322" i="17"/>
  <c r="AM319" i="17"/>
  <c r="O319" i="17"/>
  <c r="Q317" i="17"/>
  <c r="AN314" i="17"/>
  <c r="AE311" i="17"/>
  <c r="AN306" i="17"/>
  <c r="W303" i="17"/>
  <c r="X298" i="17"/>
  <c r="AE295" i="17"/>
  <c r="Q293" i="17"/>
  <c r="AF290" i="17"/>
  <c r="P290" i="17"/>
  <c r="W287" i="17"/>
  <c r="AF282" i="17"/>
  <c r="M279" i="17"/>
  <c r="U279" i="17"/>
  <c r="AC279" i="17"/>
  <c r="AK279" i="17"/>
  <c r="AS279" i="17"/>
  <c r="Q273" i="17"/>
  <c r="AF258" i="17"/>
  <c r="AQ248" i="17"/>
  <c r="R248" i="17"/>
  <c r="T239" i="17"/>
  <c r="P234" i="17"/>
  <c r="X234" i="17"/>
  <c r="AF234" i="17"/>
  <c r="AN234" i="17"/>
  <c r="K234" i="17"/>
  <c r="T234" i="17"/>
  <c r="AC234" i="17"/>
  <c r="AL234" i="17"/>
  <c r="L234" i="17"/>
  <c r="U234" i="17"/>
  <c r="AD234" i="17"/>
  <c r="AM234" i="17"/>
  <c r="M234" i="17"/>
  <c r="V234" i="17"/>
  <c r="AE234" i="17"/>
  <c r="AO234" i="17"/>
  <c r="AI224" i="17"/>
  <c r="U222" i="17"/>
  <c r="K211" i="17"/>
  <c r="S211" i="17"/>
  <c r="AA211" i="17"/>
  <c r="AI211" i="17"/>
  <c r="AQ211" i="17"/>
  <c r="L211" i="17"/>
  <c r="T211" i="17"/>
  <c r="AB211" i="17"/>
  <c r="AJ211" i="17"/>
  <c r="AR211" i="17"/>
  <c r="V211" i="17"/>
  <c r="AF211" i="17"/>
  <c r="AP211" i="17"/>
  <c r="M211" i="17"/>
  <c r="W211" i="17"/>
  <c r="AG211" i="17"/>
  <c r="AS211" i="17"/>
  <c r="N211" i="17"/>
  <c r="X211" i="17"/>
  <c r="AH211" i="17"/>
  <c r="W207" i="17"/>
  <c r="Z194" i="17"/>
  <c r="AL311" i="17"/>
  <c r="X309" i="17"/>
  <c r="P309" i="17"/>
  <c r="AM306" i="17"/>
  <c r="O306" i="17"/>
  <c r="AD303" i="17"/>
  <c r="X301" i="17"/>
  <c r="AM298" i="17"/>
  <c r="O298" i="17"/>
  <c r="AD295" i="17"/>
  <c r="N295" i="17"/>
  <c r="AF293" i="17"/>
  <c r="AE290" i="17"/>
  <c r="AL287" i="17"/>
  <c r="N287" i="17"/>
  <c r="AN285" i="17"/>
  <c r="P285" i="17"/>
  <c r="W282" i="17"/>
  <c r="AG280" i="17"/>
  <c r="AR279" i="17"/>
  <c r="Z279" i="17"/>
  <c r="R278" i="17"/>
  <c r="Z278" i="17"/>
  <c r="AH278" i="17"/>
  <c r="AP278" i="17"/>
  <c r="AL273" i="17"/>
  <c r="P273" i="17"/>
  <c r="AQ266" i="17"/>
  <c r="R266" i="17"/>
  <c r="AP258" i="17"/>
  <c r="AB248" i="17"/>
  <c r="T245" i="17"/>
  <c r="AF244" i="17"/>
  <c r="S239" i="17"/>
  <c r="AG236" i="17"/>
  <c r="X232" i="17"/>
  <c r="AD231" i="17"/>
  <c r="Y211" i="17"/>
  <c r="AS210" i="17"/>
  <c r="AS209" i="17"/>
  <c r="AS208" i="17"/>
  <c r="AS207" i="17"/>
  <c r="U199" i="17"/>
  <c r="AB196" i="17"/>
  <c r="Y184" i="17"/>
  <c r="AE181" i="17"/>
  <c r="AC172" i="17"/>
  <c r="L170" i="17"/>
  <c r="T170" i="17"/>
  <c r="AB170" i="17"/>
  <c r="AJ170" i="17"/>
  <c r="AR170" i="17"/>
  <c r="M170" i="17"/>
  <c r="U170" i="17"/>
  <c r="AC170" i="17"/>
  <c r="AK170" i="17"/>
  <c r="AS170" i="17"/>
  <c r="O170" i="17"/>
  <c r="Y170" i="17"/>
  <c r="AI170" i="17"/>
  <c r="P170" i="17"/>
  <c r="Z170" i="17"/>
  <c r="AL170" i="17"/>
  <c r="Q170" i="17"/>
  <c r="AA170" i="17"/>
  <c r="AM170" i="17"/>
  <c r="AD170" i="17"/>
  <c r="AQ170" i="17"/>
  <c r="K170" i="17"/>
  <c r="AE170" i="17"/>
  <c r="N170" i="17"/>
  <c r="AF170" i="17"/>
  <c r="K150" i="17"/>
  <c r="S150" i="17"/>
  <c r="AA150" i="17"/>
  <c r="AI150" i="17"/>
  <c r="AQ150" i="17"/>
  <c r="L150" i="17"/>
  <c r="T150" i="17"/>
  <c r="AB150" i="17"/>
  <c r="AJ150" i="17"/>
  <c r="AR150" i="17"/>
  <c r="Q150" i="17"/>
  <c r="AC150" i="17"/>
  <c r="AM150" i="17"/>
  <c r="R150" i="17"/>
  <c r="AD150" i="17"/>
  <c r="AN150" i="17"/>
  <c r="N150" i="17"/>
  <c r="Z150" i="17"/>
  <c r="AP150" i="17"/>
  <c r="O150" i="17"/>
  <c r="AE150" i="17"/>
  <c r="AS150" i="17"/>
  <c r="P150" i="17"/>
  <c r="AF150" i="17"/>
  <c r="W150" i="17"/>
  <c r="X150" i="17"/>
  <c r="Y150" i="17"/>
  <c r="AO142" i="17"/>
  <c r="K113" i="17"/>
  <c r="S113" i="17"/>
  <c r="AA113" i="17"/>
  <c r="AI113" i="17"/>
  <c r="AQ113" i="17"/>
  <c r="L113" i="17"/>
  <c r="T113" i="17"/>
  <c r="AB113" i="17"/>
  <c r="AJ113" i="17"/>
  <c r="AR113" i="17"/>
  <c r="M113" i="17"/>
  <c r="U113" i="17"/>
  <c r="AC113" i="17"/>
  <c r="AK113" i="17"/>
  <c r="AS113" i="17"/>
  <c r="O113" i="17"/>
  <c r="Z113" i="17"/>
  <c r="AN113" i="17"/>
  <c r="P113" i="17"/>
  <c r="AD113" i="17"/>
  <c r="AO113" i="17"/>
  <c r="Q113" i="17"/>
  <c r="AG113" i="17"/>
  <c r="R113" i="17"/>
  <c r="AH113" i="17"/>
  <c r="V113" i="17"/>
  <c r="AL113" i="17"/>
  <c r="Y113" i="17"/>
  <c r="AE113" i="17"/>
  <c r="AF113" i="17"/>
  <c r="AS102" i="17"/>
  <c r="AM100" i="17"/>
  <c r="W349" i="17"/>
  <c r="V346" i="17"/>
  <c r="AN344" i="17"/>
  <c r="X344" i="17"/>
  <c r="AS343" i="17"/>
  <c r="U343" i="17"/>
  <c r="W341" i="17"/>
  <c r="AL338" i="17"/>
  <c r="V338" i="17"/>
  <c r="AN336" i="17"/>
  <c r="X336" i="17"/>
  <c r="AS335" i="17"/>
  <c r="U335" i="17"/>
  <c r="AM333" i="17"/>
  <c r="Q331" i="17"/>
  <c r="AL330" i="17"/>
  <c r="P328" i="17"/>
  <c r="AK319" i="17"/>
  <c r="AM317" i="17"/>
  <c r="Q315" i="17"/>
  <c r="AD314" i="17"/>
  <c r="AK311" i="17"/>
  <c r="M311" i="17"/>
  <c r="AE309" i="17"/>
  <c r="Y307" i="17"/>
  <c r="Q307" i="17"/>
  <c r="AL306" i="17"/>
  <c r="AF304" i="17"/>
  <c r="AS303" i="17"/>
  <c r="U303" i="17"/>
  <c r="AM301" i="17"/>
  <c r="O301" i="17"/>
  <c r="AD298" i="17"/>
  <c r="X296" i="17"/>
  <c r="AS295" i="17"/>
  <c r="U295" i="17"/>
  <c r="AM293" i="17"/>
  <c r="AD290" i="17"/>
  <c r="AK287" i="17"/>
  <c r="AE285" i="17"/>
  <c r="AD282" i="17"/>
  <c r="N282" i="17"/>
  <c r="AN280" i="17"/>
  <c r="AQ279" i="17"/>
  <c r="Y279" i="17"/>
  <c r="P279" i="17"/>
  <c r="AI278" i="17"/>
  <c r="L276" i="17"/>
  <c r="T276" i="17"/>
  <c r="AB276" i="17"/>
  <c r="AJ276" i="17"/>
  <c r="AR276" i="17"/>
  <c r="AK273" i="17"/>
  <c r="O273" i="17"/>
  <c r="AP266" i="17"/>
  <c r="P258" i="17"/>
  <c r="V255" i="17"/>
  <c r="M253" i="17"/>
  <c r="U253" i="17"/>
  <c r="AC253" i="17"/>
  <c r="AK253" i="17"/>
  <c r="AS253" i="17"/>
  <c r="N253" i="17"/>
  <c r="V253" i="17"/>
  <c r="AD253" i="17"/>
  <c r="AL253" i="17"/>
  <c r="O253" i="17"/>
  <c r="W253" i="17"/>
  <c r="AE253" i="17"/>
  <c r="AM253" i="17"/>
  <c r="AR245" i="17"/>
  <c r="AK240" i="17"/>
  <c r="R239" i="17"/>
  <c r="P236" i="17"/>
  <c r="S234" i="17"/>
  <c r="AJ232" i="17"/>
  <c r="AC231" i="17"/>
  <c r="T225" i="17"/>
  <c r="AC224" i="17"/>
  <c r="T220" i="17"/>
  <c r="V216" i="17"/>
  <c r="X210" i="17"/>
  <c r="AR209" i="17"/>
  <c r="AR208" i="17"/>
  <c r="R201" i="17"/>
  <c r="Z201" i="17"/>
  <c r="AH201" i="17"/>
  <c r="AP201" i="17"/>
  <c r="N201" i="17"/>
  <c r="W201" i="17"/>
  <c r="AF201" i="17"/>
  <c r="AO201" i="17"/>
  <c r="O201" i="17"/>
  <c r="X201" i="17"/>
  <c r="AG201" i="17"/>
  <c r="AQ201" i="17"/>
  <c r="M201" i="17"/>
  <c r="AA201" i="17"/>
  <c r="AL201" i="17"/>
  <c r="P201" i="17"/>
  <c r="AB201" i="17"/>
  <c r="AM201" i="17"/>
  <c r="Q201" i="17"/>
  <c r="AC201" i="17"/>
  <c r="AN201" i="17"/>
  <c r="O200" i="17"/>
  <c r="W200" i="17"/>
  <c r="AE200" i="17"/>
  <c r="AM200" i="17"/>
  <c r="P200" i="17"/>
  <c r="Y200" i="17"/>
  <c r="AH200" i="17"/>
  <c r="AQ200" i="17"/>
  <c r="Q200" i="17"/>
  <c r="Z200" i="17"/>
  <c r="AI200" i="17"/>
  <c r="AR200" i="17"/>
  <c r="N200" i="17"/>
  <c r="AB200" i="17"/>
  <c r="AN200" i="17"/>
  <c r="R200" i="17"/>
  <c r="AC200" i="17"/>
  <c r="AO200" i="17"/>
  <c r="S200" i="17"/>
  <c r="AD200" i="17"/>
  <c r="AP200" i="17"/>
  <c r="R199" i="17"/>
  <c r="N192" i="17"/>
  <c r="V192" i="17"/>
  <c r="AD192" i="17"/>
  <c r="AL192" i="17"/>
  <c r="O192" i="17"/>
  <c r="W192" i="17"/>
  <c r="AE192" i="17"/>
  <c r="AM192" i="17"/>
  <c r="M192" i="17"/>
  <c r="Y192" i="17"/>
  <c r="AI192" i="17"/>
  <c r="AS192" i="17"/>
  <c r="P192" i="17"/>
  <c r="Z192" i="17"/>
  <c r="AJ192" i="17"/>
  <c r="R192" i="17"/>
  <c r="AF192" i="17"/>
  <c r="AR192" i="17"/>
  <c r="S192" i="17"/>
  <c r="AG192" i="17"/>
  <c r="T192" i="17"/>
  <c r="AH192" i="17"/>
  <c r="AG170" i="17"/>
  <c r="AN121" i="17"/>
  <c r="AR349" i="17"/>
  <c r="AJ349" i="17"/>
  <c r="AB349" i="17"/>
  <c r="T349" i="17"/>
  <c r="AL347" i="17"/>
  <c r="AD347" i="17"/>
  <c r="V347" i="17"/>
  <c r="AQ346" i="17"/>
  <c r="AI346" i="17"/>
  <c r="AA346" i="17"/>
  <c r="S346" i="17"/>
  <c r="AS344" i="17"/>
  <c r="AK344" i="17"/>
  <c r="AC344" i="17"/>
  <c r="U344" i="17"/>
  <c r="AP343" i="17"/>
  <c r="AH343" i="17"/>
  <c r="Z343" i="17"/>
  <c r="AR341" i="17"/>
  <c r="AJ341" i="17"/>
  <c r="AB341" i="17"/>
  <c r="T341" i="17"/>
  <c r="AL339" i="17"/>
  <c r="AD339" i="17"/>
  <c r="V339" i="17"/>
  <c r="AQ338" i="17"/>
  <c r="AI338" i="17"/>
  <c r="AA338" i="17"/>
  <c r="S338" i="17"/>
  <c r="AS336" i="17"/>
  <c r="AK336" i="17"/>
  <c r="AC336" i="17"/>
  <c r="U336" i="17"/>
  <c r="AP335" i="17"/>
  <c r="AH335" i="17"/>
  <c r="Z335" i="17"/>
  <c r="AR333" i="17"/>
  <c r="AJ333" i="17"/>
  <c r="AB333" i="17"/>
  <c r="T333" i="17"/>
  <c r="AL331" i="17"/>
  <c r="AD331" i="17"/>
  <c r="V331" i="17"/>
  <c r="AQ330" i="17"/>
  <c r="AI330" i="17"/>
  <c r="AA330" i="17"/>
  <c r="S330" i="17"/>
  <c r="AS328" i="17"/>
  <c r="AK328" i="17"/>
  <c r="AC328" i="17"/>
  <c r="U328" i="17"/>
  <c r="AP327" i="17"/>
  <c r="AH327" i="17"/>
  <c r="Z327" i="17"/>
  <c r="AR325" i="17"/>
  <c r="AJ325" i="17"/>
  <c r="AB325" i="17"/>
  <c r="T325" i="17"/>
  <c r="AL323" i="17"/>
  <c r="AD323" i="17"/>
  <c r="V323" i="17"/>
  <c r="AQ322" i="17"/>
  <c r="AI322" i="17"/>
  <c r="AA322" i="17"/>
  <c r="S322" i="17"/>
  <c r="AS320" i="17"/>
  <c r="AK320" i="17"/>
  <c r="AC320" i="17"/>
  <c r="U320" i="17"/>
  <c r="AP319" i="17"/>
  <c r="AH319" i="17"/>
  <c r="Z319" i="17"/>
  <c r="AR317" i="17"/>
  <c r="AJ317" i="17"/>
  <c r="AB317" i="17"/>
  <c r="T317" i="17"/>
  <c r="AL315" i="17"/>
  <c r="AD315" i="17"/>
  <c r="V315" i="17"/>
  <c r="AQ314" i="17"/>
  <c r="AI314" i="17"/>
  <c r="AA314" i="17"/>
  <c r="S314" i="17"/>
  <c r="AS312" i="17"/>
  <c r="AK312" i="17"/>
  <c r="AC312" i="17"/>
  <c r="U312" i="17"/>
  <c r="AP311" i="17"/>
  <c r="AH311" i="17"/>
  <c r="Z311" i="17"/>
  <c r="AR309" i="17"/>
  <c r="AJ309" i="17"/>
  <c r="AB309" i="17"/>
  <c r="T309" i="17"/>
  <c r="AL307" i="17"/>
  <c r="AD307" i="17"/>
  <c r="V307" i="17"/>
  <c r="AQ306" i="17"/>
  <c r="AI306" i="17"/>
  <c r="AA306" i="17"/>
  <c r="S306" i="17"/>
  <c r="AS304" i="17"/>
  <c r="AK304" i="17"/>
  <c r="AC304" i="17"/>
  <c r="U304" i="17"/>
  <c r="AP303" i="17"/>
  <c r="AH303" i="17"/>
  <c r="Z303" i="17"/>
  <c r="AR301" i="17"/>
  <c r="AJ301" i="17"/>
  <c r="AB301" i="17"/>
  <c r="T301" i="17"/>
  <c r="AL299" i="17"/>
  <c r="AD299" i="17"/>
  <c r="V299" i="17"/>
  <c r="AQ298" i="17"/>
  <c r="AI298" i="17"/>
  <c r="AA298" i="17"/>
  <c r="S298" i="17"/>
  <c r="AS296" i="17"/>
  <c r="AK296" i="17"/>
  <c r="AC296" i="17"/>
  <c r="U296" i="17"/>
  <c r="AP295" i="17"/>
  <c r="AH295" i="17"/>
  <c r="Z295" i="17"/>
  <c r="AR293" i="17"/>
  <c r="AJ293" i="17"/>
  <c r="AB293" i="17"/>
  <c r="T293" i="17"/>
  <c r="AL291" i="17"/>
  <c r="AD291" i="17"/>
  <c r="V291" i="17"/>
  <c r="AQ290" i="17"/>
  <c r="AI290" i="17"/>
  <c r="AA290" i="17"/>
  <c r="S290" i="17"/>
  <c r="AS288" i="17"/>
  <c r="AK288" i="17"/>
  <c r="AC288" i="17"/>
  <c r="U288" i="17"/>
  <c r="AP287" i="17"/>
  <c r="AH287" i="17"/>
  <c r="Z287" i="17"/>
  <c r="AR285" i="17"/>
  <c r="AJ285" i="17"/>
  <c r="AB285" i="17"/>
  <c r="T285" i="17"/>
  <c r="AL283" i="17"/>
  <c r="AD283" i="17"/>
  <c r="V283" i="17"/>
  <c r="AQ282" i="17"/>
  <c r="AI282" i="17"/>
  <c r="AA282" i="17"/>
  <c r="S282" i="17"/>
  <c r="AS280" i="17"/>
  <c r="AK280" i="17"/>
  <c r="AC280" i="17"/>
  <c r="U280" i="17"/>
  <c r="L280" i="17"/>
  <c r="AN279" i="17"/>
  <c r="AE279" i="17"/>
  <c r="V279" i="17"/>
  <c r="L279" i="17"/>
  <c r="AN278" i="17"/>
  <c r="AE278" i="17"/>
  <c r="V278" i="17"/>
  <c r="M278" i="17"/>
  <c r="AP277" i="17"/>
  <c r="AG277" i="17"/>
  <c r="X277" i="17"/>
  <c r="N277" i="17"/>
  <c r="AP276" i="17"/>
  <c r="AG276" i="17"/>
  <c r="X276" i="17"/>
  <c r="O276" i="17"/>
  <c r="AR273" i="17"/>
  <c r="AF273" i="17"/>
  <c r="V273" i="17"/>
  <c r="L273" i="17"/>
  <c r="AM266" i="17"/>
  <c r="Y266" i="17"/>
  <c r="K266" i="17"/>
  <c r="AP263" i="17"/>
  <c r="AE263" i="17"/>
  <c r="Q263" i="17"/>
  <c r="AO260" i="17"/>
  <c r="AD260" i="17"/>
  <c r="P260" i="17"/>
  <c r="AI258" i="17"/>
  <c r="X258" i="17"/>
  <c r="AO255" i="17"/>
  <c r="AD255" i="17"/>
  <c r="P255" i="17"/>
  <c r="AP253" i="17"/>
  <c r="AB253" i="17"/>
  <c r="Q253" i="17"/>
  <c r="AN252" i="17"/>
  <c r="AC252" i="17"/>
  <c r="O252" i="17"/>
  <c r="L250" i="17"/>
  <c r="T250" i="17"/>
  <c r="AB250" i="17"/>
  <c r="AJ250" i="17"/>
  <c r="AR250" i="17"/>
  <c r="M250" i="17"/>
  <c r="U250" i="17"/>
  <c r="AC250" i="17"/>
  <c r="AK250" i="17"/>
  <c r="AS250" i="17"/>
  <c r="N250" i="17"/>
  <c r="V250" i="17"/>
  <c r="AD250" i="17"/>
  <c r="AL250" i="17"/>
  <c r="AI248" i="17"/>
  <c r="U248" i="17"/>
  <c r="AO245" i="17"/>
  <c r="AA245" i="17"/>
  <c r="P245" i="17"/>
  <c r="AM244" i="17"/>
  <c r="Y244" i="17"/>
  <c r="N244" i="17"/>
  <c r="AS240" i="17"/>
  <c r="AG240" i="17"/>
  <c r="Q240" i="17"/>
  <c r="AQ239" i="17"/>
  <c r="AA239" i="17"/>
  <c r="K239" i="17"/>
  <c r="AO236" i="17"/>
  <c r="Y236" i="17"/>
  <c r="AR234" i="17"/>
  <c r="AB234" i="17"/>
  <c r="O234" i="17"/>
  <c r="AS232" i="17"/>
  <c r="AC232" i="17"/>
  <c r="P232" i="17"/>
  <c r="AL231" i="17"/>
  <c r="Z231" i="17"/>
  <c r="AE230" i="17"/>
  <c r="R230" i="17"/>
  <c r="AS227" i="17"/>
  <c r="AC227" i="17"/>
  <c r="P227" i="17"/>
  <c r="P226" i="17"/>
  <c r="X226" i="17"/>
  <c r="AF226" i="17"/>
  <c r="AN226" i="17"/>
  <c r="L226" i="17"/>
  <c r="U226" i="17"/>
  <c r="AD226" i="17"/>
  <c r="AM226" i="17"/>
  <c r="M226" i="17"/>
  <c r="V226" i="17"/>
  <c r="AE226" i="17"/>
  <c r="AO226" i="17"/>
  <c r="N226" i="17"/>
  <c r="W226" i="17"/>
  <c r="AG226" i="17"/>
  <c r="AP226" i="17"/>
  <c r="AD225" i="17"/>
  <c r="Q225" i="17"/>
  <c r="AL224" i="17"/>
  <c r="Y224" i="17"/>
  <c r="AN222" i="17"/>
  <c r="AA222" i="17"/>
  <c r="K222" i="17"/>
  <c r="AS220" i="17"/>
  <c r="AC220" i="17"/>
  <c r="Q220" i="17"/>
  <c r="K219" i="17"/>
  <c r="S219" i="17"/>
  <c r="AA219" i="17"/>
  <c r="AI219" i="17"/>
  <c r="AQ219" i="17"/>
  <c r="M219" i="17"/>
  <c r="V219" i="17"/>
  <c r="AE219" i="17"/>
  <c r="AN219" i="17"/>
  <c r="N219" i="17"/>
  <c r="W219" i="17"/>
  <c r="AF219" i="17"/>
  <c r="AO219" i="17"/>
  <c r="O219" i="17"/>
  <c r="X219" i="17"/>
  <c r="AG219" i="17"/>
  <c r="AP219" i="17"/>
  <c r="AF216" i="17"/>
  <c r="Q216" i="17"/>
  <c r="L214" i="17"/>
  <c r="T214" i="17"/>
  <c r="AB214" i="17"/>
  <c r="AJ214" i="17"/>
  <c r="AR214" i="17"/>
  <c r="M214" i="17"/>
  <c r="U214" i="17"/>
  <c r="AC214" i="17"/>
  <c r="AK214" i="17"/>
  <c r="AS214" i="17"/>
  <c r="O214" i="17"/>
  <c r="Y214" i="17"/>
  <c r="AI214" i="17"/>
  <c r="P214" i="17"/>
  <c r="Z214" i="17"/>
  <c r="AL214" i="17"/>
  <c r="Q214" i="17"/>
  <c r="AA214" i="17"/>
  <c r="AM214" i="17"/>
  <c r="AE211" i="17"/>
  <c r="P211" i="17"/>
  <c r="AI210" i="17"/>
  <c r="R210" i="17"/>
  <c r="AI209" i="17"/>
  <c r="Q209" i="17"/>
  <c r="AI208" i="17"/>
  <c r="L208" i="17"/>
  <c r="AF207" i="17"/>
  <c r="K207" i="17"/>
  <c r="AQ202" i="17"/>
  <c r="T202" i="17"/>
  <c r="AK201" i="17"/>
  <c r="T201" i="17"/>
  <c r="AK200" i="17"/>
  <c r="T200" i="17"/>
  <c r="AH199" i="17"/>
  <c r="AM196" i="17"/>
  <c r="O196" i="17"/>
  <c r="AL194" i="17"/>
  <c r="AP192" i="17"/>
  <c r="U192" i="17"/>
  <c r="AO189" i="17"/>
  <c r="T189" i="17"/>
  <c r="AJ184" i="17"/>
  <c r="AP181" i="17"/>
  <c r="Q181" i="17"/>
  <c r="AA179" i="17"/>
  <c r="K175" i="17"/>
  <c r="S175" i="17"/>
  <c r="AA175" i="17"/>
  <c r="AI175" i="17"/>
  <c r="AQ175" i="17"/>
  <c r="L175" i="17"/>
  <c r="T175" i="17"/>
  <c r="AB175" i="17"/>
  <c r="AJ175" i="17"/>
  <c r="AR175" i="17"/>
  <c r="N175" i="17"/>
  <c r="X175" i="17"/>
  <c r="AH175" i="17"/>
  <c r="O175" i="17"/>
  <c r="Y175" i="17"/>
  <c r="AK175" i="17"/>
  <c r="P175" i="17"/>
  <c r="Z175" i="17"/>
  <c r="AL175" i="17"/>
  <c r="U175" i="17"/>
  <c r="AM175" i="17"/>
  <c r="V175" i="17"/>
  <c r="AN175" i="17"/>
  <c r="W175" i="17"/>
  <c r="AO175" i="17"/>
  <c r="AO172" i="17"/>
  <c r="L172" i="17"/>
  <c r="V170" i="17"/>
  <c r="N160" i="17"/>
  <c r="V160" i="17"/>
  <c r="AD160" i="17"/>
  <c r="AL160" i="17"/>
  <c r="O160" i="17"/>
  <c r="W160" i="17"/>
  <c r="AE160" i="17"/>
  <c r="AM160" i="17"/>
  <c r="M160" i="17"/>
  <c r="Y160" i="17"/>
  <c r="AI160" i="17"/>
  <c r="AS160" i="17"/>
  <c r="P160" i="17"/>
  <c r="Z160" i="17"/>
  <c r="AJ160" i="17"/>
  <c r="Q160" i="17"/>
  <c r="AA160" i="17"/>
  <c r="AK160" i="17"/>
  <c r="AB160" i="17"/>
  <c r="AQ160" i="17"/>
  <c r="K160" i="17"/>
  <c r="AC160" i="17"/>
  <c r="AR160" i="17"/>
  <c r="L160" i="17"/>
  <c r="AF160" i="17"/>
  <c r="Y154" i="17"/>
  <c r="V150" i="17"/>
  <c r="W142" i="17"/>
  <c r="M127" i="17"/>
  <c r="U127" i="17"/>
  <c r="AC127" i="17"/>
  <c r="AK127" i="17"/>
  <c r="AS127" i="17"/>
  <c r="N127" i="17"/>
  <c r="V127" i="17"/>
  <c r="AD127" i="17"/>
  <c r="AL127" i="17"/>
  <c r="O127" i="17"/>
  <c r="W127" i="17"/>
  <c r="AE127" i="17"/>
  <c r="AM127" i="17"/>
  <c r="R127" i="17"/>
  <c r="AF127" i="17"/>
  <c r="AQ127" i="17"/>
  <c r="S127" i="17"/>
  <c r="AG127" i="17"/>
  <c r="AR127" i="17"/>
  <c r="Q127" i="17"/>
  <c r="AI127" i="17"/>
  <c r="T127" i="17"/>
  <c r="AJ127" i="17"/>
  <c r="X127" i="17"/>
  <c r="AN127" i="17"/>
  <c r="L127" i="17"/>
  <c r="AP127" i="17"/>
  <c r="P127" i="17"/>
  <c r="Y127" i="17"/>
  <c r="AA122" i="17"/>
  <c r="O121" i="17"/>
  <c r="AJ114" i="17"/>
  <c r="X113" i="17"/>
  <c r="Y103" i="17"/>
  <c r="P102" i="17"/>
  <c r="AI91" i="17"/>
  <c r="AD90" i="17"/>
  <c r="P89" i="17"/>
  <c r="AK87" i="17"/>
  <c r="S72" i="17"/>
  <c r="AA63" i="17"/>
  <c r="AG57" i="17"/>
  <c r="AP270" i="17"/>
  <c r="AH270" i="17"/>
  <c r="Z270" i="17"/>
  <c r="AQ265" i="17"/>
  <c r="AI265" i="17"/>
  <c r="AA265" i="17"/>
  <c r="S265" i="17"/>
  <c r="K265" i="17"/>
  <c r="AP262" i="17"/>
  <c r="AH262" i="17"/>
  <c r="Z262" i="17"/>
  <c r="AQ257" i="17"/>
  <c r="AI257" i="17"/>
  <c r="AA257" i="17"/>
  <c r="S257" i="17"/>
  <c r="K257" i="17"/>
  <c r="AP254" i="17"/>
  <c r="AH254" i="17"/>
  <c r="Z254" i="17"/>
  <c r="AQ249" i="17"/>
  <c r="AI249" i="17"/>
  <c r="AA249" i="17"/>
  <c r="S249" i="17"/>
  <c r="AP246" i="17"/>
  <c r="AH246" i="17"/>
  <c r="Z246" i="17"/>
  <c r="R246" i="17"/>
  <c r="AQ241" i="17"/>
  <c r="AI241" i="17"/>
  <c r="AA241" i="17"/>
  <c r="S241" i="17"/>
  <c r="AQ217" i="17"/>
  <c r="AG217" i="17"/>
  <c r="W217" i="17"/>
  <c r="N212" i="17"/>
  <c r="V212" i="17"/>
  <c r="AD212" i="17"/>
  <c r="AL212" i="17"/>
  <c r="O212" i="17"/>
  <c r="W212" i="17"/>
  <c r="AE212" i="17"/>
  <c r="AM212" i="17"/>
  <c r="AO197" i="17"/>
  <c r="Y197" i="17"/>
  <c r="AL187" i="17"/>
  <c r="AS171" i="17"/>
  <c r="K167" i="17"/>
  <c r="S167" i="17"/>
  <c r="AA167" i="17"/>
  <c r="AI167" i="17"/>
  <c r="AQ167" i="17"/>
  <c r="L167" i="17"/>
  <c r="T167" i="17"/>
  <c r="AB167" i="17"/>
  <c r="AJ167" i="17"/>
  <c r="AR167" i="17"/>
  <c r="V167" i="17"/>
  <c r="AF167" i="17"/>
  <c r="AP167" i="17"/>
  <c r="M167" i="17"/>
  <c r="W167" i="17"/>
  <c r="AG167" i="17"/>
  <c r="AS167" i="17"/>
  <c r="N167" i="17"/>
  <c r="X167" i="17"/>
  <c r="AH167" i="17"/>
  <c r="R164" i="17"/>
  <c r="Z164" i="17"/>
  <c r="AH164" i="17"/>
  <c r="AP164" i="17"/>
  <c r="K164" i="17"/>
  <c r="S164" i="17"/>
  <c r="AA164" i="17"/>
  <c r="AI164" i="17"/>
  <c r="AQ164" i="17"/>
  <c r="L164" i="17"/>
  <c r="V164" i="17"/>
  <c r="AF164" i="17"/>
  <c r="AR164" i="17"/>
  <c r="M164" i="17"/>
  <c r="W164" i="17"/>
  <c r="AG164" i="17"/>
  <c r="AS164" i="17"/>
  <c r="N164" i="17"/>
  <c r="X164" i="17"/>
  <c r="AJ164" i="17"/>
  <c r="O138" i="17"/>
  <c r="W138" i="17"/>
  <c r="AE138" i="17"/>
  <c r="AM138" i="17"/>
  <c r="P138" i="17"/>
  <c r="X138" i="17"/>
  <c r="AF138" i="17"/>
  <c r="AN138" i="17"/>
  <c r="Q138" i="17"/>
  <c r="AA138" i="17"/>
  <c r="AK138" i="17"/>
  <c r="R138" i="17"/>
  <c r="AB138" i="17"/>
  <c r="AL138" i="17"/>
  <c r="L138" i="17"/>
  <c r="Z138" i="17"/>
  <c r="AP138" i="17"/>
  <c r="M138" i="17"/>
  <c r="AC138" i="17"/>
  <c r="AQ138" i="17"/>
  <c r="N138" i="17"/>
  <c r="AD138" i="17"/>
  <c r="AR138" i="17"/>
  <c r="K129" i="17"/>
  <c r="S129" i="17"/>
  <c r="L129" i="17"/>
  <c r="T129" i="17"/>
  <c r="AB129" i="17"/>
  <c r="AJ129" i="17"/>
  <c r="AR129" i="17"/>
  <c r="M129" i="17"/>
  <c r="U129" i="17"/>
  <c r="AC129" i="17"/>
  <c r="AK129" i="17"/>
  <c r="AS129" i="17"/>
  <c r="Q129" i="17"/>
  <c r="AD129" i="17"/>
  <c r="AN129" i="17"/>
  <c r="R129" i="17"/>
  <c r="AE129" i="17"/>
  <c r="AO129" i="17"/>
  <c r="N129" i="17"/>
  <c r="AA129" i="17"/>
  <c r="AQ129" i="17"/>
  <c r="O129" i="17"/>
  <c r="AF129" i="17"/>
  <c r="P129" i="17"/>
  <c r="AG129" i="17"/>
  <c r="AP97" i="17"/>
  <c r="O97" i="17"/>
  <c r="AP265" i="17"/>
  <c r="AH265" i="17"/>
  <c r="Z265" i="17"/>
  <c r="AP257" i="17"/>
  <c r="AH257" i="17"/>
  <c r="Z257" i="17"/>
  <c r="O187" i="17"/>
  <c r="W187" i="17"/>
  <c r="AE187" i="17"/>
  <c r="AM187" i="17"/>
  <c r="P187" i="17"/>
  <c r="X187" i="17"/>
  <c r="AF187" i="17"/>
  <c r="AN187" i="17"/>
  <c r="N187" i="17"/>
  <c r="Z187" i="17"/>
  <c r="AJ187" i="17"/>
  <c r="Q187" i="17"/>
  <c r="AA187" i="17"/>
  <c r="AK187" i="17"/>
  <c r="O171" i="17"/>
  <c r="W171" i="17"/>
  <c r="AE171" i="17"/>
  <c r="AM171" i="17"/>
  <c r="P171" i="17"/>
  <c r="X171" i="17"/>
  <c r="AF171" i="17"/>
  <c r="AN171" i="17"/>
  <c r="T171" i="17"/>
  <c r="AD171" i="17"/>
  <c r="AP171" i="17"/>
  <c r="K171" i="17"/>
  <c r="U171" i="17"/>
  <c r="AG171" i="17"/>
  <c r="AQ171" i="17"/>
  <c r="L171" i="17"/>
  <c r="V171" i="17"/>
  <c r="AH171" i="17"/>
  <c r="AR171" i="17"/>
  <c r="M52" i="17"/>
  <c r="U52" i="17"/>
  <c r="AC52" i="17"/>
  <c r="AK52" i="17"/>
  <c r="AS52" i="17"/>
  <c r="N52" i="17"/>
  <c r="V52" i="17"/>
  <c r="AD52" i="17"/>
  <c r="AL52" i="17"/>
  <c r="P52" i="17"/>
  <c r="Z52" i="17"/>
  <c r="AJ52" i="17"/>
  <c r="Q52" i="17"/>
  <c r="AA52" i="17"/>
  <c r="AM52" i="17"/>
  <c r="R52" i="17"/>
  <c r="AB52" i="17"/>
  <c r="AN52" i="17"/>
  <c r="K52" i="17"/>
  <c r="AE52" i="17"/>
  <c r="AR52" i="17"/>
  <c r="L52" i="17"/>
  <c r="AF52" i="17"/>
  <c r="O52" i="17"/>
  <c r="AG52" i="17"/>
  <c r="AO52" i="17"/>
  <c r="S52" i="17"/>
  <c r="AP52" i="17"/>
  <c r="Y52" i="17"/>
  <c r="AH52" i="17"/>
  <c r="AI52" i="17"/>
  <c r="R46" i="17"/>
  <c r="Z46" i="17"/>
  <c r="AH46" i="17"/>
  <c r="AP46" i="17"/>
  <c r="K46" i="17"/>
  <c r="S46" i="17"/>
  <c r="AA46" i="17"/>
  <c r="AI46" i="17"/>
  <c r="AQ46" i="17"/>
  <c r="L46" i="17"/>
  <c r="T46" i="17"/>
  <c r="AB46" i="17"/>
  <c r="AJ46" i="17"/>
  <c r="AR46" i="17"/>
  <c r="W46" i="17"/>
  <c r="AK46" i="17"/>
  <c r="M46" i="17"/>
  <c r="X46" i="17"/>
  <c r="AL46" i="17"/>
  <c r="N46" i="17"/>
  <c r="Y46" i="17"/>
  <c r="AM46" i="17"/>
  <c r="U46" i="17"/>
  <c r="AO46" i="17"/>
  <c r="V46" i="17"/>
  <c r="AS46" i="17"/>
  <c r="AC46" i="17"/>
  <c r="AN46" i="17"/>
  <c r="O46" i="17"/>
  <c r="P46" i="17"/>
  <c r="Q46" i="17"/>
  <c r="N42" i="17"/>
  <c r="V42" i="17"/>
  <c r="AD42" i="17"/>
  <c r="AL42" i="17"/>
  <c r="O42" i="17"/>
  <c r="W42" i="17"/>
  <c r="AE42" i="17"/>
  <c r="AM42" i="17"/>
  <c r="P42" i="17"/>
  <c r="X42" i="17"/>
  <c r="AF42" i="17"/>
  <c r="AN42" i="17"/>
  <c r="K42" i="17"/>
  <c r="Y42" i="17"/>
  <c r="AJ42" i="17"/>
  <c r="L42" i="17"/>
  <c r="Z42" i="17"/>
  <c r="AK42" i="17"/>
  <c r="M42" i="17"/>
  <c r="AA42" i="17"/>
  <c r="AO42" i="17"/>
  <c r="T42" i="17"/>
  <c r="AQ42" i="17"/>
  <c r="U42" i="17"/>
  <c r="AR42" i="17"/>
  <c r="AB42" i="17"/>
  <c r="AS42" i="17"/>
  <c r="AG42" i="17"/>
  <c r="AH42" i="17"/>
  <c r="S42" i="17"/>
  <c r="AC42" i="17"/>
  <c r="AI42" i="17"/>
  <c r="AN246" i="17"/>
  <c r="AF246" i="17"/>
  <c r="X246" i="17"/>
  <c r="M217" i="17"/>
  <c r="U217" i="17"/>
  <c r="AC217" i="17"/>
  <c r="AK217" i="17"/>
  <c r="AS217" i="17"/>
  <c r="N217" i="17"/>
  <c r="V217" i="17"/>
  <c r="AD217" i="17"/>
  <c r="AL217" i="17"/>
  <c r="M197" i="17"/>
  <c r="U197" i="17"/>
  <c r="AC197" i="17"/>
  <c r="AK197" i="17"/>
  <c r="AS197" i="17"/>
  <c r="N197" i="17"/>
  <c r="V197" i="17"/>
  <c r="AD197" i="17"/>
  <c r="AL197" i="17"/>
  <c r="Q197" i="17"/>
  <c r="AA197" i="17"/>
  <c r="AM197" i="17"/>
  <c r="R197" i="17"/>
  <c r="AB197" i="17"/>
  <c r="AN197" i="17"/>
  <c r="AH187" i="17"/>
  <c r="T187" i="17"/>
  <c r="AL171" i="17"/>
  <c r="Y171" i="17"/>
  <c r="R139" i="17"/>
  <c r="Z139" i="17"/>
  <c r="AH139" i="17"/>
  <c r="AP139" i="17"/>
  <c r="K139" i="17"/>
  <c r="S139" i="17"/>
  <c r="AA139" i="17"/>
  <c r="AI139" i="17"/>
  <c r="AQ139" i="17"/>
  <c r="U139" i="17"/>
  <c r="AE139" i="17"/>
  <c r="AO139" i="17"/>
  <c r="L139" i="17"/>
  <c r="V139" i="17"/>
  <c r="AF139" i="17"/>
  <c r="AR139" i="17"/>
  <c r="O139" i="17"/>
  <c r="AC139" i="17"/>
  <c r="AS139" i="17"/>
  <c r="P139" i="17"/>
  <c r="AD139" i="17"/>
  <c r="Q139" i="17"/>
  <c r="AG139" i="17"/>
  <c r="K97" i="17"/>
  <c r="S97" i="17"/>
  <c r="AA97" i="17"/>
  <c r="AI97" i="17"/>
  <c r="AQ97" i="17"/>
  <c r="L97" i="17"/>
  <c r="T97" i="17"/>
  <c r="AB97" i="17"/>
  <c r="AJ97" i="17"/>
  <c r="AR97" i="17"/>
  <c r="M97" i="17"/>
  <c r="U97" i="17"/>
  <c r="AC97" i="17"/>
  <c r="AK97" i="17"/>
  <c r="AS97" i="17"/>
  <c r="X97" i="17"/>
  <c r="AL97" i="17"/>
  <c r="N97" i="17"/>
  <c r="Y97" i="17"/>
  <c r="AM97" i="17"/>
  <c r="P97" i="17"/>
  <c r="AF97" i="17"/>
  <c r="Q97" i="17"/>
  <c r="AG97" i="17"/>
  <c r="R97" i="17"/>
  <c r="AH97" i="17"/>
  <c r="K92" i="17"/>
  <c r="L92" i="17"/>
  <c r="T92" i="17"/>
  <c r="AB92" i="17"/>
  <c r="AJ92" i="17"/>
  <c r="AR92" i="17"/>
  <c r="M92" i="17"/>
  <c r="U92" i="17"/>
  <c r="AC92" i="17"/>
  <c r="AK92" i="17"/>
  <c r="AS92" i="17"/>
  <c r="N92" i="17"/>
  <c r="V92" i="17"/>
  <c r="AD92" i="17"/>
  <c r="AL92" i="17"/>
  <c r="Q92" i="17"/>
  <c r="AE92" i="17"/>
  <c r="AP92" i="17"/>
  <c r="R92" i="17"/>
  <c r="AF92" i="17"/>
  <c r="AQ92" i="17"/>
  <c r="W92" i="17"/>
  <c r="AM92" i="17"/>
  <c r="X92" i="17"/>
  <c r="AN92" i="17"/>
  <c r="Y92" i="17"/>
  <c r="AO92" i="17"/>
  <c r="R180" i="17"/>
  <c r="Z180" i="17"/>
  <c r="AH180" i="17"/>
  <c r="AP180" i="17"/>
  <c r="K180" i="17"/>
  <c r="S180" i="17"/>
  <c r="AA180" i="17"/>
  <c r="AI180" i="17"/>
  <c r="AQ180" i="17"/>
  <c r="L178" i="17"/>
  <c r="T178" i="17"/>
  <c r="AB178" i="17"/>
  <c r="AJ178" i="17"/>
  <c r="AR178" i="17"/>
  <c r="M178" i="17"/>
  <c r="U178" i="17"/>
  <c r="AC178" i="17"/>
  <c r="AK178" i="17"/>
  <c r="AS178" i="17"/>
  <c r="N168" i="17"/>
  <c r="V168" i="17"/>
  <c r="AD168" i="17"/>
  <c r="AL168" i="17"/>
  <c r="O168" i="17"/>
  <c r="W168" i="17"/>
  <c r="AE168" i="17"/>
  <c r="AM168" i="17"/>
  <c r="M165" i="17"/>
  <c r="U165" i="17"/>
  <c r="AC165" i="17"/>
  <c r="AK165" i="17"/>
  <c r="AS165" i="17"/>
  <c r="N165" i="17"/>
  <c r="V165" i="17"/>
  <c r="AD165" i="17"/>
  <c r="AL165" i="17"/>
  <c r="N156" i="17"/>
  <c r="V156" i="17"/>
  <c r="AD156" i="17"/>
  <c r="AL156" i="17"/>
  <c r="O156" i="17"/>
  <c r="X156" i="17"/>
  <c r="AG156" i="17"/>
  <c r="AP156" i="17"/>
  <c r="P156" i="17"/>
  <c r="Y156" i="17"/>
  <c r="AH156" i="17"/>
  <c r="AQ156" i="17"/>
  <c r="K155" i="17"/>
  <c r="S155" i="17"/>
  <c r="AA155" i="17"/>
  <c r="AI155" i="17"/>
  <c r="AQ155" i="17"/>
  <c r="O155" i="17"/>
  <c r="X155" i="17"/>
  <c r="AG155" i="17"/>
  <c r="AP155" i="17"/>
  <c r="P155" i="17"/>
  <c r="Y155" i="17"/>
  <c r="AH155" i="17"/>
  <c r="AR155" i="17"/>
  <c r="N151" i="17"/>
  <c r="V151" i="17"/>
  <c r="AD151" i="17"/>
  <c r="AL151" i="17"/>
  <c r="O151" i="17"/>
  <c r="W151" i="17"/>
  <c r="AE151" i="17"/>
  <c r="AM151" i="17"/>
  <c r="L151" i="17"/>
  <c r="X151" i="17"/>
  <c r="AH151" i="17"/>
  <c r="AR151" i="17"/>
  <c r="M151" i="17"/>
  <c r="Y151" i="17"/>
  <c r="AI151" i="17"/>
  <c r="AS151" i="17"/>
  <c r="R147" i="17"/>
  <c r="Z147" i="17"/>
  <c r="AH147" i="17"/>
  <c r="AP147" i="17"/>
  <c r="K147" i="17"/>
  <c r="S147" i="17"/>
  <c r="AA147" i="17"/>
  <c r="AI147" i="17"/>
  <c r="AQ147" i="17"/>
  <c r="M147" i="17"/>
  <c r="W147" i="17"/>
  <c r="AG147" i="17"/>
  <c r="AS147" i="17"/>
  <c r="N147" i="17"/>
  <c r="X147" i="17"/>
  <c r="AJ147" i="17"/>
  <c r="K134" i="17"/>
  <c r="S134" i="17"/>
  <c r="AA134" i="17"/>
  <c r="AI134" i="17"/>
  <c r="AQ134" i="17"/>
  <c r="L134" i="17"/>
  <c r="T134" i="17"/>
  <c r="AB134" i="17"/>
  <c r="AJ134" i="17"/>
  <c r="AR134" i="17"/>
  <c r="M134" i="17"/>
  <c r="W134" i="17"/>
  <c r="AG134" i="17"/>
  <c r="AS134" i="17"/>
  <c r="N134" i="17"/>
  <c r="X134" i="17"/>
  <c r="AH134" i="17"/>
  <c r="R126" i="17"/>
  <c r="Z126" i="17"/>
  <c r="AH126" i="17"/>
  <c r="AP126" i="17"/>
  <c r="K126" i="17"/>
  <c r="S126" i="17"/>
  <c r="AA126" i="17"/>
  <c r="AI126" i="17"/>
  <c r="AQ126" i="17"/>
  <c r="L126" i="17"/>
  <c r="T126" i="17"/>
  <c r="AB126" i="17"/>
  <c r="AJ126" i="17"/>
  <c r="AR126" i="17"/>
  <c r="P126" i="17"/>
  <c r="AD126" i="17"/>
  <c r="AO126" i="17"/>
  <c r="Q126" i="17"/>
  <c r="AE126" i="17"/>
  <c r="AS126" i="17"/>
  <c r="M111" i="17"/>
  <c r="U111" i="17"/>
  <c r="AC111" i="17"/>
  <c r="AK111" i="17"/>
  <c r="AS111" i="17"/>
  <c r="N111" i="17"/>
  <c r="V111" i="17"/>
  <c r="AD111" i="17"/>
  <c r="AL111" i="17"/>
  <c r="O111" i="17"/>
  <c r="W111" i="17"/>
  <c r="AE111" i="17"/>
  <c r="AM111" i="17"/>
  <c r="P111" i="17"/>
  <c r="AA111" i="17"/>
  <c r="AO111" i="17"/>
  <c r="Q111" i="17"/>
  <c r="AB111" i="17"/>
  <c r="AP111" i="17"/>
  <c r="M95" i="17"/>
  <c r="U95" i="17"/>
  <c r="AC95" i="17"/>
  <c r="AK95" i="17"/>
  <c r="AS95" i="17"/>
  <c r="N95" i="17"/>
  <c r="V95" i="17"/>
  <c r="AD95" i="17"/>
  <c r="AL95" i="17"/>
  <c r="O95" i="17"/>
  <c r="W95" i="17"/>
  <c r="AE95" i="17"/>
  <c r="AM95" i="17"/>
  <c r="K95" i="17"/>
  <c r="Y95" i="17"/>
  <c r="AJ95" i="17"/>
  <c r="L95" i="17"/>
  <c r="Z95" i="17"/>
  <c r="AN95" i="17"/>
  <c r="R51" i="17"/>
  <c r="Z51" i="17"/>
  <c r="AH51" i="17"/>
  <c r="AP51" i="17"/>
  <c r="K51" i="17"/>
  <c r="S51" i="17"/>
  <c r="AA51" i="17"/>
  <c r="AI51" i="17"/>
  <c r="AQ51" i="17"/>
  <c r="U51" i="17"/>
  <c r="AE51" i="17"/>
  <c r="AO51" i="17"/>
  <c r="L51" i="17"/>
  <c r="V51" i="17"/>
  <c r="AF51" i="17"/>
  <c r="AR51" i="17"/>
  <c r="M51" i="17"/>
  <c r="W51" i="17"/>
  <c r="AG51" i="17"/>
  <c r="AS51" i="17"/>
  <c r="O51" i="17"/>
  <c r="AD51" i="17"/>
  <c r="P51" i="17"/>
  <c r="AJ51" i="17"/>
  <c r="Q51" i="17"/>
  <c r="AK51" i="17"/>
  <c r="X51" i="17"/>
  <c r="Y51" i="17"/>
  <c r="O195" i="17"/>
  <c r="W195" i="17"/>
  <c r="AE195" i="17"/>
  <c r="AM195" i="17"/>
  <c r="P195" i="17"/>
  <c r="X195" i="17"/>
  <c r="AF195" i="17"/>
  <c r="AN195" i="17"/>
  <c r="K191" i="17"/>
  <c r="S191" i="17"/>
  <c r="AA191" i="17"/>
  <c r="AI191" i="17"/>
  <c r="AQ191" i="17"/>
  <c r="L191" i="17"/>
  <c r="T191" i="17"/>
  <c r="AB191" i="17"/>
  <c r="AJ191" i="17"/>
  <c r="AR191" i="17"/>
  <c r="AM180" i="17"/>
  <c r="AC180" i="17"/>
  <c r="Q180" i="17"/>
  <c r="AN178" i="17"/>
  <c r="AD178" i="17"/>
  <c r="R178" i="17"/>
  <c r="AN168" i="17"/>
  <c r="AB168" i="17"/>
  <c r="R168" i="17"/>
  <c r="AN165" i="17"/>
  <c r="AB165" i="17"/>
  <c r="R165" i="17"/>
  <c r="O163" i="17"/>
  <c r="W163" i="17"/>
  <c r="AE163" i="17"/>
  <c r="AM163" i="17"/>
  <c r="P163" i="17"/>
  <c r="X163" i="17"/>
  <c r="AF163" i="17"/>
  <c r="AN163" i="17"/>
  <c r="K159" i="17"/>
  <c r="S159" i="17"/>
  <c r="AA159" i="17"/>
  <c r="AI159" i="17"/>
  <c r="AQ159" i="17"/>
  <c r="L159" i="17"/>
  <c r="T159" i="17"/>
  <c r="AB159" i="17"/>
  <c r="AJ159" i="17"/>
  <c r="AR159" i="17"/>
  <c r="AR156" i="17"/>
  <c r="AE156" i="17"/>
  <c r="S156" i="17"/>
  <c r="AS155" i="17"/>
  <c r="AE155" i="17"/>
  <c r="T155" i="17"/>
  <c r="AJ151" i="17"/>
  <c r="T151" i="17"/>
  <c r="AK147" i="17"/>
  <c r="U147" i="17"/>
  <c r="N143" i="17"/>
  <c r="V143" i="17"/>
  <c r="AD143" i="17"/>
  <c r="AL143" i="17"/>
  <c r="O143" i="17"/>
  <c r="W143" i="17"/>
  <c r="AE143" i="17"/>
  <c r="AM143" i="17"/>
  <c r="T143" i="17"/>
  <c r="AF143" i="17"/>
  <c r="AP143" i="17"/>
  <c r="K143" i="17"/>
  <c r="U143" i="17"/>
  <c r="AG143" i="17"/>
  <c r="AQ143" i="17"/>
  <c r="M140" i="17"/>
  <c r="U140" i="17"/>
  <c r="AC140" i="17"/>
  <c r="AK140" i="17"/>
  <c r="AS140" i="17"/>
  <c r="N140" i="17"/>
  <c r="V140" i="17"/>
  <c r="AD140" i="17"/>
  <c r="AL140" i="17"/>
  <c r="P140" i="17"/>
  <c r="Z140" i="17"/>
  <c r="AJ140" i="17"/>
  <c r="Q140" i="17"/>
  <c r="AA140" i="17"/>
  <c r="AM140" i="17"/>
  <c r="L137" i="17"/>
  <c r="T137" i="17"/>
  <c r="AB137" i="17"/>
  <c r="AJ137" i="17"/>
  <c r="AR137" i="17"/>
  <c r="M137" i="17"/>
  <c r="U137" i="17"/>
  <c r="AC137" i="17"/>
  <c r="AK137" i="17"/>
  <c r="AS137" i="17"/>
  <c r="V137" i="17"/>
  <c r="AF137" i="17"/>
  <c r="AP137" i="17"/>
  <c r="K137" i="17"/>
  <c r="W137" i="17"/>
  <c r="AG137" i="17"/>
  <c r="AQ137" i="17"/>
  <c r="AL134" i="17"/>
  <c r="V134" i="17"/>
  <c r="O130" i="17"/>
  <c r="W130" i="17"/>
  <c r="AE130" i="17"/>
  <c r="AM130" i="17"/>
  <c r="P130" i="17"/>
  <c r="X130" i="17"/>
  <c r="AF130" i="17"/>
  <c r="AN130" i="17"/>
  <c r="M130" i="17"/>
  <c r="Y130" i="17"/>
  <c r="AI130" i="17"/>
  <c r="AS130" i="17"/>
  <c r="N130" i="17"/>
  <c r="Z130" i="17"/>
  <c r="AJ130" i="17"/>
  <c r="AM126" i="17"/>
  <c r="W126" i="17"/>
  <c r="M119" i="17"/>
  <c r="U119" i="17"/>
  <c r="AC119" i="17"/>
  <c r="AK119" i="17"/>
  <c r="AS119" i="17"/>
  <c r="N119" i="17"/>
  <c r="V119" i="17"/>
  <c r="AD119" i="17"/>
  <c r="AL119" i="17"/>
  <c r="O119" i="17"/>
  <c r="W119" i="17"/>
  <c r="AE119" i="17"/>
  <c r="AM119" i="17"/>
  <c r="Q119" i="17"/>
  <c r="AB119" i="17"/>
  <c r="AP119" i="17"/>
  <c r="R119" i="17"/>
  <c r="AF119" i="17"/>
  <c r="AQ119" i="17"/>
  <c r="AN111" i="17"/>
  <c r="X111" i="17"/>
  <c r="R110" i="17"/>
  <c r="Z110" i="17"/>
  <c r="AH110" i="17"/>
  <c r="AP110" i="17"/>
  <c r="K110" i="17"/>
  <c r="S110" i="17"/>
  <c r="AA110" i="17"/>
  <c r="AI110" i="17"/>
  <c r="AQ110" i="17"/>
  <c r="L110" i="17"/>
  <c r="T110" i="17"/>
  <c r="AB110" i="17"/>
  <c r="AJ110" i="17"/>
  <c r="AR110" i="17"/>
  <c r="N110" i="17"/>
  <c r="Y110" i="17"/>
  <c r="AM110" i="17"/>
  <c r="O110" i="17"/>
  <c r="AC110" i="17"/>
  <c r="AN110" i="17"/>
  <c r="AP95" i="17"/>
  <c r="X95" i="17"/>
  <c r="N80" i="17"/>
  <c r="V80" i="17"/>
  <c r="AD80" i="17"/>
  <c r="AL80" i="17"/>
  <c r="O80" i="17"/>
  <c r="W80" i="17"/>
  <c r="AE80" i="17"/>
  <c r="AM80" i="17"/>
  <c r="P80" i="17"/>
  <c r="X80" i="17"/>
  <c r="AF80" i="17"/>
  <c r="AN80" i="17"/>
  <c r="Q80" i="17"/>
  <c r="AB80" i="17"/>
  <c r="AP80" i="17"/>
  <c r="R80" i="17"/>
  <c r="AC80" i="17"/>
  <c r="AQ80" i="17"/>
  <c r="S80" i="17"/>
  <c r="AG80" i="17"/>
  <c r="AR80" i="17"/>
  <c r="T80" i="17"/>
  <c r="AK80" i="17"/>
  <c r="U80" i="17"/>
  <c r="AO80" i="17"/>
  <c r="K67" i="17"/>
  <c r="S67" i="17"/>
  <c r="AA67" i="17"/>
  <c r="AI67" i="17"/>
  <c r="AQ67" i="17"/>
  <c r="O67" i="17"/>
  <c r="X67" i="17"/>
  <c r="AG67" i="17"/>
  <c r="AP67" i="17"/>
  <c r="P67" i="17"/>
  <c r="Y67" i="17"/>
  <c r="AH67" i="17"/>
  <c r="AR67" i="17"/>
  <c r="Q67" i="17"/>
  <c r="Z67" i="17"/>
  <c r="AJ67" i="17"/>
  <c r="AS67" i="17"/>
  <c r="N67" i="17"/>
  <c r="AD67" i="17"/>
  <c r="R67" i="17"/>
  <c r="AE67" i="17"/>
  <c r="T67" i="17"/>
  <c r="AF67" i="17"/>
  <c r="W67" i="17"/>
  <c r="AB67" i="17"/>
  <c r="O66" i="17"/>
  <c r="W66" i="17"/>
  <c r="AE66" i="17"/>
  <c r="AM66" i="17"/>
  <c r="P66" i="17"/>
  <c r="X66" i="17"/>
  <c r="AF66" i="17"/>
  <c r="AN66" i="17"/>
  <c r="K66" i="17"/>
  <c r="U66" i="17"/>
  <c r="AG66" i="17"/>
  <c r="AQ66" i="17"/>
  <c r="L66" i="17"/>
  <c r="V66" i="17"/>
  <c r="AH66" i="17"/>
  <c r="AR66" i="17"/>
  <c r="M66" i="17"/>
  <c r="Y66" i="17"/>
  <c r="AI66" i="17"/>
  <c r="AS66" i="17"/>
  <c r="S66" i="17"/>
  <c r="AK66" i="17"/>
  <c r="T66" i="17"/>
  <c r="AL66" i="17"/>
  <c r="Z66" i="17"/>
  <c r="AO66" i="17"/>
  <c r="AJ66" i="17"/>
  <c r="N66" i="17"/>
  <c r="AP66" i="17"/>
  <c r="AM51" i="17"/>
  <c r="K31" i="17"/>
  <c r="S31" i="17"/>
  <c r="M31" i="17"/>
  <c r="V31" i="17"/>
  <c r="AD31" i="17"/>
  <c r="AL31" i="17"/>
  <c r="O31" i="17"/>
  <c r="X31" i="17"/>
  <c r="AF31" i="17"/>
  <c r="AN31" i="17"/>
  <c r="L31" i="17"/>
  <c r="Y31" i="17"/>
  <c r="AI31" i="17"/>
  <c r="AS31" i="17"/>
  <c r="N31" i="17"/>
  <c r="Z31" i="17"/>
  <c r="AJ31" i="17"/>
  <c r="P31" i="17"/>
  <c r="AA31" i="17"/>
  <c r="AK31" i="17"/>
  <c r="T31" i="17"/>
  <c r="AM31" i="17"/>
  <c r="U31" i="17"/>
  <c r="AO31" i="17"/>
  <c r="W31" i="17"/>
  <c r="AP31" i="17"/>
  <c r="AC31" i="17"/>
  <c r="AE31" i="17"/>
  <c r="AG31" i="17"/>
  <c r="AH31" i="17"/>
  <c r="AQ31" i="17"/>
  <c r="AN218" i="17"/>
  <c r="AF218" i="17"/>
  <c r="X218" i="17"/>
  <c r="AL195" i="17"/>
  <c r="AB195" i="17"/>
  <c r="R195" i="17"/>
  <c r="AN191" i="17"/>
  <c r="AD191" i="17"/>
  <c r="R191" i="17"/>
  <c r="R188" i="17"/>
  <c r="Z188" i="17"/>
  <c r="AH188" i="17"/>
  <c r="AP188" i="17"/>
  <c r="K188" i="17"/>
  <c r="S188" i="17"/>
  <c r="AA188" i="17"/>
  <c r="AI188" i="17"/>
  <c r="AQ188" i="17"/>
  <c r="L186" i="17"/>
  <c r="T186" i="17"/>
  <c r="AB186" i="17"/>
  <c r="AJ186" i="17"/>
  <c r="AR186" i="17"/>
  <c r="M186" i="17"/>
  <c r="U186" i="17"/>
  <c r="AC186" i="17"/>
  <c r="AK186" i="17"/>
  <c r="AS186" i="17"/>
  <c r="AL180" i="17"/>
  <c r="AB180" i="17"/>
  <c r="P180" i="17"/>
  <c r="AM178" i="17"/>
  <c r="AA178" i="17"/>
  <c r="Q178" i="17"/>
  <c r="N176" i="17"/>
  <c r="V176" i="17"/>
  <c r="AD176" i="17"/>
  <c r="AL176" i="17"/>
  <c r="O176" i="17"/>
  <c r="W176" i="17"/>
  <c r="AE176" i="17"/>
  <c r="AM176" i="17"/>
  <c r="M173" i="17"/>
  <c r="U173" i="17"/>
  <c r="AC173" i="17"/>
  <c r="AK173" i="17"/>
  <c r="AS173" i="17"/>
  <c r="N173" i="17"/>
  <c r="V173" i="17"/>
  <c r="AD173" i="17"/>
  <c r="AL173" i="17"/>
  <c r="AK168" i="17"/>
  <c r="AA168" i="17"/>
  <c r="Q168" i="17"/>
  <c r="AM165" i="17"/>
  <c r="AA165" i="17"/>
  <c r="Q165" i="17"/>
  <c r="AL163" i="17"/>
  <c r="AB163" i="17"/>
  <c r="R163" i="17"/>
  <c r="AN159" i="17"/>
  <c r="AD159" i="17"/>
  <c r="R159" i="17"/>
  <c r="AO156" i="17"/>
  <c r="AC156" i="17"/>
  <c r="R156" i="17"/>
  <c r="AO155" i="17"/>
  <c r="AD155" i="17"/>
  <c r="R155" i="17"/>
  <c r="L153" i="17"/>
  <c r="T153" i="17"/>
  <c r="AB153" i="17"/>
  <c r="AJ153" i="17"/>
  <c r="AR153" i="17"/>
  <c r="M153" i="17"/>
  <c r="U153" i="17"/>
  <c r="AC153" i="17"/>
  <c r="AK153" i="17"/>
  <c r="AS153" i="17"/>
  <c r="P153" i="17"/>
  <c r="Z153" i="17"/>
  <c r="AL153" i="17"/>
  <c r="Q153" i="17"/>
  <c r="AA153" i="17"/>
  <c r="AM153" i="17"/>
  <c r="AG151" i="17"/>
  <c r="S151" i="17"/>
  <c r="AF147" i="17"/>
  <c r="T147" i="17"/>
  <c r="L145" i="17"/>
  <c r="T145" i="17"/>
  <c r="AB145" i="17"/>
  <c r="AJ145" i="17"/>
  <c r="AR145" i="17"/>
  <c r="M145" i="17"/>
  <c r="U145" i="17"/>
  <c r="AC145" i="17"/>
  <c r="AK145" i="17"/>
  <c r="AS145" i="17"/>
  <c r="N145" i="17"/>
  <c r="X145" i="17"/>
  <c r="AH145" i="17"/>
  <c r="O145" i="17"/>
  <c r="Y145" i="17"/>
  <c r="AI145" i="17"/>
  <c r="AI143" i="17"/>
  <c r="S143" i="17"/>
  <c r="AH140" i="17"/>
  <c r="T140" i="17"/>
  <c r="AI137" i="17"/>
  <c r="S137" i="17"/>
  <c r="AK134" i="17"/>
  <c r="U134" i="17"/>
  <c r="M132" i="17"/>
  <c r="U132" i="17"/>
  <c r="AC132" i="17"/>
  <c r="AK132" i="17"/>
  <c r="AS132" i="17"/>
  <c r="N132" i="17"/>
  <c r="V132" i="17"/>
  <c r="AD132" i="17"/>
  <c r="AL132" i="17"/>
  <c r="L132" i="17"/>
  <c r="X132" i="17"/>
  <c r="AH132" i="17"/>
  <c r="AR132" i="17"/>
  <c r="O132" i="17"/>
  <c r="Y132" i="17"/>
  <c r="AI132" i="17"/>
  <c r="AH130" i="17"/>
  <c r="T130" i="17"/>
  <c r="AL126" i="17"/>
  <c r="V126" i="17"/>
  <c r="AN119" i="17"/>
  <c r="X119" i="17"/>
  <c r="R118" i="17"/>
  <c r="Z118" i="17"/>
  <c r="AH118" i="17"/>
  <c r="AP118" i="17"/>
  <c r="K118" i="17"/>
  <c r="S118" i="17"/>
  <c r="AA118" i="17"/>
  <c r="AI118" i="17"/>
  <c r="AQ118" i="17"/>
  <c r="L118" i="17"/>
  <c r="T118" i="17"/>
  <c r="AB118" i="17"/>
  <c r="AJ118" i="17"/>
  <c r="AR118" i="17"/>
  <c r="O118" i="17"/>
  <c r="AC118" i="17"/>
  <c r="AN118" i="17"/>
  <c r="P118" i="17"/>
  <c r="AD118" i="17"/>
  <c r="AO118" i="17"/>
  <c r="AJ111" i="17"/>
  <c r="T111" i="17"/>
  <c r="AO110" i="17"/>
  <c r="W110" i="17"/>
  <c r="N106" i="17"/>
  <c r="V106" i="17"/>
  <c r="AD106" i="17"/>
  <c r="AL106" i="17"/>
  <c r="O106" i="17"/>
  <c r="W106" i="17"/>
  <c r="AE106" i="17"/>
  <c r="AM106" i="17"/>
  <c r="P106" i="17"/>
  <c r="X106" i="17"/>
  <c r="AF106" i="17"/>
  <c r="AN106" i="17"/>
  <c r="M106" i="17"/>
  <c r="AA106" i="17"/>
  <c r="AO106" i="17"/>
  <c r="Q106" i="17"/>
  <c r="AB106" i="17"/>
  <c r="AP106" i="17"/>
  <c r="K105" i="17"/>
  <c r="S105" i="17"/>
  <c r="AA105" i="17"/>
  <c r="AI105" i="17"/>
  <c r="AQ105" i="17"/>
  <c r="L105" i="17"/>
  <c r="T105" i="17"/>
  <c r="AB105" i="17"/>
  <c r="AJ105" i="17"/>
  <c r="AR105" i="17"/>
  <c r="M105" i="17"/>
  <c r="U105" i="17"/>
  <c r="AC105" i="17"/>
  <c r="AK105" i="17"/>
  <c r="AS105" i="17"/>
  <c r="N105" i="17"/>
  <c r="Y105" i="17"/>
  <c r="AM105" i="17"/>
  <c r="O105" i="17"/>
  <c r="Z105" i="17"/>
  <c r="AN105" i="17"/>
  <c r="AO95" i="17"/>
  <c r="T95" i="17"/>
  <c r="R94" i="17"/>
  <c r="Z94" i="17"/>
  <c r="AH94" i="17"/>
  <c r="AP94" i="17"/>
  <c r="K94" i="17"/>
  <c r="S94" i="17"/>
  <c r="AA94" i="17"/>
  <c r="AI94" i="17"/>
  <c r="AQ94" i="17"/>
  <c r="L94" i="17"/>
  <c r="T94" i="17"/>
  <c r="AB94" i="17"/>
  <c r="AJ94" i="17"/>
  <c r="AR94" i="17"/>
  <c r="W94" i="17"/>
  <c r="AK94" i="17"/>
  <c r="M94" i="17"/>
  <c r="X94" i="17"/>
  <c r="AL94" i="17"/>
  <c r="N85" i="17"/>
  <c r="V85" i="17"/>
  <c r="AD85" i="17"/>
  <c r="AL85" i="17"/>
  <c r="O85" i="17"/>
  <c r="W85" i="17"/>
  <c r="AE85" i="17"/>
  <c r="AM85" i="17"/>
  <c r="P85" i="17"/>
  <c r="Z85" i="17"/>
  <c r="AJ85" i="17"/>
  <c r="Q85" i="17"/>
  <c r="AA85" i="17"/>
  <c r="AK85" i="17"/>
  <c r="R85" i="17"/>
  <c r="AB85" i="17"/>
  <c r="AN85" i="17"/>
  <c r="K85" i="17"/>
  <c r="AC85" i="17"/>
  <c r="AR85" i="17"/>
  <c r="L85" i="17"/>
  <c r="AF85" i="17"/>
  <c r="AS85" i="17"/>
  <c r="AA80" i="17"/>
  <c r="K79" i="17"/>
  <c r="S79" i="17"/>
  <c r="AA79" i="17"/>
  <c r="AI79" i="17"/>
  <c r="AQ79" i="17"/>
  <c r="L79" i="17"/>
  <c r="T79" i="17"/>
  <c r="AB79" i="17"/>
  <c r="AJ79" i="17"/>
  <c r="AR79" i="17"/>
  <c r="M79" i="17"/>
  <c r="U79" i="17"/>
  <c r="AC79" i="17"/>
  <c r="AK79" i="17"/>
  <c r="AS79" i="17"/>
  <c r="O79" i="17"/>
  <c r="Z79" i="17"/>
  <c r="AN79" i="17"/>
  <c r="P79" i="17"/>
  <c r="AD79" i="17"/>
  <c r="AO79" i="17"/>
  <c r="Q79" i="17"/>
  <c r="AE79" i="17"/>
  <c r="AP79" i="17"/>
  <c r="N79" i="17"/>
  <c r="AH79" i="17"/>
  <c r="R79" i="17"/>
  <c r="AL79" i="17"/>
  <c r="AK67" i="17"/>
  <c r="AD66" i="17"/>
  <c r="AL51" i="17"/>
  <c r="M148" i="17"/>
  <c r="U148" i="17"/>
  <c r="AC148" i="17"/>
  <c r="AK148" i="17"/>
  <c r="AS148" i="17"/>
  <c r="N148" i="17"/>
  <c r="V148" i="17"/>
  <c r="AD148" i="17"/>
  <c r="AL148" i="17"/>
  <c r="N135" i="17"/>
  <c r="V135" i="17"/>
  <c r="AD135" i="17"/>
  <c r="AL135" i="17"/>
  <c r="O135" i="17"/>
  <c r="W135" i="17"/>
  <c r="AE135" i="17"/>
  <c r="AM135" i="17"/>
  <c r="R131" i="17"/>
  <c r="Z131" i="17"/>
  <c r="AH131" i="17"/>
  <c r="AP131" i="17"/>
  <c r="K131" i="17"/>
  <c r="S131" i="17"/>
  <c r="AA131" i="17"/>
  <c r="AI131" i="17"/>
  <c r="AQ131" i="17"/>
  <c r="L108" i="17"/>
  <c r="T108" i="17"/>
  <c r="AB108" i="17"/>
  <c r="AJ108" i="17"/>
  <c r="AR108" i="17"/>
  <c r="M108" i="17"/>
  <c r="U108" i="17"/>
  <c r="AC108" i="17"/>
  <c r="AK108" i="17"/>
  <c r="AS108" i="17"/>
  <c r="N108" i="17"/>
  <c r="V108" i="17"/>
  <c r="AD108" i="17"/>
  <c r="AL108" i="17"/>
  <c r="O88" i="17"/>
  <c r="W88" i="17"/>
  <c r="AE88" i="17"/>
  <c r="AM88" i="17"/>
  <c r="N88" i="17"/>
  <c r="X88" i="17"/>
  <c r="AG88" i="17"/>
  <c r="AP88" i="17"/>
  <c r="P88" i="17"/>
  <c r="Y88" i="17"/>
  <c r="AH88" i="17"/>
  <c r="AQ88" i="17"/>
  <c r="Q88" i="17"/>
  <c r="Z88" i="17"/>
  <c r="AI88" i="17"/>
  <c r="AR88" i="17"/>
  <c r="K6" i="17"/>
  <c r="S6" i="17"/>
  <c r="AA6" i="17"/>
  <c r="AI6" i="17"/>
  <c r="AQ6" i="17"/>
  <c r="L6" i="17"/>
  <c r="U6" i="17"/>
  <c r="AD6" i="17"/>
  <c r="AM6" i="17"/>
  <c r="M6" i="17"/>
  <c r="V6" i="17"/>
  <c r="AE6" i="17"/>
  <c r="AN6" i="17"/>
  <c r="N6" i="17"/>
  <c r="W6" i="17"/>
  <c r="AF6" i="17"/>
  <c r="AO6" i="17"/>
  <c r="O6" i="17"/>
  <c r="AB6" i="17"/>
  <c r="AR6" i="17"/>
  <c r="P6" i="17"/>
  <c r="AC6" i="17"/>
  <c r="AS6" i="17"/>
  <c r="Q6" i="17"/>
  <c r="AG6" i="17"/>
  <c r="Y6" i="17"/>
  <c r="Z6" i="17"/>
  <c r="AH6" i="17"/>
  <c r="R6" i="17"/>
  <c r="T6" i="17"/>
  <c r="X6" i="17"/>
  <c r="AP6" i="17"/>
  <c r="AN198" i="17"/>
  <c r="AF198" i="17"/>
  <c r="X198" i="17"/>
  <c r="AN190" i="17"/>
  <c r="AF190" i="17"/>
  <c r="X190" i="17"/>
  <c r="AN182" i="17"/>
  <c r="AF182" i="17"/>
  <c r="X182" i="17"/>
  <c r="AN174" i="17"/>
  <c r="AF174" i="17"/>
  <c r="X174" i="17"/>
  <c r="AN166" i="17"/>
  <c r="AF166" i="17"/>
  <c r="X166" i="17"/>
  <c r="AN158" i="17"/>
  <c r="AF158" i="17"/>
  <c r="X158" i="17"/>
  <c r="AN148" i="17"/>
  <c r="AB148" i="17"/>
  <c r="R148" i="17"/>
  <c r="O146" i="17"/>
  <c r="W146" i="17"/>
  <c r="AE146" i="17"/>
  <c r="AM146" i="17"/>
  <c r="P146" i="17"/>
  <c r="X146" i="17"/>
  <c r="AF146" i="17"/>
  <c r="AN146" i="17"/>
  <c r="AN135" i="17"/>
  <c r="AB135" i="17"/>
  <c r="R135" i="17"/>
  <c r="AM131" i="17"/>
  <c r="AC131" i="17"/>
  <c r="Q131" i="17"/>
  <c r="L116" i="17"/>
  <c r="T116" i="17"/>
  <c r="AB116" i="17"/>
  <c r="AJ116" i="17"/>
  <c r="AR116" i="17"/>
  <c r="M116" i="17"/>
  <c r="U116" i="17"/>
  <c r="AC116" i="17"/>
  <c r="AK116" i="17"/>
  <c r="AS116" i="17"/>
  <c r="N116" i="17"/>
  <c r="V116" i="17"/>
  <c r="AD116" i="17"/>
  <c r="AL116" i="17"/>
  <c r="AG108" i="17"/>
  <c r="S108" i="17"/>
  <c r="AJ88" i="17"/>
  <c r="T88" i="17"/>
  <c r="K54" i="17"/>
  <c r="S54" i="17"/>
  <c r="AA54" i="17"/>
  <c r="AI54" i="17"/>
  <c r="AQ54" i="17"/>
  <c r="L54" i="17"/>
  <c r="T54" i="17"/>
  <c r="AB54" i="17"/>
  <c r="AJ54" i="17"/>
  <c r="AR54" i="17"/>
  <c r="O54" i="17"/>
  <c r="Y54" i="17"/>
  <c r="AK54" i="17"/>
  <c r="P54" i="17"/>
  <c r="Z54" i="17"/>
  <c r="AL54" i="17"/>
  <c r="Q54" i="17"/>
  <c r="AC54" i="17"/>
  <c r="AM54" i="17"/>
  <c r="M54" i="17"/>
  <c r="AE54" i="17"/>
  <c r="N54" i="17"/>
  <c r="AF54" i="17"/>
  <c r="R54" i="17"/>
  <c r="AG54" i="17"/>
  <c r="L44" i="17"/>
  <c r="T44" i="17"/>
  <c r="AB44" i="17"/>
  <c r="AJ44" i="17"/>
  <c r="AR44" i="17"/>
  <c r="M44" i="17"/>
  <c r="U44" i="17"/>
  <c r="AC44" i="17"/>
  <c r="AK44" i="17"/>
  <c r="AS44" i="17"/>
  <c r="N44" i="17"/>
  <c r="V44" i="17"/>
  <c r="AD44" i="17"/>
  <c r="AL44" i="17"/>
  <c r="Q44" i="17"/>
  <c r="AE44" i="17"/>
  <c r="AP44" i="17"/>
  <c r="R44" i="17"/>
  <c r="AF44" i="17"/>
  <c r="AQ44" i="17"/>
  <c r="S44" i="17"/>
  <c r="AG44" i="17"/>
  <c r="AA44" i="17"/>
  <c r="K44" i="17"/>
  <c r="AH44" i="17"/>
  <c r="O44" i="17"/>
  <c r="AI44" i="17"/>
  <c r="AP152" i="17"/>
  <c r="AH152" i="17"/>
  <c r="Z152" i="17"/>
  <c r="AP144" i="17"/>
  <c r="AH144" i="17"/>
  <c r="Z144" i="17"/>
  <c r="AP136" i="17"/>
  <c r="AH136" i="17"/>
  <c r="Z136" i="17"/>
  <c r="AP128" i="17"/>
  <c r="AH128" i="17"/>
  <c r="Z128" i="17"/>
  <c r="AQ123" i="17"/>
  <c r="AI123" i="17"/>
  <c r="AA123" i="17"/>
  <c r="S123" i="17"/>
  <c r="K123" i="17"/>
  <c r="AP120" i="17"/>
  <c r="AH120" i="17"/>
  <c r="Z120" i="17"/>
  <c r="AQ115" i="17"/>
  <c r="AI115" i="17"/>
  <c r="AA115" i="17"/>
  <c r="S115" i="17"/>
  <c r="K115" i="17"/>
  <c r="AP112" i="17"/>
  <c r="AH112" i="17"/>
  <c r="Z112" i="17"/>
  <c r="AQ107" i="17"/>
  <c r="AI107" i="17"/>
  <c r="AA107" i="17"/>
  <c r="S107" i="17"/>
  <c r="K107" i="17"/>
  <c r="AP104" i="17"/>
  <c r="AH104" i="17"/>
  <c r="Z104" i="17"/>
  <c r="AQ99" i="17"/>
  <c r="AI99" i="17"/>
  <c r="AA99" i="17"/>
  <c r="S99" i="17"/>
  <c r="K99" i="17"/>
  <c r="AP96" i="17"/>
  <c r="AH96" i="17"/>
  <c r="Z96" i="17"/>
  <c r="AS84" i="17"/>
  <c r="AG84" i="17"/>
  <c r="W84" i="17"/>
  <c r="M84" i="17"/>
  <c r="AM82" i="17"/>
  <c r="Y82" i="17"/>
  <c r="K82" i="17"/>
  <c r="AJ77" i="17"/>
  <c r="Y77" i="17"/>
  <c r="K77" i="17"/>
  <c r="AK76" i="17"/>
  <c r="AI74" i="17"/>
  <c r="AN68" i="17"/>
  <c r="AA68" i="17"/>
  <c r="K68" i="17"/>
  <c r="AQ65" i="17"/>
  <c r="AB55" i="17"/>
  <c r="M55" i="17"/>
  <c r="L49" i="17"/>
  <c r="T49" i="17"/>
  <c r="AB49" i="17"/>
  <c r="AJ49" i="17"/>
  <c r="AR49" i="17"/>
  <c r="M49" i="17"/>
  <c r="U49" i="17"/>
  <c r="AC49" i="17"/>
  <c r="AK49" i="17"/>
  <c r="AS49" i="17"/>
  <c r="V49" i="17"/>
  <c r="AF49" i="17"/>
  <c r="AP49" i="17"/>
  <c r="K49" i="17"/>
  <c r="W49" i="17"/>
  <c r="AG49" i="17"/>
  <c r="AQ49" i="17"/>
  <c r="N49" i="17"/>
  <c r="X49" i="17"/>
  <c r="AH49" i="17"/>
  <c r="M47" i="17"/>
  <c r="U47" i="17"/>
  <c r="AC47" i="17"/>
  <c r="AK47" i="17"/>
  <c r="AS47" i="17"/>
  <c r="N47" i="17"/>
  <c r="V47" i="17"/>
  <c r="AD47" i="17"/>
  <c r="AL47" i="17"/>
  <c r="O47" i="17"/>
  <c r="W47" i="17"/>
  <c r="AE47" i="17"/>
  <c r="AM47" i="17"/>
  <c r="K47" i="17"/>
  <c r="Y47" i="17"/>
  <c r="AJ47" i="17"/>
  <c r="L47" i="17"/>
  <c r="Z47" i="17"/>
  <c r="AN47" i="17"/>
  <c r="P47" i="17"/>
  <c r="AA47" i="17"/>
  <c r="AO47" i="17"/>
  <c r="AP123" i="17"/>
  <c r="AH123" i="17"/>
  <c r="Z123" i="17"/>
  <c r="AP115" i="17"/>
  <c r="AH115" i="17"/>
  <c r="Z115" i="17"/>
  <c r="AP107" i="17"/>
  <c r="AH107" i="17"/>
  <c r="Z107" i="17"/>
  <c r="AP99" i="17"/>
  <c r="AH99" i="17"/>
  <c r="Z99" i="17"/>
  <c r="AP84" i="17"/>
  <c r="AF84" i="17"/>
  <c r="AI82" i="17"/>
  <c r="AI77" i="17"/>
  <c r="R76" i="17"/>
  <c r="Z76" i="17"/>
  <c r="AH76" i="17"/>
  <c r="AP76" i="17"/>
  <c r="K76" i="17"/>
  <c r="S76" i="17"/>
  <c r="AA76" i="17"/>
  <c r="AI76" i="17"/>
  <c r="AQ76" i="17"/>
  <c r="L76" i="17"/>
  <c r="T76" i="17"/>
  <c r="AB76" i="17"/>
  <c r="AJ76" i="17"/>
  <c r="AR76" i="17"/>
  <c r="L74" i="17"/>
  <c r="T74" i="17"/>
  <c r="AB74" i="17"/>
  <c r="AJ74" i="17"/>
  <c r="AR74" i="17"/>
  <c r="M74" i="17"/>
  <c r="U74" i="17"/>
  <c r="AC74" i="17"/>
  <c r="AK74" i="17"/>
  <c r="AS74" i="17"/>
  <c r="N74" i="17"/>
  <c r="V74" i="17"/>
  <c r="AD74" i="17"/>
  <c r="AL74" i="17"/>
  <c r="AM68" i="17"/>
  <c r="L65" i="17"/>
  <c r="T65" i="17"/>
  <c r="AB65" i="17"/>
  <c r="AJ65" i="17"/>
  <c r="AR65" i="17"/>
  <c r="M65" i="17"/>
  <c r="U65" i="17"/>
  <c r="AC65" i="17"/>
  <c r="AK65" i="17"/>
  <c r="AS65" i="17"/>
  <c r="P65" i="17"/>
  <c r="Z65" i="17"/>
  <c r="AL65" i="17"/>
  <c r="Q65" i="17"/>
  <c r="AA65" i="17"/>
  <c r="AM65" i="17"/>
  <c r="R65" i="17"/>
  <c r="AD65" i="17"/>
  <c r="AN65" i="17"/>
  <c r="AS55" i="17"/>
  <c r="M39" i="17"/>
  <c r="U39" i="17"/>
  <c r="AC39" i="17"/>
  <c r="AK39" i="17"/>
  <c r="AS39" i="17"/>
  <c r="N39" i="17"/>
  <c r="V39" i="17"/>
  <c r="AD39" i="17"/>
  <c r="AL39" i="17"/>
  <c r="O39" i="17"/>
  <c r="W39" i="17"/>
  <c r="AE39" i="17"/>
  <c r="AM39" i="17"/>
  <c r="X39" i="17"/>
  <c r="AI39" i="17"/>
  <c r="K39" i="17"/>
  <c r="Y39" i="17"/>
  <c r="AJ39" i="17"/>
  <c r="L39" i="17"/>
  <c r="Z39" i="17"/>
  <c r="AN39" i="17"/>
  <c r="R35" i="17"/>
  <c r="Z35" i="17"/>
  <c r="AH35" i="17"/>
  <c r="AP35" i="17"/>
  <c r="S35" i="17"/>
  <c r="AB35" i="17"/>
  <c r="AK35" i="17"/>
  <c r="K35" i="17"/>
  <c r="T35" i="17"/>
  <c r="AC35" i="17"/>
  <c r="AL35" i="17"/>
  <c r="L35" i="17"/>
  <c r="U35" i="17"/>
  <c r="AD35" i="17"/>
  <c r="AM35" i="17"/>
  <c r="P35" i="17"/>
  <c r="AF35" i="17"/>
  <c r="AS35" i="17"/>
  <c r="Q35" i="17"/>
  <c r="AG35" i="17"/>
  <c r="V35" i="17"/>
  <c r="AI35" i="17"/>
  <c r="P30" i="17"/>
  <c r="X30" i="17"/>
  <c r="AF30" i="17"/>
  <c r="AN30" i="17"/>
  <c r="M30" i="17"/>
  <c r="V30" i="17"/>
  <c r="AE30" i="17"/>
  <c r="AO30" i="17"/>
  <c r="O30" i="17"/>
  <c r="Y30" i="17"/>
  <c r="AH30" i="17"/>
  <c r="AQ30" i="17"/>
  <c r="L30" i="17"/>
  <c r="Z30" i="17"/>
  <c r="AK30" i="17"/>
  <c r="N30" i="17"/>
  <c r="AA30" i="17"/>
  <c r="AL30" i="17"/>
  <c r="Q30" i="17"/>
  <c r="AB30" i="17"/>
  <c r="AM30" i="17"/>
  <c r="S30" i="17"/>
  <c r="AJ30" i="17"/>
  <c r="T30" i="17"/>
  <c r="AP30" i="17"/>
  <c r="U30" i="17"/>
  <c r="AR30" i="17"/>
  <c r="K84" i="17"/>
  <c r="S84" i="17"/>
  <c r="AA84" i="17"/>
  <c r="AI84" i="17"/>
  <c r="AQ84" i="17"/>
  <c r="L84" i="17"/>
  <c r="T84" i="17"/>
  <c r="AB84" i="17"/>
  <c r="AJ84" i="17"/>
  <c r="AR84" i="17"/>
  <c r="L82" i="17"/>
  <c r="T82" i="17"/>
  <c r="AB82" i="17"/>
  <c r="AJ82" i="17"/>
  <c r="AR82" i="17"/>
  <c r="M82" i="17"/>
  <c r="U82" i="17"/>
  <c r="AC82" i="17"/>
  <c r="AK82" i="17"/>
  <c r="AS82" i="17"/>
  <c r="N82" i="17"/>
  <c r="V82" i="17"/>
  <c r="AD82" i="17"/>
  <c r="AL82" i="17"/>
  <c r="M77" i="17"/>
  <c r="U77" i="17"/>
  <c r="AC77" i="17"/>
  <c r="AK77" i="17"/>
  <c r="AS77" i="17"/>
  <c r="N77" i="17"/>
  <c r="V77" i="17"/>
  <c r="AD77" i="17"/>
  <c r="AL77" i="17"/>
  <c r="O77" i="17"/>
  <c r="W77" i="17"/>
  <c r="AE77" i="17"/>
  <c r="AM77" i="17"/>
  <c r="N68" i="17"/>
  <c r="V68" i="17"/>
  <c r="AD68" i="17"/>
  <c r="AL68" i="17"/>
  <c r="O68" i="17"/>
  <c r="X68" i="17"/>
  <c r="AG68" i="17"/>
  <c r="AP68" i="17"/>
  <c r="P68" i="17"/>
  <c r="Y68" i="17"/>
  <c r="AH68" i="17"/>
  <c r="AQ68" i="17"/>
  <c r="Q68" i="17"/>
  <c r="Z68" i="17"/>
  <c r="AI68" i="17"/>
  <c r="AR68" i="17"/>
  <c r="N55" i="17"/>
  <c r="V55" i="17"/>
  <c r="AD55" i="17"/>
  <c r="AL55" i="17"/>
  <c r="O55" i="17"/>
  <c r="W55" i="17"/>
  <c r="AE55" i="17"/>
  <c r="AM55" i="17"/>
  <c r="T55" i="17"/>
  <c r="AF55" i="17"/>
  <c r="AP55" i="17"/>
  <c r="K55" i="17"/>
  <c r="U55" i="17"/>
  <c r="AG55" i="17"/>
  <c r="AQ55" i="17"/>
  <c r="L55" i="17"/>
  <c r="X55" i="17"/>
  <c r="AH55" i="17"/>
  <c r="AR55" i="17"/>
  <c r="M29" i="17"/>
  <c r="U29" i="17"/>
  <c r="AC29" i="17"/>
  <c r="AK29" i="17"/>
  <c r="AS29" i="17"/>
  <c r="N29" i="17"/>
  <c r="W29" i="17"/>
  <c r="AF29" i="17"/>
  <c r="AO29" i="17"/>
  <c r="P29" i="17"/>
  <c r="Y29" i="17"/>
  <c r="AH29" i="17"/>
  <c r="AQ29" i="17"/>
  <c r="L29" i="17"/>
  <c r="Z29" i="17"/>
  <c r="AL29" i="17"/>
  <c r="O29" i="17"/>
  <c r="AA29" i="17"/>
  <c r="AM29" i="17"/>
  <c r="Q29" i="17"/>
  <c r="AB29" i="17"/>
  <c r="AN29" i="17"/>
  <c r="R29" i="17"/>
  <c r="AI29" i="17"/>
  <c r="S29" i="17"/>
  <c r="AJ29" i="17"/>
  <c r="T29" i="17"/>
  <c r="AP29" i="17"/>
  <c r="AQ81" i="17"/>
  <c r="AI81" i="17"/>
  <c r="AA81" i="17"/>
  <c r="S81" i="17"/>
  <c r="K81" i="17"/>
  <c r="AQ73" i="17"/>
  <c r="AI73" i="17"/>
  <c r="AA73" i="17"/>
  <c r="S73" i="17"/>
  <c r="K73" i="17"/>
  <c r="K62" i="17"/>
  <c r="S62" i="17"/>
  <c r="AA62" i="17"/>
  <c r="AI62" i="17"/>
  <c r="AQ62" i="17"/>
  <c r="L62" i="17"/>
  <c r="T62" i="17"/>
  <c r="AB62" i="17"/>
  <c r="AJ62" i="17"/>
  <c r="AR62" i="17"/>
  <c r="AQ58" i="17"/>
  <c r="AG58" i="17"/>
  <c r="U58" i="17"/>
  <c r="K58" i="17"/>
  <c r="O50" i="17"/>
  <c r="W50" i="17"/>
  <c r="AE50" i="17"/>
  <c r="AM50" i="17"/>
  <c r="P50" i="17"/>
  <c r="X50" i="17"/>
  <c r="AF50" i="17"/>
  <c r="AN50" i="17"/>
  <c r="AM41" i="17"/>
  <c r="Y41" i="17"/>
  <c r="N41" i="17"/>
  <c r="AL38" i="17"/>
  <c r="X38" i="17"/>
  <c r="M38" i="17"/>
  <c r="L33" i="17"/>
  <c r="T33" i="17"/>
  <c r="AB33" i="17"/>
  <c r="AJ33" i="17"/>
  <c r="AR33" i="17"/>
  <c r="K33" i="17"/>
  <c r="U33" i="17"/>
  <c r="AD33" i="17"/>
  <c r="AM33" i="17"/>
  <c r="M33" i="17"/>
  <c r="V33" i="17"/>
  <c r="AE33" i="17"/>
  <c r="AN33" i="17"/>
  <c r="N33" i="17"/>
  <c r="W33" i="17"/>
  <c r="AF33" i="17"/>
  <c r="AO33" i="17"/>
  <c r="AN83" i="17"/>
  <c r="AF83" i="17"/>
  <c r="X83" i="17"/>
  <c r="AP81" i="17"/>
  <c r="AH81" i="17"/>
  <c r="Z81" i="17"/>
  <c r="AN75" i="17"/>
  <c r="AF75" i="17"/>
  <c r="X75" i="17"/>
  <c r="AP73" i="17"/>
  <c r="AH73" i="17"/>
  <c r="Z73" i="17"/>
  <c r="O71" i="17"/>
  <c r="W71" i="17"/>
  <c r="AE71" i="17"/>
  <c r="L70" i="17"/>
  <c r="T70" i="17"/>
  <c r="AB70" i="17"/>
  <c r="AJ70" i="17"/>
  <c r="AR70" i="17"/>
  <c r="AN62" i="17"/>
  <c r="AD62" i="17"/>
  <c r="R62" i="17"/>
  <c r="M60" i="17"/>
  <c r="U60" i="17"/>
  <c r="AC60" i="17"/>
  <c r="AK60" i="17"/>
  <c r="AS60" i="17"/>
  <c r="N60" i="17"/>
  <c r="V60" i="17"/>
  <c r="AD60" i="17"/>
  <c r="AL60" i="17"/>
  <c r="AP58" i="17"/>
  <c r="AD58" i="17"/>
  <c r="AL50" i="17"/>
  <c r="AB50" i="17"/>
  <c r="R50" i="17"/>
  <c r="AL41" i="17"/>
  <c r="AK38" i="17"/>
  <c r="AK33" i="17"/>
  <c r="X33" i="17"/>
  <c r="O58" i="17"/>
  <c r="W58" i="17"/>
  <c r="AE58" i="17"/>
  <c r="AM58" i="17"/>
  <c r="P58" i="17"/>
  <c r="X58" i="17"/>
  <c r="AF58" i="17"/>
  <c r="AN58" i="17"/>
  <c r="K41" i="17"/>
  <c r="S41" i="17"/>
  <c r="AA41" i="17"/>
  <c r="AI41" i="17"/>
  <c r="AQ41" i="17"/>
  <c r="L41" i="17"/>
  <c r="T41" i="17"/>
  <c r="AB41" i="17"/>
  <c r="AJ41" i="17"/>
  <c r="AR41" i="17"/>
  <c r="M41" i="17"/>
  <c r="U41" i="17"/>
  <c r="AC41" i="17"/>
  <c r="AK41" i="17"/>
  <c r="AS41" i="17"/>
  <c r="R38" i="17"/>
  <c r="Z38" i="17"/>
  <c r="AH38" i="17"/>
  <c r="AP38" i="17"/>
  <c r="K38" i="17"/>
  <c r="S38" i="17"/>
  <c r="AA38" i="17"/>
  <c r="AI38" i="17"/>
  <c r="AQ38" i="17"/>
  <c r="L38" i="17"/>
  <c r="T38" i="17"/>
  <c r="AB38" i="17"/>
  <c r="AJ38" i="17"/>
  <c r="AR38" i="17"/>
  <c r="O27" i="17"/>
  <c r="W27" i="17"/>
  <c r="AE27" i="17"/>
  <c r="AM27" i="17"/>
  <c r="P27" i="17"/>
  <c r="X27" i="17"/>
  <c r="AF27" i="17"/>
  <c r="AN27" i="17"/>
  <c r="K27" i="17"/>
  <c r="U27" i="17"/>
  <c r="AG27" i="17"/>
  <c r="AQ27" i="17"/>
  <c r="M27" i="17"/>
  <c r="Y27" i="17"/>
  <c r="AI27" i="17"/>
  <c r="AS27" i="17"/>
  <c r="Z27" i="17"/>
  <c r="AL27" i="17"/>
  <c r="L27" i="17"/>
  <c r="AA27" i="17"/>
  <c r="AO27" i="17"/>
  <c r="N27" i="17"/>
  <c r="AB27" i="17"/>
  <c r="AP27" i="17"/>
  <c r="AP64" i="17"/>
  <c r="AH64" i="17"/>
  <c r="Z64" i="17"/>
  <c r="AP56" i="17"/>
  <c r="AH56" i="17"/>
  <c r="Z56" i="17"/>
  <c r="AP48" i="17"/>
  <c r="AH48" i="17"/>
  <c r="Z48" i="17"/>
  <c r="AQ43" i="17"/>
  <c r="AI43" i="17"/>
  <c r="AA43" i="17"/>
  <c r="S43" i="17"/>
  <c r="K43" i="17"/>
  <c r="AP40" i="17"/>
  <c r="AH40" i="17"/>
  <c r="Z40" i="17"/>
  <c r="AL36" i="17"/>
  <c r="AD36" i="17"/>
  <c r="T36" i="17"/>
  <c r="K36" i="17"/>
  <c r="L26" i="17"/>
  <c r="T26" i="17"/>
  <c r="AB26" i="17"/>
  <c r="AJ26" i="17"/>
  <c r="AR26" i="17"/>
  <c r="M26" i="17"/>
  <c r="U26" i="17"/>
  <c r="AC26" i="17"/>
  <c r="AK26" i="17"/>
  <c r="AS26" i="17"/>
  <c r="P26" i="17"/>
  <c r="Z26" i="17"/>
  <c r="AL26" i="17"/>
  <c r="R26" i="17"/>
  <c r="AD26" i="17"/>
  <c r="AN26" i="17"/>
  <c r="AA25" i="17"/>
  <c r="K25" i="17"/>
  <c r="N23" i="17"/>
  <c r="V23" i="17"/>
  <c r="AD23" i="17"/>
  <c r="AL23" i="17"/>
  <c r="S23" i="17"/>
  <c r="AB23" i="17"/>
  <c r="AK23" i="17"/>
  <c r="K23" i="17"/>
  <c r="T23" i="17"/>
  <c r="AC23" i="17"/>
  <c r="AM23" i="17"/>
  <c r="O23" i="17"/>
  <c r="Z23" i="17"/>
  <c r="AN23" i="17"/>
  <c r="P23" i="17"/>
  <c r="AA23" i="17"/>
  <c r="AO23" i="17"/>
  <c r="Q23" i="17"/>
  <c r="AE23" i="17"/>
  <c r="AP23" i="17"/>
  <c r="K22" i="17"/>
  <c r="S22" i="17"/>
  <c r="AA22" i="17"/>
  <c r="AI22" i="17"/>
  <c r="AQ22" i="17"/>
  <c r="T22" i="17"/>
  <c r="AC22" i="17"/>
  <c r="AL22" i="17"/>
  <c r="L22" i="17"/>
  <c r="U22" i="17"/>
  <c r="AD22" i="17"/>
  <c r="AM22" i="17"/>
  <c r="P22" i="17"/>
  <c r="AB22" i="17"/>
  <c r="AO22" i="17"/>
  <c r="Q22" i="17"/>
  <c r="AE22" i="17"/>
  <c r="AP22" i="17"/>
  <c r="R22" i="17"/>
  <c r="AF22" i="17"/>
  <c r="AR22" i="17"/>
  <c r="AP43" i="17"/>
  <c r="AH43" i="17"/>
  <c r="Z43" i="17"/>
  <c r="AS36" i="17"/>
  <c r="AK36" i="17"/>
  <c r="AB36" i="17"/>
  <c r="AQ25" i="17"/>
  <c r="O10" i="17"/>
  <c r="W10" i="17"/>
  <c r="AE10" i="17"/>
  <c r="AM10" i="17"/>
  <c r="N10" i="17"/>
  <c r="X10" i="17"/>
  <c r="AG10" i="17"/>
  <c r="AP10" i="17"/>
  <c r="P10" i="17"/>
  <c r="Y10" i="17"/>
  <c r="AH10" i="17"/>
  <c r="AQ10" i="17"/>
  <c r="U10" i="17"/>
  <c r="AI10" i="17"/>
  <c r="K10" i="17"/>
  <c r="V10" i="17"/>
  <c r="AJ10" i="17"/>
  <c r="L10" i="17"/>
  <c r="Z10" i="17"/>
  <c r="AK10" i="17"/>
  <c r="L9" i="17"/>
  <c r="T9" i="17"/>
  <c r="AB9" i="17"/>
  <c r="AJ9" i="17"/>
  <c r="AR9" i="17"/>
  <c r="O9" i="17"/>
  <c r="X9" i="17"/>
  <c r="AG9" i="17"/>
  <c r="AP9" i="17"/>
  <c r="P9" i="17"/>
  <c r="Y9" i="17"/>
  <c r="AH9" i="17"/>
  <c r="AQ9" i="17"/>
  <c r="V9" i="17"/>
  <c r="AI9" i="17"/>
  <c r="K9" i="17"/>
  <c r="W9" i="17"/>
  <c r="AK9" i="17"/>
  <c r="M9" i="17"/>
  <c r="Z9" i="17"/>
  <c r="AL9" i="17"/>
  <c r="M36" i="17"/>
  <c r="U36" i="17"/>
  <c r="AC36" i="17"/>
  <c r="L25" i="17"/>
  <c r="T25" i="17"/>
  <c r="AB25" i="17"/>
  <c r="AJ25" i="17"/>
  <c r="AR25" i="17"/>
  <c r="M25" i="17"/>
  <c r="V25" i="17"/>
  <c r="AE25" i="17"/>
  <c r="AN25" i="17"/>
  <c r="N25" i="17"/>
  <c r="W25" i="17"/>
  <c r="AF25" i="17"/>
  <c r="AO25" i="17"/>
  <c r="Q25" i="17"/>
  <c r="AC25" i="17"/>
  <c r="AP25" i="17"/>
  <c r="S25" i="17"/>
  <c r="AG25" i="17"/>
  <c r="AS25" i="17"/>
  <c r="AA9" i="17"/>
  <c r="P21" i="17"/>
  <c r="X21" i="17"/>
  <c r="AF21" i="17"/>
  <c r="AN21" i="17"/>
  <c r="K21" i="17"/>
  <c r="T21" i="17"/>
  <c r="AC21" i="17"/>
  <c r="AL21" i="17"/>
  <c r="L21" i="17"/>
  <c r="U21" i="17"/>
  <c r="AD21" i="17"/>
  <c r="AM21" i="17"/>
  <c r="M20" i="17"/>
  <c r="U20" i="17"/>
  <c r="AC20" i="17"/>
  <c r="AK20" i="17"/>
  <c r="AS20" i="17"/>
  <c r="K20" i="17"/>
  <c r="T20" i="17"/>
  <c r="AD20" i="17"/>
  <c r="AM20" i="17"/>
  <c r="L20" i="17"/>
  <c r="V20" i="17"/>
  <c r="AE20" i="17"/>
  <c r="AN20" i="17"/>
  <c r="AI19" i="17"/>
  <c r="N15" i="17"/>
  <c r="V15" i="17"/>
  <c r="AD15" i="17"/>
  <c r="AL15" i="17"/>
  <c r="K15" i="17"/>
  <c r="T15" i="17"/>
  <c r="AC15" i="17"/>
  <c r="AM15" i="17"/>
  <c r="L15" i="17"/>
  <c r="U15" i="17"/>
  <c r="AE15" i="17"/>
  <c r="AN15" i="17"/>
  <c r="K14" i="17"/>
  <c r="S14" i="17"/>
  <c r="AA14" i="17"/>
  <c r="AI14" i="17"/>
  <c r="AQ14" i="17"/>
  <c r="L14" i="17"/>
  <c r="U14" i="17"/>
  <c r="AD14" i="17"/>
  <c r="AM14" i="17"/>
  <c r="M14" i="17"/>
  <c r="V14" i="17"/>
  <c r="AE14" i="17"/>
  <c r="AN14" i="17"/>
  <c r="AI13" i="17"/>
  <c r="AI12" i="17"/>
  <c r="N7" i="17"/>
  <c r="V7" i="17"/>
  <c r="AD7" i="17"/>
  <c r="AL7" i="17"/>
  <c r="K7" i="17"/>
  <c r="L7" i="17"/>
  <c r="U7" i="17"/>
  <c r="AE7" i="17"/>
  <c r="AN7" i="17"/>
  <c r="M7" i="17"/>
  <c r="W7" i="17"/>
  <c r="AF7" i="17"/>
  <c r="AO7" i="17"/>
  <c r="AL5" i="17"/>
  <c r="R19" i="17"/>
  <c r="Z19" i="17"/>
  <c r="AH19" i="17"/>
  <c r="AP19" i="17"/>
  <c r="L19" i="17"/>
  <c r="U19" i="17"/>
  <c r="AD19" i="17"/>
  <c r="AM19" i="17"/>
  <c r="M19" i="17"/>
  <c r="V19" i="17"/>
  <c r="AE19" i="17"/>
  <c r="AN19" i="17"/>
  <c r="P13" i="17"/>
  <c r="X13" i="17"/>
  <c r="AF13" i="17"/>
  <c r="AN13" i="17"/>
  <c r="L13" i="17"/>
  <c r="U13" i="17"/>
  <c r="AD13" i="17"/>
  <c r="AM13" i="17"/>
  <c r="M13" i="17"/>
  <c r="V13" i="17"/>
  <c r="AE13" i="17"/>
  <c r="AO13" i="17"/>
  <c r="M12" i="17"/>
  <c r="U12" i="17"/>
  <c r="AC12" i="17"/>
  <c r="AK12" i="17"/>
  <c r="AS12" i="17"/>
  <c r="L12" i="17"/>
  <c r="V12" i="17"/>
  <c r="AE12" i="17"/>
  <c r="AN12" i="17"/>
  <c r="N12" i="17"/>
  <c r="W12" i="17"/>
  <c r="AF12" i="17"/>
  <c r="AO12" i="17"/>
  <c r="P5" i="17"/>
  <c r="X5" i="17"/>
  <c r="AF5" i="17"/>
  <c r="AN5" i="17"/>
  <c r="L5" i="17"/>
  <c r="U5" i="17"/>
  <c r="AD5" i="17"/>
  <c r="AM5" i="17"/>
  <c r="M5" i="17"/>
  <c r="V5" i="17"/>
  <c r="AE5" i="17"/>
  <c r="AO5" i="17"/>
  <c r="N5" i="17"/>
  <c r="W5" i="17"/>
  <c r="AG5" i="17"/>
  <c r="AP5" i="17"/>
  <c r="AQ21" i="17"/>
  <c r="AE21" i="17"/>
  <c r="R21" i="17"/>
  <c r="AQ20" i="17"/>
  <c r="AF20" i="17"/>
  <c r="R20" i="17"/>
  <c r="AR19" i="17"/>
  <c r="AF19" i="17"/>
  <c r="S19" i="17"/>
  <c r="O18" i="17"/>
  <c r="W18" i="17"/>
  <c r="AE18" i="17"/>
  <c r="AM18" i="17"/>
  <c r="M18" i="17"/>
  <c r="V18" i="17"/>
  <c r="AF18" i="17"/>
  <c r="AO18" i="17"/>
  <c r="N18" i="17"/>
  <c r="X18" i="17"/>
  <c r="AG18" i="17"/>
  <c r="AP18" i="17"/>
  <c r="L17" i="17"/>
  <c r="T17" i="17"/>
  <c r="AB17" i="17"/>
  <c r="AJ17" i="17"/>
  <c r="AR17" i="17"/>
  <c r="N17" i="17"/>
  <c r="W17" i="17"/>
  <c r="AF17" i="17"/>
  <c r="AO17" i="17"/>
  <c r="O17" i="17"/>
  <c r="X17" i="17"/>
  <c r="AG17" i="17"/>
  <c r="AP17" i="17"/>
  <c r="AQ15" i="17"/>
  <c r="AF15" i="17"/>
  <c r="R15" i="17"/>
  <c r="AR14" i="17"/>
  <c r="AF14" i="17"/>
  <c r="R14" i="17"/>
  <c r="AR13" i="17"/>
  <c r="AG13" i="17"/>
  <c r="S13" i="17"/>
  <c r="AR12" i="17"/>
  <c r="AG12" i="17"/>
  <c r="S12" i="17"/>
  <c r="R11" i="17"/>
  <c r="Z11" i="17"/>
  <c r="AH11" i="17"/>
  <c r="AP11" i="17"/>
  <c r="M11" i="17"/>
  <c r="V11" i="17"/>
  <c r="AE11" i="17"/>
  <c r="AN11" i="17"/>
  <c r="N11" i="17"/>
  <c r="W11" i="17"/>
  <c r="AF11" i="17"/>
  <c r="AO11" i="17"/>
  <c r="AR7" i="17"/>
  <c r="AG7" i="17"/>
  <c r="S7" i="17"/>
  <c r="AJ5" i="17"/>
  <c r="T5" i="17"/>
  <c r="B10" i="2"/>
  <c r="N4" i="14"/>
  <c r="N3" i="14"/>
  <c r="N2" i="14"/>
  <c r="N1" i="14"/>
  <c r="V2" i="17"/>
  <c r="U2" i="17"/>
  <c r="S2" i="17"/>
  <c r="R2" i="17"/>
  <c r="L97" i="14" l="1"/>
  <c r="J90" i="14"/>
  <c r="I83" i="14"/>
  <c r="H76" i="14"/>
  <c r="G69" i="14"/>
  <c r="F62" i="14"/>
  <c r="E55" i="14"/>
  <c r="D48" i="14"/>
  <c r="M48" i="14" s="1"/>
  <c r="C41" i="14"/>
  <c r="L33" i="14"/>
  <c r="J26" i="14"/>
  <c r="J94" i="14"/>
  <c r="I86" i="14"/>
  <c r="H78" i="14"/>
  <c r="G70" i="14"/>
  <c r="E62" i="14"/>
  <c r="K62" i="14" s="1"/>
  <c r="D54" i="14"/>
  <c r="M54" i="14" s="1"/>
  <c r="C46" i="14"/>
  <c r="L37" i="14"/>
  <c r="J29" i="14"/>
  <c r="J21" i="14"/>
  <c r="I94" i="14"/>
  <c r="H86" i="14"/>
  <c r="G78" i="14"/>
  <c r="E70" i="14"/>
  <c r="D62" i="14"/>
  <c r="M62" i="14" s="1"/>
  <c r="C54" i="14"/>
  <c r="L45" i="14"/>
  <c r="J37" i="14"/>
  <c r="I29" i="14"/>
  <c r="J20" i="14"/>
  <c r="E92" i="14"/>
  <c r="K92" i="14" s="1"/>
  <c r="F81" i="14"/>
  <c r="I70" i="14"/>
  <c r="J59" i="14"/>
  <c r="J48" i="14"/>
  <c r="D38" i="14"/>
  <c r="M38" i="14" s="1"/>
  <c r="F27" i="14"/>
  <c r="C96" i="14"/>
  <c r="J64" i="14"/>
  <c r="G40" i="14"/>
  <c r="E97" i="14"/>
  <c r="J83" i="14"/>
  <c r="L61" i="14"/>
  <c r="F40" i="14"/>
  <c r="H21" i="14"/>
  <c r="H64" i="14"/>
  <c r="G41" i="14"/>
  <c r="F20" i="14"/>
  <c r="C88" i="14"/>
  <c r="D77" i="14"/>
  <c r="M77" i="14" s="1"/>
  <c r="G66" i="14"/>
  <c r="H55" i="14"/>
  <c r="I44" i="14"/>
  <c r="C34" i="14"/>
  <c r="D23" i="14"/>
  <c r="M23" i="14" s="1"/>
  <c r="C92" i="14"/>
  <c r="C77" i="14"/>
  <c r="I56" i="14"/>
  <c r="I37" i="14"/>
  <c r="G19" i="14"/>
  <c r="J68" i="14"/>
  <c r="I45" i="14"/>
  <c r="L22" i="14"/>
  <c r="L88" i="14"/>
  <c r="E75" i="14"/>
  <c r="G56" i="14"/>
  <c r="F33" i="14"/>
  <c r="L93" i="14"/>
  <c r="G64" i="14"/>
  <c r="H35" i="14"/>
  <c r="J89" i="14"/>
  <c r="F60" i="14"/>
  <c r="H31" i="14"/>
  <c r="J81" i="14"/>
  <c r="E53" i="14"/>
  <c r="L23" i="14"/>
  <c r="J73" i="14"/>
  <c r="E45" i="14"/>
  <c r="F91" i="14"/>
  <c r="K91" i="14" s="1"/>
  <c r="E91" i="14"/>
  <c r="D87" i="14"/>
  <c r="M87" i="14" s="1"/>
  <c r="H58" i="14"/>
  <c r="D29" i="14"/>
  <c r="M29" i="14" s="1"/>
  <c r="E72" i="14"/>
  <c r="I39" i="14"/>
  <c r="I77" i="14"/>
  <c r="G26" i="14"/>
  <c r="I69" i="14"/>
  <c r="G22" i="14"/>
  <c r="C89" i="14"/>
  <c r="J74" i="14"/>
  <c r="H60" i="14"/>
  <c r="F46" i="14"/>
  <c r="E39" i="14"/>
  <c r="C25" i="14"/>
  <c r="I84" i="14"/>
  <c r="F68" i="14"/>
  <c r="D52" i="14"/>
  <c r="M52" i="14" s="1"/>
  <c r="L35" i="14"/>
  <c r="C20" i="14"/>
  <c r="G84" i="14"/>
  <c r="E68" i="14"/>
  <c r="C52" i="14"/>
  <c r="J35" i="14"/>
  <c r="C19" i="14"/>
  <c r="J78" i="14"/>
  <c r="L56" i="14"/>
  <c r="F35" i="14"/>
  <c r="D81" i="14"/>
  <c r="M81" i="14" s="1"/>
  <c r="H33" i="14"/>
  <c r="H56" i="14"/>
  <c r="E36" i="14"/>
  <c r="I57" i="14"/>
  <c r="E96" i="14"/>
  <c r="H74" i="14"/>
  <c r="J52" i="14"/>
  <c r="D31" i="14"/>
  <c r="M31" i="14" s="1"/>
  <c r="E89" i="14"/>
  <c r="I52" i="14"/>
  <c r="C85" i="14"/>
  <c r="H41" i="14"/>
  <c r="D86" i="14"/>
  <c r="M86" i="14" s="1"/>
  <c r="L50" i="14"/>
  <c r="C86" i="14"/>
  <c r="L28" i="14"/>
  <c r="L24" i="14"/>
  <c r="F45" i="14"/>
  <c r="L66" i="14"/>
  <c r="L58" i="14"/>
  <c r="E80" i="14"/>
  <c r="F22" i="14"/>
  <c r="E25" i="14"/>
  <c r="D95" i="14"/>
  <c r="M95" i="14" s="1"/>
  <c r="D90" i="14"/>
  <c r="M90" i="14" s="1"/>
  <c r="E95" i="14"/>
  <c r="L73" i="14"/>
  <c r="J66" i="14"/>
  <c r="H52" i="14"/>
  <c r="F38" i="14"/>
  <c r="J91" i="14"/>
  <c r="G75" i="14"/>
  <c r="E59" i="14"/>
  <c r="C43" i="14"/>
  <c r="I26" i="14"/>
  <c r="D19" i="14"/>
  <c r="M19" i="14" s="1"/>
  <c r="G83" i="14"/>
  <c r="E67" i="14"/>
  <c r="C51" i="14"/>
  <c r="I34" i="14"/>
  <c r="E88" i="14"/>
  <c r="H66" i="14"/>
  <c r="I55" i="14"/>
  <c r="F23" i="14"/>
  <c r="G55" i="14"/>
  <c r="L91" i="14"/>
  <c r="F55" i="14"/>
  <c r="J80" i="14"/>
  <c r="H34" i="14"/>
  <c r="C84" i="14"/>
  <c r="G62" i="14"/>
  <c r="H40" i="14"/>
  <c r="H19" i="14"/>
  <c r="L87" i="14"/>
  <c r="J49" i="14"/>
  <c r="I60" i="14"/>
  <c r="D97" i="14"/>
  <c r="M97" i="14" s="1"/>
  <c r="I68" i="14"/>
  <c r="L26" i="14"/>
  <c r="H53" i="14"/>
  <c r="C97" i="14"/>
  <c r="L89" i="14"/>
  <c r="J82" i="14"/>
  <c r="I75" i="14"/>
  <c r="H68" i="14"/>
  <c r="G61" i="14"/>
  <c r="F54" i="14"/>
  <c r="E47" i="14"/>
  <c r="D40" i="14"/>
  <c r="M40" i="14" s="1"/>
  <c r="C33" i="14"/>
  <c r="L25" i="14"/>
  <c r="J93" i="14"/>
  <c r="I85" i="14"/>
  <c r="H77" i="14"/>
  <c r="F69" i="14"/>
  <c r="E61" i="14"/>
  <c r="D53" i="14"/>
  <c r="M53" i="14" s="1"/>
  <c r="C45" i="14"/>
  <c r="L36" i="14"/>
  <c r="J28" i="14"/>
  <c r="L20" i="14"/>
  <c r="I93" i="14"/>
  <c r="H85" i="14"/>
  <c r="F77" i="14"/>
  <c r="E69" i="14"/>
  <c r="D61" i="14"/>
  <c r="M61" i="14" s="1"/>
  <c r="C53" i="14"/>
  <c r="L44" i="14"/>
  <c r="J36" i="14"/>
  <c r="I28" i="14"/>
  <c r="L19" i="14"/>
  <c r="C91" i="14"/>
  <c r="C80" i="14"/>
  <c r="D69" i="14"/>
  <c r="M69" i="14" s="1"/>
  <c r="G58" i="14"/>
  <c r="H47" i="14"/>
  <c r="I36" i="14"/>
  <c r="D26" i="14"/>
  <c r="M26" i="14" s="1"/>
  <c r="D85" i="14"/>
  <c r="M85" i="14" s="1"/>
  <c r="C62" i="14"/>
  <c r="F36" i="14"/>
  <c r="G94" i="14"/>
  <c r="L80" i="14"/>
  <c r="F59" i="14"/>
  <c r="H37" i="14"/>
  <c r="F19" i="14"/>
  <c r="K19" i="14" s="1"/>
  <c r="J61" i="14"/>
  <c r="I38" i="14"/>
  <c r="G97" i="14"/>
  <c r="J86" i="14"/>
  <c r="L75" i="14"/>
  <c r="L64" i="14"/>
  <c r="E54" i="14"/>
  <c r="F43" i="14"/>
  <c r="G32" i="14"/>
  <c r="C22" i="14"/>
  <c r="G90" i="14"/>
  <c r="E74" i="14"/>
  <c r="L53" i="14"/>
  <c r="D35" i="14"/>
  <c r="M35" i="14" s="1"/>
  <c r="L95" i="14"/>
  <c r="C66" i="14"/>
  <c r="D43" i="14"/>
  <c r="M43" i="14" s="1"/>
  <c r="G20" i="14"/>
  <c r="G87" i="14"/>
  <c r="I72" i="14"/>
  <c r="I53" i="14"/>
  <c r="H30" i="14"/>
  <c r="C90" i="14"/>
  <c r="F61" i="14"/>
  <c r="L31" i="14"/>
  <c r="L85" i="14"/>
  <c r="F57" i="14"/>
  <c r="L27" i="14"/>
  <c r="L77" i="14"/>
  <c r="F49" i="14"/>
  <c r="D21" i="14"/>
  <c r="M21" i="14" s="1"/>
  <c r="J70" i="14"/>
  <c r="F41" i="14"/>
  <c r="J69" i="14"/>
  <c r="I58" i="14"/>
  <c r="E83" i="14"/>
  <c r="I54" i="14"/>
  <c r="E26" i="14"/>
  <c r="G68" i="14"/>
  <c r="L32" i="14"/>
  <c r="I73" i="14"/>
  <c r="D20" i="14"/>
  <c r="M20" i="14" s="1"/>
  <c r="I65" i="14"/>
  <c r="D94" i="14"/>
  <c r="M94" i="14" s="1"/>
  <c r="D96" i="14"/>
  <c r="M96" i="14" s="1"/>
  <c r="L81" i="14"/>
  <c r="I67" i="14"/>
  <c r="G53" i="14"/>
  <c r="D32" i="14"/>
  <c r="M32" i="14" s="1"/>
  <c r="J92" i="14"/>
  <c r="G76" i="14"/>
  <c r="E60" i="14"/>
  <c r="C44" i="14"/>
  <c r="J27" i="14"/>
  <c r="I92" i="14"/>
  <c r="F76" i="14"/>
  <c r="D60" i="14"/>
  <c r="M60" i="14" s="1"/>
  <c r="L43" i="14"/>
  <c r="H26" i="14"/>
  <c r="G89" i="14"/>
  <c r="L67" i="14"/>
  <c r="E46" i="14"/>
  <c r="K46" i="14" s="1"/>
  <c r="J24" i="14"/>
  <c r="G59" i="14"/>
  <c r="D93" i="14"/>
  <c r="M93" i="14" s="1"/>
  <c r="D78" i="14"/>
  <c r="M78" i="14" s="1"/>
  <c r="H95" i="14"/>
  <c r="D36" i="14"/>
  <c r="M36" i="14" s="1"/>
  <c r="E85" i="14"/>
  <c r="I63" i="14"/>
  <c r="D42" i="14"/>
  <c r="M42" i="14" s="1"/>
  <c r="I20" i="14"/>
  <c r="I71" i="14"/>
  <c r="F32" i="14"/>
  <c r="G63" i="14"/>
  <c r="C18" i="14"/>
  <c r="L69" i="14"/>
  <c r="C28" i="14"/>
  <c r="G57" i="14"/>
  <c r="C82" i="14"/>
  <c r="F53" i="14"/>
  <c r="L74" i="14"/>
  <c r="G95" i="14"/>
  <c r="E38" i="14"/>
  <c r="J51" i="14"/>
  <c r="I50" i="14"/>
  <c r="G65" i="14"/>
  <c r="I66" i="14"/>
  <c r="I62" i="14"/>
  <c r="D88" i="14"/>
  <c r="M88" i="14" s="1"/>
  <c r="C81" i="14"/>
  <c r="I59" i="14"/>
  <c r="G45" i="14"/>
  <c r="E31" i="14"/>
  <c r="D24" i="14"/>
  <c r="M24" i="14" s="1"/>
  <c r="H83" i="14"/>
  <c r="F67" i="14"/>
  <c r="D51" i="14"/>
  <c r="M51" i="14" s="1"/>
  <c r="L34" i="14"/>
  <c r="H91" i="14"/>
  <c r="F75" i="14"/>
  <c r="D59" i="14"/>
  <c r="M59" i="14" s="1"/>
  <c r="L42" i="14"/>
  <c r="H25" i="14"/>
  <c r="K25" i="14" s="1"/>
  <c r="D18" i="14"/>
  <c r="M18" i="14" s="1"/>
  <c r="E77" i="14"/>
  <c r="J44" i="14"/>
  <c r="D34" i="14"/>
  <c r="M34" i="14" s="1"/>
  <c r="E78" i="14"/>
  <c r="H29" i="14"/>
  <c r="H75" i="14"/>
  <c r="G33" i="14"/>
  <c r="L54" i="14"/>
  <c r="L94" i="14"/>
  <c r="D73" i="14"/>
  <c r="M73" i="14" s="1"/>
  <c r="G51" i="14"/>
  <c r="L29" i="14"/>
  <c r="L68" i="14"/>
  <c r="C31" i="14"/>
  <c r="E82" i="14"/>
  <c r="C39" i="14"/>
  <c r="L84" i="14"/>
  <c r="F48" i="14"/>
  <c r="C83" i="14"/>
  <c r="D25" i="14"/>
  <c r="M25" i="14" s="1"/>
  <c r="F94" i="14"/>
  <c r="D80" i="14"/>
  <c r="M80" i="14" s="1"/>
  <c r="L65" i="14"/>
  <c r="I51" i="14"/>
  <c r="G37" i="14"/>
  <c r="E23" i="14"/>
  <c r="H82" i="14"/>
  <c r="F66" i="14"/>
  <c r="D50" i="14"/>
  <c r="M50" i="14" s="1"/>
  <c r="J33" i="14"/>
  <c r="E18" i="14"/>
  <c r="G82" i="14"/>
  <c r="E66" i="14"/>
  <c r="C50" i="14"/>
  <c r="I33" i="14"/>
  <c r="H97" i="14"/>
  <c r="C76" i="14"/>
  <c r="G54" i="14"/>
  <c r="H32" i="14"/>
  <c r="J75" i="14"/>
  <c r="J25" i="14"/>
  <c r="J72" i="14"/>
  <c r="E32" i="14"/>
  <c r="F52" i="14"/>
  <c r="F93" i="14"/>
  <c r="J71" i="14"/>
  <c r="K71" i="14" s="1"/>
  <c r="E50" i="14"/>
  <c r="F28" i="14"/>
  <c r="G86" i="14"/>
  <c r="F47" i="14"/>
  <c r="I79" i="14"/>
  <c r="C35" i="14"/>
  <c r="F83" i="14"/>
  <c r="H45" i="14"/>
  <c r="C79" i="14"/>
  <c r="F21" i="14"/>
  <c r="C64" i="14"/>
  <c r="G92" i="14"/>
  <c r="F42" i="14"/>
  <c r="I81" i="14"/>
  <c r="G30" i="14"/>
  <c r="G23" i="14"/>
  <c r="H69" i="14"/>
  <c r="L18" i="14"/>
  <c r="H50" i="14"/>
  <c r="J55" i="14"/>
  <c r="H73" i="14"/>
  <c r="C29" i="14"/>
  <c r="E63" i="14"/>
  <c r="I30" i="14"/>
  <c r="G28" i="14"/>
  <c r="E24" i="14"/>
  <c r="J67" i="14"/>
  <c r="J79" i="14"/>
  <c r="G25" i="14"/>
  <c r="D68" i="14"/>
  <c r="M68" i="14" s="1"/>
  <c r="L70" i="14"/>
  <c r="E20" i="14"/>
  <c r="D79" i="14"/>
  <c r="M79" i="14" s="1"/>
  <c r="D41" i="14"/>
  <c r="M41" i="14" s="1"/>
  <c r="C73" i="14"/>
  <c r="E58" i="14"/>
  <c r="I25" i="14"/>
  <c r="F74" i="14"/>
  <c r="H24" i="14"/>
  <c r="G43" i="14"/>
  <c r="F51" i="14"/>
  <c r="K51" i="14" s="1"/>
  <c r="J76" i="14"/>
  <c r="I82" i="14"/>
  <c r="G18" i="14"/>
  <c r="J57" i="14"/>
  <c r="C24" i="14"/>
  <c r="H38" i="14"/>
  <c r="L55" i="14"/>
  <c r="J43" i="14"/>
  <c r="F87" i="14"/>
  <c r="G93" i="14"/>
  <c r="E79" i="14"/>
  <c r="C65" i="14"/>
  <c r="J50" i="14"/>
  <c r="H36" i="14"/>
  <c r="J97" i="14"/>
  <c r="H81" i="14"/>
  <c r="K81" i="14" s="1"/>
  <c r="F65" i="14"/>
  <c r="D49" i="14"/>
  <c r="M49" i="14" s="1"/>
  <c r="J32" i="14"/>
  <c r="I97" i="14"/>
  <c r="G81" i="14"/>
  <c r="E65" i="14"/>
  <c r="L48" i="14"/>
  <c r="I32" i="14"/>
  <c r="K32" i="14" s="1"/>
  <c r="F96" i="14"/>
  <c r="I74" i="14"/>
  <c r="L52" i="14"/>
  <c r="F31" i="14"/>
  <c r="L72" i="14"/>
  <c r="C23" i="14"/>
  <c r="C70" i="14"/>
  <c r="F29" i="14"/>
  <c r="H49" i="14"/>
  <c r="D92" i="14"/>
  <c r="M92" i="14" s="1"/>
  <c r="H70" i="14"/>
  <c r="I48" i="14"/>
  <c r="E27" i="14"/>
  <c r="L83" i="14"/>
  <c r="G44" i="14"/>
  <c r="L76" i="14"/>
  <c r="L30" i="14"/>
  <c r="D82" i="14"/>
  <c r="M82" i="14" s="1"/>
  <c r="I42" i="14"/>
  <c r="D75" i="14"/>
  <c r="M75" i="14" s="1"/>
  <c r="I18" i="14"/>
  <c r="G49" i="14"/>
  <c r="J88" i="14"/>
  <c r="G38" i="14"/>
  <c r="J77" i="14"/>
  <c r="G27" i="14"/>
  <c r="D44" i="14"/>
  <c r="M44" i="14" s="1"/>
  <c r="H65" i="14"/>
  <c r="C94" i="14"/>
  <c r="H43" i="14"/>
  <c r="E48" i="14"/>
  <c r="J54" i="14"/>
  <c r="E22" i="14"/>
  <c r="G77" i="14"/>
  <c r="H79" i="14"/>
  <c r="C47" i="14"/>
  <c r="I95" i="14"/>
  <c r="D63" i="14"/>
  <c r="M63" i="14" s="1"/>
  <c r="H93" i="14"/>
  <c r="F50" i="14"/>
  <c r="I64" i="14"/>
  <c r="F89" i="14"/>
  <c r="G24" i="14"/>
  <c r="H71" i="14"/>
  <c r="F37" i="14"/>
  <c r="L92" i="14"/>
  <c r="G31" i="14"/>
  <c r="F26" i="14"/>
  <c r="F95" i="14"/>
  <c r="J58" i="14"/>
  <c r="D58" i="14"/>
  <c r="M58" i="14" s="1"/>
  <c r="D65" i="14"/>
  <c r="M65" i="14" s="1"/>
  <c r="F90" i="14"/>
  <c r="C32" i="14"/>
  <c r="F39" i="14"/>
  <c r="E28" i="14"/>
  <c r="K28" i="14" s="1"/>
  <c r="J65" i="14"/>
  <c r="L78" i="14"/>
  <c r="H27" i="14"/>
  <c r="J19" i="14"/>
  <c r="F88" i="14"/>
  <c r="H92" i="14"/>
  <c r="F78" i="14"/>
  <c r="D64" i="14"/>
  <c r="M64" i="14" s="1"/>
  <c r="L49" i="14"/>
  <c r="I35" i="14"/>
  <c r="J96" i="14"/>
  <c r="H80" i="14"/>
  <c r="F64" i="14"/>
  <c r="C48" i="14"/>
  <c r="J31" i="14"/>
  <c r="K31" i="14" s="1"/>
  <c r="I96" i="14"/>
  <c r="G80" i="14"/>
  <c r="E64" i="14"/>
  <c r="L47" i="14"/>
  <c r="I31" i="14"/>
  <c r="C95" i="14"/>
  <c r="E73" i="14"/>
  <c r="H51" i="14"/>
  <c r="C30" i="14"/>
  <c r="D70" i="14"/>
  <c r="M70" i="14" s="1"/>
  <c r="H20" i="14"/>
  <c r="G67" i="14"/>
  <c r="C27" i="14"/>
  <c r="J46" i="14"/>
  <c r="L90" i="14"/>
  <c r="C69" i="14"/>
  <c r="G47" i="14"/>
  <c r="C26" i="14"/>
  <c r="F82" i="14"/>
  <c r="I41" i="14"/>
  <c r="D74" i="14"/>
  <c r="M74" i="14" s="1"/>
  <c r="D28" i="14"/>
  <c r="M28" i="14" s="1"/>
  <c r="F79" i="14"/>
  <c r="E40" i="14"/>
  <c r="C72" i="14"/>
  <c r="H96" i="14"/>
  <c r="G46" i="14"/>
  <c r="J85" i="14"/>
  <c r="G34" i="14"/>
  <c r="L62" i="14"/>
  <c r="J23" i="14"/>
  <c r="E33" i="14"/>
  <c r="I61" i="14"/>
  <c r="D83" i="14"/>
  <c r="M83" i="14" s="1"/>
  <c r="J18" i="14"/>
  <c r="E41" i="14"/>
  <c r="J47" i="14"/>
  <c r="C87" i="14"/>
  <c r="I91" i="14"/>
  <c r="C49" i="14"/>
  <c r="J34" i="14"/>
  <c r="J95" i="14"/>
  <c r="F63" i="14"/>
  <c r="J30" i="14"/>
  <c r="G79" i="14"/>
  <c r="L46" i="14"/>
  <c r="L71" i="14"/>
  <c r="H67" i="14"/>
  <c r="F18" i="14"/>
  <c r="E44" i="14"/>
  <c r="D46" i="14"/>
  <c r="M46" i="14" s="1"/>
  <c r="D39" i="14"/>
  <c r="M39" i="14" s="1"/>
  <c r="C78" i="14"/>
  <c r="G42" i="14"/>
  <c r="L59" i="14"/>
  <c r="I47" i="14"/>
  <c r="E34" i="14"/>
  <c r="E87" i="14"/>
  <c r="H44" i="14"/>
  <c r="F30" i="14"/>
  <c r="I90" i="14"/>
  <c r="G74" i="14"/>
  <c r="C42" i="14"/>
  <c r="H90" i="14"/>
  <c r="J41" i="14"/>
  <c r="L86" i="14"/>
  <c r="D22" i="14"/>
  <c r="M22" i="14" s="1"/>
  <c r="G52" i="14"/>
  <c r="L60" i="14"/>
  <c r="D66" i="14"/>
  <c r="M66" i="14" s="1"/>
  <c r="E94" i="14"/>
  <c r="K94" i="14" s="1"/>
  <c r="G50" i="14"/>
  <c r="C67" i="14"/>
  <c r="L51" i="14"/>
  <c r="D76" i="14"/>
  <c r="M76" i="14" s="1"/>
  <c r="F86" i="14"/>
  <c r="D56" i="14"/>
  <c r="M56" i="14" s="1"/>
  <c r="I88" i="14"/>
  <c r="L40" i="14"/>
  <c r="H87" i="14"/>
  <c r="J39" i="14"/>
  <c r="J63" i="14"/>
  <c r="H18" i="14"/>
  <c r="D47" i="14"/>
  <c r="M47" i="14" s="1"/>
  <c r="E81" i="14"/>
  <c r="E35" i="14"/>
  <c r="F24" i="14"/>
  <c r="C63" i="14"/>
  <c r="H39" i="14"/>
  <c r="C60" i="14"/>
  <c r="D45" i="14"/>
  <c r="M45" i="14" s="1"/>
  <c r="D33" i="14"/>
  <c r="M33" i="14" s="1"/>
  <c r="F80" i="14"/>
  <c r="G85" i="14"/>
  <c r="I43" i="14"/>
  <c r="I87" i="14"/>
  <c r="L39" i="14"/>
  <c r="F73" i="14"/>
  <c r="J38" i="14"/>
  <c r="H62" i="14"/>
  <c r="H48" i="14"/>
  <c r="F44" i="14"/>
  <c r="L79" i="14"/>
  <c r="F97" i="14"/>
  <c r="L21" i="14"/>
  <c r="G60" i="14"/>
  <c r="C75" i="14"/>
  <c r="F56" i="14"/>
  <c r="E37" i="14"/>
  <c r="H61" i="14"/>
  <c r="I76" i="14"/>
  <c r="L41" i="14"/>
  <c r="E43" i="14"/>
  <c r="E93" i="14"/>
  <c r="C68" i="14"/>
  <c r="H54" i="14"/>
  <c r="G29" i="14"/>
  <c r="I40" i="14"/>
  <c r="F58" i="14"/>
  <c r="G48" i="14"/>
  <c r="E76" i="14"/>
  <c r="K76" i="14" s="1"/>
  <c r="I46" i="14"/>
  <c r="E57" i="14"/>
  <c r="G39" i="14"/>
  <c r="E29" i="14"/>
  <c r="J60" i="14"/>
  <c r="L96" i="14"/>
  <c r="H72" i="14"/>
  <c r="C36" i="14"/>
  <c r="I27" i="14"/>
  <c r="E86" i="14"/>
  <c r="C58" i="14"/>
  <c r="H46" i="14"/>
  <c r="C40" i="14"/>
  <c r="D55" i="14"/>
  <c r="M55" i="14" s="1"/>
  <c r="I49" i="14"/>
  <c r="D27" i="14"/>
  <c r="M27" i="14" s="1"/>
  <c r="L63" i="14"/>
  <c r="C37" i="14"/>
  <c r="H84" i="14"/>
  <c r="J42" i="14"/>
  <c r="G73" i="14"/>
  <c r="L38" i="14"/>
  <c r="F72" i="14"/>
  <c r="H23" i="14"/>
  <c r="C61" i="14"/>
  <c r="J45" i="14"/>
  <c r="C74" i="14"/>
  <c r="I78" i="14"/>
  <c r="H94" i="14"/>
  <c r="J53" i="14"/>
  <c r="C59" i="14"/>
  <c r="C71" i="14"/>
  <c r="F92" i="14"/>
  <c r="E30" i="14"/>
  <c r="H57" i="14"/>
  <c r="D37" i="14"/>
  <c r="M37" i="14" s="1"/>
  <c r="D72" i="14"/>
  <c r="M72" i="14" s="1"/>
  <c r="F71" i="14"/>
  <c r="E42" i="14"/>
  <c r="H59" i="14"/>
  <c r="G21" i="14"/>
  <c r="D91" i="14"/>
  <c r="M91" i="14" s="1"/>
  <c r="E71" i="14"/>
  <c r="I23" i="14"/>
  <c r="D57" i="14"/>
  <c r="M57" i="14" s="1"/>
  <c r="I21" i="14"/>
  <c r="D89" i="14"/>
  <c r="M89" i="14" s="1"/>
  <c r="D67" i="14"/>
  <c r="M67" i="14" s="1"/>
  <c r="H63" i="14"/>
  <c r="G35" i="14"/>
  <c r="F84" i="14"/>
  <c r="H28" i="14"/>
  <c r="I22" i="14"/>
  <c r="C56" i="14"/>
  <c r="F85" i="14"/>
  <c r="J87" i="14"/>
  <c r="K87" i="14" s="1"/>
  <c r="J56" i="14"/>
  <c r="C93" i="14"/>
  <c r="E21" i="14"/>
  <c r="I80" i="14"/>
  <c r="L57" i="14"/>
  <c r="H89" i="14"/>
  <c r="C55" i="14"/>
  <c r="D84" i="14"/>
  <c r="M84" i="14" s="1"/>
  <c r="C21" i="14"/>
  <c r="F25" i="14"/>
  <c r="C38" i="14"/>
  <c r="G91" i="14"/>
  <c r="E49" i="14"/>
  <c r="C57" i="14"/>
  <c r="I19" i="14"/>
  <c r="G36" i="14"/>
  <c r="H42" i="14"/>
  <c r="E84" i="14"/>
  <c r="G72" i="14"/>
  <c r="I24" i="14"/>
  <c r="H22" i="14"/>
  <c r="D71" i="14"/>
  <c r="M71" i="14" s="1"/>
  <c r="E51" i="14"/>
  <c r="G88" i="14"/>
  <c r="D30" i="14"/>
  <c r="M30" i="14" s="1"/>
  <c r="G71" i="14"/>
  <c r="E19" i="14"/>
  <c r="J84" i="14"/>
  <c r="F70" i="14"/>
  <c r="E52" i="14"/>
  <c r="E56" i="14"/>
  <c r="G96" i="14"/>
  <c r="J62" i="14"/>
  <c r="I89" i="14"/>
  <c r="H88" i="14"/>
  <c r="J40" i="14"/>
  <c r="L82" i="14"/>
  <c r="J22" i="14"/>
  <c r="E90" i="14"/>
  <c r="F34" i="14"/>
  <c r="T2" i="17"/>
  <c r="L2" i="17"/>
  <c r="Q2" i="17"/>
  <c r="K2" i="17"/>
  <c r="N2" i="17"/>
  <c r="M2" i="17"/>
  <c r="O2" i="17"/>
  <c r="AI2" i="17" s="1"/>
  <c r="P2" i="17"/>
  <c r="AL2" i="17"/>
  <c r="K74" i="14" l="1"/>
  <c r="K39" i="14"/>
  <c r="K50" i="14"/>
  <c r="K68" i="14"/>
  <c r="K52" i="14"/>
  <c r="K59" i="14"/>
  <c r="K88" i="14"/>
  <c r="K42" i="14"/>
  <c r="K97" i="14"/>
  <c r="K78" i="14"/>
  <c r="K24" i="14"/>
  <c r="K80" i="14"/>
  <c r="K29" i="14"/>
  <c r="K37" i="14"/>
  <c r="K47" i="14"/>
  <c r="K65" i="14"/>
  <c r="K48" i="14"/>
  <c r="K73" i="14"/>
  <c r="K38" i="14"/>
  <c r="K60" i="14"/>
  <c r="K72" i="14"/>
  <c r="K53" i="14"/>
  <c r="K66" i="14"/>
  <c r="K34" i="14"/>
  <c r="K18" i="14"/>
  <c r="K20" i="14"/>
  <c r="K54" i="14"/>
  <c r="K33" i="14"/>
  <c r="K45" i="14"/>
  <c r="K89" i="14"/>
  <c r="K83" i="14"/>
  <c r="K26" i="14"/>
  <c r="K27" i="14"/>
  <c r="K40" i="14"/>
  <c r="K75" i="14"/>
  <c r="K85" i="14"/>
  <c r="K58" i="14"/>
  <c r="K35" i="14"/>
  <c r="K21" i="14"/>
  <c r="K57" i="14"/>
  <c r="K79" i="14"/>
  <c r="K55" i="14"/>
  <c r="K90" i="14"/>
  <c r="K69" i="14"/>
  <c r="K56" i="14"/>
  <c r="K96" i="14"/>
  <c r="K77" i="14"/>
  <c r="K61" i="14"/>
  <c r="K41" i="14"/>
  <c r="K43" i="14"/>
  <c r="K23" i="14"/>
  <c r="K84" i="14"/>
  <c r="K30" i="14"/>
  <c r="K86" i="14"/>
  <c r="K93" i="14"/>
  <c r="K63" i="14"/>
  <c r="K44" i="14"/>
  <c r="K95" i="14"/>
  <c r="K64" i="14"/>
  <c r="K22" i="14"/>
  <c r="K49" i="14"/>
  <c r="K82" i="14"/>
  <c r="K67" i="14"/>
  <c r="K36" i="14"/>
  <c r="K70" i="14"/>
  <c r="AK2" i="17"/>
  <c r="AJ2" i="17"/>
  <c r="AM2" i="17"/>
  <c r="AQ2" i="17" l="1"/>
  <c r="AP2" i="17"/>
  <c r="AR2" i="17" s="1"/>
  <c r="AH2" i="17"/>
  <c r="AG2" i="17"/>
  <c r="AF2" i="17"/>
  <c r="AE2" i="17"/>
  <c r="AD2" i="17"/>
  <c r="AC2" i="17"/>
  <c r="AN2" i="17"/>
</calcChain>
</file>

<file path=xl/sharedStrings.xml><?xml version="1.0" encoding="utf-8"?>
<sst xmlns="http://schemas.openxmlformats.org/spreadsheetml/2006/main" count="187" uniqueCount="122">
  <si>
    <t>ISCOM</t>
  </si>
  <si>
    <t>Pigier</t>
  </si>
  <si>
    <t>Tunon</t>
  </si>
  <si>
    <t>Chiffre d'affaires</t>
  </si>
  <si>
    <t>Effectif</t>
  </si>
  <si>
    <t>SCENARIO</t>
  </si>
  <si>
    <t>PERIODE</t>
  </si>
  <si>
    <t>ENTITY</t>
  </si>
  <si>
    <t>PROGRAMME</t>
  </si>
  <si>
    <t>AN_ETUDE</t>
  </si>
  <si>
    <t>MODALITE</t>
  </si>
  <si>
    <t>EXERCICE</t>
  </si>
  <si>
    <t>VOL_NEW</t>
  </si>
  <si>
    <t>VOL_EFF</t>
  </si>
  <si>
    <t>VOL_CLASS</t>
  </si>
  <si>
    <t>CA</t>
  </si>
  <si>
    <t>VERSION</t>
  </si>
  <si>
    <t>MARQUE</t>
  </si>
  <si>
    <t>COST_VAC</t>
  </si>
  <si>
    <t>COST_PERM</t>
  </si>
  <si>
    <t>COST_ODIR</t>
  </si>
  <si>
    <t>COST_STRUCT</t>
  </si>
  <si>
    <t>COST_SIEGE</t>
  </si>
  <si>
    <t>COST_VARIABLE</t>
  </si>
  <si>
    <t>COST_STRUCTURE</t>
  </si>
  <si>
    <t>COST_COMPLET</t>
  </si>
  <si>
    <t>MARGE_COMPLETE</t>
  </si>
  <si>
    <t>Template09</t>
  </si>
  <si>
    <t>Maille fine — deplie campus/classe avec les [+]</t>
  </si>
  <si>
    <t>Marque ▸ Campus ▸ Classe</t>
  </si>
  <si>
    <t>VAC</t>
  </si>
  <si>
    <t>PERM</t>
  </si>
  <si>
    <t>ODIR</t>
  </si>
  <si>
    <t>STRUCT</t>
  </si>
  <si>
    <t>Frais marque</t>
  </si>
  <si>
    <t>Holding</t>
  </si>
  <si>
    <t>Cout complet</t>
  </si>
  <si>
    <t>Marge complete</t>
  </si>
  <si>
    <t>Marge %</t>
  </si>
  <si>
    <t>GROUPE</t>
  </si>
  <si>
    <t>■ VIOLET = colonne branchee sur une saisie (cad / Pilotage / 3_Allocation) -&gt; a recabler cote Tagetik</t>
  </si>
  <si>
    <t>PROG</t>
  </si>
  <si>
    <t>AN</t>
  </si>
  <si>
    <t>MOD</t>
  </si>
  <si>
    <t>HRS</t>
  </si>
  <si>
    <t>E_EFF</t>
  </si>
  <si>
    <t>E_CLS</t>
  </si>
  <si>
    <t>E_CA</t>
  </si>
  <si>
    <t>E_HRS</t>
  </si>
  <si>
    <t>E_NEW</t>
  </si>
  <si>
    <t>M_EFF</t>
  </si>
  <si>
    <t>M_CLS</t>
  </si>
  <si>
    <t>M_CA</t>
  </si>
  <si>
    <t>G_EFF</t>
  </si>
  <si>
    <t>G_CLS</t>
  </si>
  <si>
    <t>G_CA</t>
  </si>
  <si>
    <t>MKT</t>
  </si>
  <si>
    <t>STRUCT_CAMP</t>
  </si>
  <si>
    <t>SIEGE</t>
  </si>
  <si>
    <t>D3C</t>
  </si>
  <si>
    <t>D3E</t>
  </si>
  <si>
    <t>D2E</t>
  </si>
  <si>
    <t>D2M</t>
  </si>
  <si>
    <t>D1M</t>
  </si>
  <si>
    <t>D1G</t>
  </si>
  <si>
    <t>MARGE</t>
  </si>
  <si>
    <t>FRAIS_MARQUE_TOT</t>
  </si>
  <si>
    <t>D1M_K4</t>
  </si>
  <si>
    <t>D1G_K4</t>
  </si>
  <si>
    <t>COST_MARQUE</t>
  </si>
  <si>
    <t>Siège administratif  →  marque</t>
  </si>
  <si>
    <t>Publicité de marque  →  marque</t>
  </si>
  <si>
    <t>Marque  →  campus</t>
  </si>
  <si>
    <t>Campus  →  classe</t>
  </si>
  <si>
    <t>Nombre de classes</t>
  </si>
  <si>
    <t>COST_HOLDING</t>
  </si>
  <si>
    <t>POOL_VAC</t>
  </si>
  <si>
    <t>POOL_PERM</t>
  </si>
  <si>
    <t>POOL_ODIR</t>
  </si>
  <si>
    <t>POOL_MKT</t>
  </si>
  <si>
    <t>POOL_STRUCT</t>
  </si>
  <si>
    <t>POOL_HOLDING</t>
  </si>
  <si>
    <t>POOL_FRAIS_MARQUE</t>
  </si>
  <si>
    <t>EXVER</t>
  </si>
  <si>
    <t>Version budget restituée</t>
  </si>
  <si>
    <t>Scénario</t>
  </si>
  <si>
    <t>Frais de marque</t>
  </si>
  <si>
    <t>Total alloué</t>
  </si>
  <si>
    <t>Frais de structure campus</t>
  </si>
  <si>
    <t>Allocation &amp; RENTABILITE  -  Coût complet du groupe à la classe</t>
  </si>
  <si>
    <t>Cles d'Allocation</t>
  </si>
  <si>
    <t>MBway</t>
  </si>
  <si>
    <t>Paris</t>
  </si>
  <si>
    <t>Bachelor Management, 1re année, initial</t>
  </si>
  <si>
    <t>Bachelor Management, 2e année, alternance</t>
  </si>
  <si>
    <t>Bachelor Management, 3e année, alternance</t>
  </si>
  <si>
    <t>Mastère Management, 1re année, alternance</t>
  </si>
  <si>
    <t>Mastère Management, 2e année, alternance</t>
  </si>
  <si>
    <t>Lyon</t>
  </si>
  <si>
    <t>Nantes</t>
  </si>
  <si>
    <t>Bordeaux</t>
  </si>
  <si>
    <t>Bachelor Communication, 1re année, initial</t>
  </si>
  <si>
    <t>Bachelor Communication, 2e année, alternance</t>
  </si>
  <si>
    <t>Bachelor Communication, 3e année, alternance</t>
  </si>
  <si>
    <t>Mastère Communication, 1re année, alternance</t>
  </si>
  <si>
    <t>Mastère Communication, 2e année, alternance</t>
  </si>
  <si>
    <t>Lille</t>
  </si>
  <si>
    <t>Toulouse</t>
  </si>
  <si>
    <t>Ipac Bachelor Factory</t>
  </si>
  <si>
    <t>Bachelor Commerce, 1re année, alternance</t>
  </si>
  <si>
    <t>Bachelor Commerce, 2e année, alternance</t>
  </si>
  <si>
    <t>Bachelor Commerce, 3e année, alternance</t>
  </si>
  <si>
    <t>Rennes</t>
  </si>
  <si>
    <t>Montpellier</t>
  </si>
  <si>
    <t>Bachelor Ressources humaines, 1re année, alternance</t>
  </si>
  <si>
    <t>Bachelor Ressources humaines, 2e année, alternance</t>
  </si>
  <si>
    <t>Bachelor Ressources humaines, 3e année, alternance</t>
  </si>
  <si>
    <t>BTS Gestion, 1re année, alternance</t>
  </si>
  <si>
    <t>BTS Gestion, 2e année, alternance</t>
  </si>
  <si>
    <t>Bachelor Tourisme, 1re année, alternance</t>
  </si>
  <si>
    <t>Bachelor Tourisme, 2e année, alternance</t>
  </si>
  <si>
    <t>Bachelor Tourisme, 3e année, alternance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</si>
</sst>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_(* #,##0.00_);_(* \(#,##0.00\);_(* &quot;-&quot;??_);_(@_)"/>
    <numFmt numFmtId="165" formatCode="#,##0&quot; €&quot;;\-#,##0&quot; €&quot;;&quot;–&quot;"/>
    <numFmt numFmtId="166" formatCode="0.0%;\-0.0%;&quot;–&quot;"/>
    <numFmt numFmtId="167" formatCode="#,##0;\-#,##0;&quot;–&quot;"/>
  </numFmts>
  <fonts count="22" x14ac:knownFonts="1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theme="0"/>
      <name val="Aptos Narrow"/>
      <family val="2"/>
      <scheme val="minor"/>
    </font>
    <font>
      <sz val="11"/>
      <color rgb="FF3B3B3B"/>
      <name val="Arial"/>
      <family val="2"/>
    </font>
    <font>
      <b/>
      <sz val="11"/>
      <color rgb="FF1B5FA6"/>
      <name val="Arial"/>
      <family val="2"/>
    </font>
    <font>
      <b/>
      <sz val="11"/>
      <color rgb="FF1F3864"/>
      <name val="Arial"/>
      <family val="2"/>
    </font>
    <font>
      <b/>
      <sz val="11"/>
      <color rgb="FF2E7D42"/>
      <name val="Arial"/>
      <family val="2"/>
    </font>
    <font>
      <sz val="11"/>
      <color rgb="FF2E7D42"/>
      <name val="Arial"/>
      <family val="2"/>
    </font>
    <font>
      <b/>
      <i/>
      <sz val="11"/>
      <color theme="1"/>
      <name val="Aptos Narrow"/>
      <family val="2"/>
      <scheme val="minor"/>
    </font>
    <font>
      <b/>
      <sz val="16"/>
      <color theme="1"/>
      <name val="Calibri"/>
      <family val="2"/>
    </font>
    <font>
      <b/>
      <sz val="10"/>
      <color rgb="FF15406E"/>
      <name val="Arial"/>
      <family val="2"/>
    </font>
    <font>
      <b/>
      <sz val="10"/>
      <color rgb="FF333333"/>
      <name val="Arial"/>
      <family val="2"/>
    </font>
    <font>
      <sz val="10"/>
      <color rgb="FF555555"/>
      <name val="Arial"/>
      <family val="2"/>
    </font>
    <font>
      <b/>
      <sz val="9"/>
      <color rgb="FF15406E"/>
      <name val="Arial"/>
      <family val="2"/>
    </font>
    <font>
      <b/>
      <sz val="18"/>
      <color theme="1"/>
      <name val="Arial"/>
      <family val="2"/>
    </font>
    <font>
      <b/>
      <sz val="11"/>
      <color rgb="FFB8860B"/>
      <name val="Arial"/>
      <family val="2"/>
    </font>
    <font>
      <b/>
      <sz val="10.5"/>
      <color rgb="FF262626"/>
      <name val="Arial"/>
      <family val="2"/>
    </font>
    <font>
      <b/>
      <sz val="8.5"/>
      <color rgb="FF262626"/>
      <name val="Arial"/>
      <family val="2"/>
    </font>
    <font>
      <b/>
      <sz val="8.5"/>
      <color rgb="FFFFFFFF"/>
      <name val="Arial"/>
      <family val="2"/>
    </font>
    <font>
      <b/>
      <sz val="10"/>
      <color rgb="FF262626"/>
      <name val="Arial"/>
      <family val="2"/>
    </font>
    <font>
      <b/>
      <sz val="11"/>
      <color rgb="FF262626"/>
      <name val="Arial"/>
      <family val="2"/>
    </font>
  </fonts>
  <fills count="14">
    <fill>
      <patternFill patternType="none"/>
    </fill>
    <fill>
      <patternFill patternType="gray125"/>
    </fill>
    <fill>
      <patternFill patternType="solid">
        <fgColor rgb="FFF7F7F9"/>
      </patternFill>
    </fill>
    <fill>
      <patternFill patternType="solid">
        <fgColor rgb="FFFFF2CC"/>
        <bgColor indexed="64"/>
      </patternFill>
    </fill>
    <fill>
      <patternFill patternType="solid">
        <fgColor rgb="FFD4E6FA"/>
        <bgColor rgb="FF000000"/>
      </patternFill>
    </fill>
    <fill>
      <patternFill patternType="solid">
        <fgColor rgb="FFDDF2E3"/>
        <bgColor rgb="FF000000"/>
      </patternFill>
    </fill>
    <fill>
      <patternFill patternType="solid">
        <fgColor rgb="FFE8F0FB"/>
        <bgColor rgb="FF000000"/>
      </patternFill>
    </fill>
    <fill>
      <patternFill patternType="solid">
        <fgColor rgb="FFECEEF1"/>
        <bgColor rgb="FF000000"/>
      </patternFill>
    </fill>
    <fill>
      <patternFill patternType="solid">
        <fgColor rgb="FFFBEFD0"/>
        <bgColor rgb="FF000000"/>
      </patternFill>
    </fill>
    <fill>
      <patternFill patternType="solid">
        <fgColor rgb="FFE7E6E6"/>
        <bgColor indexed="64"/>
      </patternFill>
    </fill>
    <fill>
      <patternFill patternType="solid">
        <fgColor rgb="FF007AC3"/>
        <bgColor indexed="64"/>
      </patternFill>
    </fill>
    <fill>
      <patternFill patternType="solid">
        <fgColor rgb="FFE8F1F9"/>
        <bgColor indexed="64"/>
      </patternFill>
    </fill>
    <fill>
      <patternFill patternType="solid">
        <fgColor rgb="FFF7F7F9"/>
        <bgColor indexed="64"/>
      </patternFill>
    </fill>
    <fill>
      <patternFill patternType="solid">
        <fgColor rgb="FFFFFFFF"/>
        <bgColor indexed="64"/>
      </patternFill>
    </fill>
  </fills>
  <borders count="12">
    <border>
      <left/>
      <right/>
      <top/>
      <bottom/>
      <diagonal/>
    </border>
    <border>
      <left style="thin">
        <color rgb="FFE0E0E0"/>
      </left>
      <right style="thin">
        <color rgb="FFE0E0E0"/>
      </right>
      <top style="thin">
        <color rgb="FFE0E0E0"/>
      </top>
      <bottom style="thin">
        <color rgb="FFE0E0E0"/>
      </bottom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D9D9D9"/>
      </bottom>
      <diagonal/>
    </border>
    <border>
      <left style="thin">
        <color rgb="FFE0A800"/>
      </left>
      <right style="thin">
        <color rgb="FFE0A800"/>
      </right>
      <top style="thin">
        <color rgb="FFE0A800"/>
      </top>
      <bottom style="thin">
        <color rgb="FFE0A800"/>
      </bottom>
      <diagonal/>
    </border>
    <border>
      <left/>
      <right/>
      <top/>
      <bottom style="thin">
        <color rgb="FFBFBFBF"/>
      </bottom>
      <diagonal/>
    </border>
    <border>
      <left/>
      <right/>
      <top/>
      <bottom style="medium">
        <color indexed="64"/>
      </bottom>
      <diagonal/>
    </border>
    <border>
      <left/>
      <right/>
      <top/>
      <bottom style="thin">
        <color rgb="FF262626"/>
      </bottom>
      <diagonal/>
    </border>
    <border>
      <left style="thin">
        <color rgb="FFE0E0E0"/>
      </left>
      <right style="thin">
        <color rgb="FFE0E0E0"/>
      </right>
      <top style="thin">
        <color rgb="FF262626"/>
      </top>
      <bottom style="thin">
        <color rgb="FF262626"/>
      </bottom>
      <diagonal/>
    </border>
    <border>
      <left style="thin">
        <color rgb="FFE0E0E0"/>
      </left>
      <right style="thin">
        <color rgb="FFE0E0E0"/>
      </right>
      <top/>
      <bottom style="thin">
        <color rgb="FFD5D7DA"/>
      </bottom>
      <diagonal/>
    </border>
    <border>
      <left style="thin">
        <color rgb="FFD9D9D9"/>
      </left>
      <right style="thin">
        <color rgb="FFD9D9D9"/>
      </right>
      <top/>
      <bottom style="thin">
        <color rgb="FFD5D7DA"/>
      </bottom>
      <diagonal/>
    </border>
    <border>
      <left style="thin">
        <color rgb="FFE0E0E0"/>
      </left>
      <right style="thin">
        <color rgb="FFE0E0E0"/>
      </right>
      <top style="thin">
        <color rgb="FF262626"/>
      </top>
      <bottom style="double">
        <color rgb="FF262626"/>
      </bottom>
      <diagonal/>
    </border>
    <border>
      <left style="thin">
        <color rgb="FFD9D9D9"/>
      </left>
      <right style="thin">
        <color rgb="FFD9D9D9"/>
      </right>
      <top style="thin">
        <color rgb="FF262626"/>
      </top>
      <bottom style="double">
        <color rgb="FF262626"/>
      </bottom>
      <diagonal/>
    </border>
  </borders>
  <cellStyleXfs count="2">
    <xf numFmtId="0" fontId="0" fillId="0" borderId="0"/>
    <xf numFmtId="164" fontId="1" fillId="0" borderId="0" applyFont="0" applyFill="0" applyBorder="0" applyAlignment="0" applyProtection="0"/>
  </cellStyleXfs>
  <cellXfs count="40">
    <xf numFmtId="0" fontId="0" fillId="0" borderId="0" xfId="0"/>
    <xf numFmtId="0" fontId="2" fillId="0" borderId="0" xfId="0" quotePrefix="1" applyFont="1"/>
    <xf numFmtId="165" fontId="4" fillId="0" borderId="2" xfId="0" applyNumberFormat="1" applyFont="1" applyBorder="1" applyAlignment="1">
      <alignment horizontal="right" vertical="center"/>
    </xf>
    <xf numFmtId="167" fontId="4" fillId="0" borderId="2" xfId="0" applyNumberFormat="1" applyFont="1" applyBorder="1" applyAlignment="1">
      <alignment horizontal="right" vertical="center"/>
    </xf>
    <xf numFmtId="0" fontId="6" fillId="0" borderId="0" xfId="0" applyFont="1" applyAlignment="1">
      <alignment horizontal="left" vertical="center"/>
    </xf>
    <xf numFmtId="0" fontId="5" fillId="3" borderId="3" xfId="0" applyFont="1" applyFill="1" applyBorder="1" applyAlignment="1">
      <alignment horizontal="center" vertical="center" wrapText="1"/>
    </xf>
    <xf numFmtId="0" fontId="9" fillId="0" borderId="0" xfId="0" quotePrefix="1" applyFont="1"/>
    <xf numFmtId="0" fontId="3" fillId="0" borderId="0" xfId="0" applyFont="1"/>
    <xf numFmtId="0" fontId="12" fillId="2" borderId="1" xfId="0" applyFont="1" applyFill="1" applyBorder="1" applyAlignment="1">
      <alignment horizontal="left" vertical="center"/>
    </xf>
    <xf numFmtId="0" fontId="14" fillId="4" borderId="4" xfId="0" applyFont="1" applyFill="1" applyBorder="1" applyAlignment="1">
      <alignment horizontal="center" vertical="center" wrapText="1"/>
    </xf>
    <xf numFmtId="0" fontId="14" fillId="5" borderId="4" xfId="0" applyFont="1" applyFill="1" applyBorder="1" applyAlignment="1">
      <alignment horizontal="center" vertical="center" wrapText="1"/>
    </xf>
    <xf numFmtId="0" fontId="14" fillId="6" borderId="4" xfId="0" applyFont="1" applyFill="1" applyBorder="1" applyAlignment="1">
      <alignment horizontal="center" vertical="center" wrapText="1"/>
    </xf>
    <xf numFmtId="0" fontId="14" fillId="7" borderId="4" xfId="0" applyFont="1" applyFill="1" applyBorder="1" applyAlignment="1">
      <alignment horizontal="center" vertical="center" wrapText="1"/>
    </xf>
    <xf numFmtId="0" fontId="14" fillId="8" borderId="4" xfId="0" applyFont="1" applyFill="1" applyBorder="1" applyAlignment="1">
      <alignment horizontal="center" vertical="center" wrapText="1"/>
    </xf>
    <xf numFmtId="0" fontId="16" fillId="0" borderId="0" xfId="0" applyFont="1"/>
    <xf numFmtId="0" fontId="10" fillId="0" borderId="5" xfId="0" applyFont="1" applyBorder="1" applyAlignment="1">
      <alignment horizontal="left"/>
    </xf>
    <xf numFmtId="0" fontId="15" fillId="0" borderId="5" xfId="0" applyFont="1" applyBorder="1" applyAlignment="1">
      <alignment horizontal="left" vertical="center"/>
    </xf>
    <xf numFmtId="0" fontId="17" fillId="0" borderId="6" xfId="0" applyFont="1" applyBorder="1"/>
    <xf numFmtId="0" fontId="18" fillId="9" borderId="7" xfId="0" applyFont="1" applyFill="1" applyBorder="1" applyAlignment="1">
      <alignment horizontal="center" vertical="center" wrapText="1"/>
    </xf>
    <xf numFmtId="0" fontId="19" fillId="10" borderId="7" xfId="0" applyFont="1" applyFill="1" applyBorder="1" applyAlignment="1">
      <alignment horizontal="center" vertical="center" wrapText="1"/>
    </xf>
    <xf numFmtId="0" fontId="11" fillId="11" borderId="8" xfId="0" applyFont="1" applyFill="1" applyBorder="1" applyAlignment="1">
      <alignment horizontal="left" vertical="center"/>
    </xf>
    <xf numFmtId="167" fontId="6" fillId="11" borderId="9" xfId="0" applyNumberFormat="1" applyFont="1" applyFill="1" applyBorder="1" applyAlignment="1">
      <alignment horizontal="right" vertical="center"/>
    </xf>
    <xf numFmtId="165" fontId="6" fillId="11" borderId="9" xfId="0" applyNumberFormat="1" applyFont="1" applyFill="1" applyBorder="1" applyAlignment="1">
      <alignment horizontal="right" vertical="center"/>
    </xf>
    <xf numFmtId="165" fontId="7" fillId="11" borderId="9" xfId="0" applyNumberFormat="1" applyFont="1" applyFill="1" applyBorder="1" applyAlignment="1">
      <alignment horizontal="right" vertical="center"/>
    </xf>
    <xf numFmtId="166" fontId="6" fillId="11" borderId="9" xfId="0" applyNumberFormat="1" applyFont="1" applyFill="1" applyBorder="1" applyAlignment="1">
      <alignment horizontal="right" vertical="center"/>
    </xf>
    <xf numFmtId="0" fontId="12" fillId="12" borderId="8" xfId="0" applyFont="1" applyFill="1" applyBorder="1" applyAlignment="1">
      <alignment horizontal="left" vertical="center" indent="1"/>
    </xf>
    <xf numFmtId="167" fontId="6" fillId="12" borderId="9" xfId="0" applyNumberFormat="1" applyFont="1" applyFill="1" applyBorder="1" applyAlignment="1">
      <alignment horizontal="right" vertical="center"/>
    </xf>
    <xf numFmtId="165" fontId="6" fillId="12" borderId="9" xfId="0" applyNumberFormat="1" applyFont="1" applyFill="1" applyBorder="1" applyAlignment="1">
      <alignment horizontal="right" vertical="center"/>
    </xf>
    <xf numFmtId="165" fontId="7" fillId="12" borderId="9" xfId="0" applyNumberFormat="1" applyFont="1" applyFill="1" applyBorder="1" applyAlignment="1">
      <alignment horizontal="right" vertical="center"/>
    </xf>
    <xf numFmtId="166" fontId="6" fillId="12" borderId="9" xfId="0" applyNumberFormat="1" applyFont="1" applyFill="1" applyBorder="1" applyAlignment="1">
      <alignment horizontal="right" vertical="center"/>
    </xf>
    <xf numFmtId="0" fontId="13" fillId="13" borderId="8" xfId="0" applyFont="1" applyFill="1" applyBorder="1" applyAlignment="1">
      <alignment horizontal="left" vertical="center" indent="2"/>
    </xf>
    <xf numFmtId="167" fontId="4" fillId="13" borderId="9" xfId="0" applyNumberFormat="1" applyFont="1" applyFill="1" applyBorder="1" applyAlignment="1">
      <alignment horizontal="right" vertical="center"/>
    </xf>
    <xf numFmtId="165" fontId="4" fillId="13" borderId="9" xfId="0" applyNumberFormat="1" applyFont="1" applyFill="1" applyBorder="1" applyAlignment="1">
      <alignment horizontal="right" vertical="center"/>
    </xf>
    <xf numFmtId="165" fontId="6" fillId="13" borderId="9" xfId="0" applyNumberFormat="1" applyFont="1" applyFill="1" applyBorder="1" applyAlignment="1">
      <alignment horizontal="right" vertical="center"/>
    </xf>
    <xf numFmtId="165" fontId="8" fillId="13" borderId="9" xfId="0" applyNumberFormat="1" applyFont="1" applyFill="1" applyBorder="1" applyAlignment="1">
      <alignment horizontal="right" vertical="center"/>
    </xf>
    <xf numFmtId="166" fontId="4" fillId="13" borderId="9" xfId="0" applyNumberFormat="1" applyFont="1" applyFill="1" applyBorder="1" applyAlignment="1">
      <alignment horizontal="right" vertical="center"/>
    </xf>
    <xf numFmtId="0" fontId="20" fillId="9" borderId="10" xfId="0" applyFont="1" applyFill="1" applyBorder="1" applyAlignment="1">
      <alignment horizontal="left" vertical="center"/>
    </xf>
    <xf numFmtId="167" fontId="21" fillId="9" borderId="11" xfId="0" applyNumberFormat="1" applyFont="1" applyFill="1" applyBorder="1" applyAlignment="1">
      <alignment horizontal="right" vertical="center"/>
    </xf>
    <xf numFmtId="165" fontId="21" fillId="9" borderId="11" xfId="0" applyNumberFormat="1" applyFont="1" applyFill="1" applyBorder="1" applyAlignment="1">
      <alignment horizontal="right" vertical="center"/>
    </xf>
    <xf numFmtId="166" fontId="21" fillId="9" borderId="11" xfId="0" applyNumberFormat="1" applyFont="1" applyFill="1" applyBorder="1" applyAlignment="1">
      <alignment horizontal="right" vertical="center"/>
    </xf>
  </cellXfs>
  <cellStyles count="2">
    <cellStyle name="Milliers 2" xfId="1" xr:uid="{262149E1-252F-4FAD-A249-DB5BC9D01155}"/>
    <cellStyle name="Normal" xfId="0" builtinId="0"/>
  </cellStyles>
  <dxfs count="0"/>
  <tableStyles count="0" defaultTableStyle="TableStyleMedium2" defaultPivotStyle="PivotStyleLight16"/>
  <colors>
    <mruColors>
      <color rgb="FFFFCC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3" Type="http://schemas.microsoft.com/office/2007/relationships/hdphoto" Target="../media/hdphoto1.wdp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184150</xdr:colOff>
      <xdr:row>0</xdr:row>
      <xdr:rowOff>69850</xdr:rowOff>
    </xdr:from>
    <xdr:to>
      <xdr:col>1</xdr:col>
      <xdr:colOff>1873463</xdr:colOff>
      <xdr:row>1</xdr:row>
      <xdr:rowOff>516687</xdr:rowOff>
    </xdr:to>
    <xdr:pic>
      <xdr:nvPicPr>
        <xdr:cNvPr id="2" name="Image 1">
          <a:extLst>
            <a:ext uri="{FF2B5EF4-FFF2-40B4-BE49-F238E27FC236}">
              <a16:creationId xmlns:a16="http://schemas.microsoft.com/office/drawing/2014/main" id="{0202FD50-FC34-4BFA-B462-2E67D474D37C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8675" b="33829"/>
        <a:stretch>
          <a:fillRect/>
        </a:stretch>
      </xdr:blipFill>
      <xdr:spPr bwMode="auto">
        <a:xfrm>
          <a:off x="184150" y="69850"/>
          <a:ext cx="1911563" cy="68178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896470</xdr:colOff>
      <xdr:row>0</xdr:row>
      <xdr:rowOff>74705</xdr:rowOff>
    </xdr:from>
    <xdr:to>
      <xdr:col>11</xdr:col>
      <xdr:colOff>660027</xdr:colOff>
      <xdr:row>1</xdr:row>
      <xdr:rowOff>692757</xdr:rowOff>
    </xdr:to>
    <xdr:pic>
      <xdr:nvPicPr>
        <xdr:cNvPr id="3" name="Picture 16">
          <a:extLst>
            <a:ext uri="{FF2B5EF4-FFF2-40B4-BE49-F238E27FC236}">
              <a16:creationId xmlns:a16="http://schemas.microsoft.com/office/drawing/2014/main" id="{F95C9E8F-2359-47B5-B082-5E84BF7E8E9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BEBA8EAE-BF5A-486C-A8C5-ECC9F3942E4B}">
              <a14:imgProps xmlns:a14="http://schemas.microsoft.com/office/drawing/2010/main">
                <a14:imgLayer r:embed="rId3">
                  <a14:imgEffect>
                    <a14:saturation sat="30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13363015" y="74705"/>
          <a:ext cx="775074" cy="857859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ebextensions/_rels/taskpanes.xml.rels><?xml version="1.0" encoding="UTF-8" standalone="yes"?>
<Relationships xmlns="http://schemas.openxmlformats.org/package/2006/relationships"><Relationship Id="rId2" Type="http://schemas.microsoft.com/office/2011/relationships/webextension" Target="webextension2.xml"/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700" row="3">
    <wetp:webextensionref xmlns:r="http://schemas.openxmlformats.org/officeDocument/2006/relationships" r:id="rId1"/>
  </wetp:taskpane>
  <wetp:taskpane dockstate="right" visibility="0" width="0" row="0">
    <wetp:webextensionref xmlns:r="http://schemas.openxmlformats.org/officeDocument/2006/relationships" r:id="rId2"/>
  </wetp:taskpane>
</wetp:taskpanes>
</file>

<file path=xl/webextensions/webextension1.xml><?xml version="1.0" encoding="utf-8"?>
<we:webextension xmlns:we="http://schemas.microsoft.com/office/webextensions/webextension/2010/11" id="{89E323C7-299B-44E1-8D3E-F042F0678280}">
  <we:reference id="wa200002415" version="5.0.0.0" store="fr-FR" storeType="OMEX"/>
  <we:alternateReferences>
    <we:reference id="WA200002415" version="5.0.0.0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_xldudf_NAS</we:customFunctionIds>
        <we:customFunctionIds>_xldudf_NASRT</we:customFunctionIds>
        <we:customFunctionIds>_xldudf_MYFOCUSTICKER</we:customFunctionIds>
      </we:customFunctionIdList>
    </a:ext>
    <a:ext xmlns:a="http://schemas.openxmlformats.org/drawingml/2006/main" uri="{0858819E-0033-43BF-8937-05EC82904868}">
      <we:backgroundApp state="1" runtimeId="NasdaqRuntime.Url"/>
    </a:ext>
  </we:extLst>
</we:webextension>
</file>

<file path=xl/webextensions/webextension2.xml><?xml version="1.0" encoding="utf-8"?>
<we:webextension xmlns:we="http://schemas.microsoft.com/office/webextensions/webextension/2010/11" id="{9C5DB361-F477-4584-A0FE-AF477B2F5A94}">
  <we:reference id="wa200005611" version="1.0.0.4" store="fr-FR" storeType="OMEX"/>
  <we:alternateReferences>
    <we:reference id="WA200005611" version="1.0.0.4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_xldudf_COMDATA</we:customFunctionIds>
        <we:customFunctionIds>_xldudf_CONSDATA</we:customFunctionIds>
        <we:customFunctionIds>_xldudf_CONVDATA</we:customFunctionIds>
        <we:customFunctionIds>_xldudf_CURDATA</we:customFunctionIds>
        <we:customFunctionIds>_xldudf_DATECONSO</we:customFunctionIds>
        <we:customFunctionIds>_xldudf_DATELIA</we:customFunctionIds>
        <we:customFunctionIds>_xldudf_STATCONSO</we:customFunctionIds>
        <we:customFunctionIds>_xldudf_STATLIA</we:customFunctionIds>
        <we:customFunctionIds>_xldudf_LIBELLE</we:customFunctionIds>
        <we:customFunctionIds>_xldudf_LOCDATA</we:customFunctionIds>
        <we:customFunctionIds>_xldudf_SCOPDATA</we:customFunctionIds>
        <we:customFunctionIds>_xldudf_ENTDATA</we:customFunctionIds>
        <we:customFunctionIds>_xldudf_SOCDATA</we:customFunctionIds>
        <we:customFunctionIds>_xldudf_TAXDATA</we:customFunctionIds>
        <we:customFunctionIds>_xldudf_IMPORTDATA</we:customFunctionIds>
      </we:customFunctionIdList>
    </a:ext>
    <a:ext xmlns:a="http://schemas.openxmlformats.org/drawingml/2006/main" uri="{0858819E-0033-43BF-8937-05EC82904868}">
      <we:backgroundApp state="1" runtimeId="Login.Url"/>
    </a:ext>
  </we:extLst>
</we:webextension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customProperty" Target="../customProperty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A0D689-901B-45E2-84E3-22F8FA4E25B3}">
  <dimension ref="A10:B10"/>
  <sheetViews>
    <sheetView workbookViewId="0"/>
  </sheetViews>
  <sheetFormatPr baseColWidth="10" defaultRowHeight="14.25" x14ac:dyDescent="0.45"/>
  <sheetData>
    <row r="10" spans="1:2" x14ac:dyDescent="0.45">
      <c r="A10" t="s">
        <v>27</v>
      </c>
      <c r="B10">
        <f>Allocation!B65537</f>
        <v>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B0E9DB-11D0-48C2-89B1-E51C22120F44}">
  <dimension ref="B1:CJ98"/>
  <sheetViews>
    <sheetView showGridLines="0" tabSelected="1" topLeftCell="A2" zoomScale="90" zoomScaleNormal="90" workbookViewId="0">
      <selection activeCell="B18" sqref="B18"/>
    </sheetView>
  </sheetViews>
  <sheetFormatPr baseColWidth="10" defaultRowHeight="14.25" outlineLevelRow="2" x14ac:dyDescent="0.45"/>
  <cols>
    <col min="20" max="26" width="13" hidden="1" customWidth="1"/>
    <col min="1" max="1" width="3.19921875" customWidth="1"/>
    <col min="2" max="2" width="48.53125" customWidth="1"/>
    <col min="3" max="3" width="20.19921875" bestFit="1" customWidth="1"/>
    <col min="4" max="4" width="17.06640625" customWidth="1"/>
    <col min="5" max="5" width="13.59765625" customWidth="1"/>
    <col min="6" max="6" width="17.796875" bestFit="1" customWidth="1"/>
    <col min="7" max="12" width="14.19921875" customWidth="1"/>
    <col min="58" max="58" width="9.796875" hidden="1" customWidth="1"/>
    <col min="59" max="59" width="8.06640625" hidden="1" customWidth="1"/>
    <col min="60" max="60" width="7.9296875" hidden="1" customWidth="1"/>
    <col min="61" max="61" width="8.796875" hidden="1" customWidth="1"/>
    <col min="62" max="62" width="6.265625" hidden="1" customWidth="1"/>
    <col min="63" max="63" width="7.796875" hidden="1" customWidth="1"/>
    <col min="64" max="64" width="11.46484375" hidden="1" customWidth="1"/>
    <col min="65" max="65" width="9.06640625" hidden="1" customWidth="1"/>
    <col min="66" max="66" width="8.9296875" hidden="1" customWidth="1"/>
    <col min="67" max="67" width="7.59765625" hidden="1" customWidth="1"/>
    <col min="68" max="68" width="10" hidden="1" customWidth="1"/>
    <col min="69" max="69" width="3" hidden="1" customWidth="1"/>
    <col min="70" max="70" width="9.265625" hidden="1" customWidth="1"/>
    <col min="71" max="71" width="10.53125" hidden="1" customWidth="1"/>
    <col min="72" max="72" width="10.06640625" hidden="1" customWidth="1"/>
    <col min="73" max="73" width="12.265625" hidden="1" customWidth="1"/>
    <col min="74" max="74" width="13" hidden="1" customWidth="1"/>
    <col min="75" max="75" width="13.59765625" hidden="1" customWidth="1"/>
    <col min="76" max="76" width="10.796875" hidden="1" customWidth="1"/>
    <col min="77" max="77" width="13.73046875" hidden="1" customWidth="1"/>
    <col min="78" max="78" width="15.59765625" hidden="1" customWidth="1"/>
    <col min="79" max="79" width="13.59765625" hidden="1" customWidth="1"/>
    <col min="80" max="80" width="16.06640625" hidden="1" customWidth="1"/>
    <col min="81" max="81" width="8.59765625" hidden="1" customWidth="1"/>
    <col min="82" max="82" width="9.33203125" hidden="1" customWidth="1"/>
    <col min="83" max="83" width="10.59765625" hidden="1" customWidth="1"/>
    <col min="84" max="84" width="10.06640625" hidden="1" customWidth="1"/>
    <col min="85" max="85" width="9.33203125" hidden="1" customWidth="1"/>
    <col min="86" max="86" width="12.33203125" hidden="1" customWidth="1"/>
    <col min="87" max="87" width="13.59765625" hidden="1" customWidth="1"/>
    <col min="88" max="88" width="18.59765625" hidden="1" customWidth="1"/>
  </cols>
  <sheetData>
    <row r="1" spans="2:88" ht="18.5" customHeight="1" x14ac:dyDescent="0.45">
      <c r="N1" s="7" t="str">
        <f>IF($C$6="Chiffre d'affaires","REV_CA",IF($C$6="Nombre de classes","VOL_CLASS","VOL_EFF"))</f>
        <v>REV_CA</v>
      </c>
      <c r="P1" s="7" t="str">
        <f>IF($C$12=$E$5,"V01",IF($C$12=$E$6,"V02",IF($C$12=$E$7,"V03","?")))</f>
        <v>V01</v>
      </c>
      <c r="BF1" s="6" t="s">
        <v>5</v>
      </c>
      <c r="BG1" s="1" t="s">
        <v>16</v>
      </c>
      <c r="BH1" s="1" t="s">
        <v>6</v>
      </c>
      <c r="BI1" s="1" t="s">
        <v>11</v>
      </c>
      <c r="BJ1" s="1" t="s">
        <v>7</v>
      </c>
      <c r="BK1" s="1" t="s">
        <v>17</v>
      </c>
      <c r="BL1" s="1" t="s">
        <v>8</v>
      </c>
      <c r="BM1" s="1" t="s">
        <v>9</v>
      </c>
      <c r="BN1" s="1" t="s">
        <v>10</v>
      </c>
      <c r="BO1" s="1" t="s">
        <v>13</v>
      </c>
      <c r="BP1" s="1" t="s">
        <v>14</v>
      </c>
      <c r="BQ1" s="1" t="s">
        <v>15</v>
      </c>
      <c r="BR1" s="1" t="s">
        <v>18</v>
      </c>
      <c r="BS1" s="1" t="s">
        <v>19</v>
      </c>
      <c r="BT1" s="1" t="s">
        <v>20</v>
      </c>
      <c r="BU1" s="1" t="s">
        <v>21</v>
      </c>
      <c r="BV1" s="1" t="s">
        <v>69</v>
      </c>
      <c r="BW1" s="1" t="s">
        <v>75</v>
      </c>
      <c r="BX1" s="1" t="s">
        <v>22</v>
      </c>
      <c r="BY1" s="1" t="s">
        <v>23</v>
      </c>
      <c r="BZ1" s="1" t="s">
        <v>24</v>
      </c>
      <c r="CA1" s="1" t="s">
        <v>25</v>
      </c>
      <c r="CB1" s="1" t="s">
        <v>26</v>
      </c>
      <c r="CC1" s="1" t="s">
        <v>12</v>
      </c>
      <c r="CD1" s="1" t="s">
        <v>76</v>
      </c>
      <c r="CE1" s="1" t="s">
        <v>77</v>
      </c>
      <c r="CF1" s="1" t="s">
        <v>78</v>
      </c>
      <c r="CG1" s="1" t="s">
        <v>79</v>
      </c>
      <c r="CH1" s="1" t="s">
        <v>80</v>
      </c>
      <c r="CI1" s="1" t="s">
        <v>81</v>
      </c>
      <c r="CJ1" s="1" t="s">
        <v>82</v>
      </c>
    </row>
    <row r="2" spans="2:88" ht="58.05" customHeight="1" thickBot="1" x14ac:dyDescent="0.7">
      <c r="B2" s="15"/>
      <c r="C2" s="15"/>
      <c r="D2" s="16" t="s">
        <v>89</v>
      </c>
      <c r="E2" s="15"/>
      <c r="F2" s="15"/>
      <c r="G2" s="15"/>
      <c r="H2" s="15"/>
      <c r="I2" s="15"/>
      <c r="J2" s="15"/>
      <c r="K2" s="15"/>
      <c r="L2" s="15"/>
      <c r="M2" s="15"/>
      <c r="N2" s="7" t="str">
        <f>IF($C$7="Chiffre d'affaires","REV_CA",IF($C$7="Nombre de classes","VOL_CLASS","VOL_EFF"))</f>
        <v>REV_CA</v>
      </c>
      <c r="BF2" s="1"/>
      <c r="BG2" s="1"/>
      <c r="BH2" s="1"/>
      <c r="BI2" s="1"/>
      <c r="BJ2" s="1"/>
      <c r="BK2" s="1"/>
      <c r="BL2" s="1"/>
      <c r="BM2" s="1"/>
      <c r="BN2" s="1"/>
      <c r="BO2" s="1"/>
      <c r="BP2" s="1"/>
      <c r="BQ2" s="1"/>
      <c r="BR2" s="1"/>
      <c r="BS2" s="1"/>
      <c r="BT2" s="1"/>
      <c r="BU2" s="1"/>
      <c r="BV2" s="1"/>
      <c r="BW2" s="1"/>
      <c r="BX2" s="1"/>
      <c r="BY2" s="1"/>
      <c r="BZ2" s="1"/>
      <c r="CA2" s="1"/>
      <c r="CB2" s="1"/>
    </row>
    <row r="3" spans="2:88" x14ac:dyDescent="0.45">
      <c r="E3" s="1"/>
      <c r="F3" s="1"/>
      <c r="G3" s="1"/>
      <c r="H3" s="1"/>
      <c r="I3" s="1"/>
      <c r="N3" s="7" t="str">
        <f>IF($C$8="Chiffre d'affaires","REV_CA",IF($C$8="Nombre de classes","VOL_CLASS","VOL_EFF"))</f>
        <v>VOL_EFF</v>
      </c>
    </row>
    <row r="4" spans="2:88" ht="23.25" x14ac:dyDescent="0.45">
      <c r="E4" s="9" t="s">
        <v>85</v>
      </c>
      <c r="F4" s="10" t="s">
        <v>88</v>
      </c>
      <c r="G4" s="11" t="s">
        <v>86</v>
      </c>
      <c r="H4" s="12" t="s">
        <v>35</v>
      </c>
      <c r="I4" s="13" t="s">
        <v>87</v>
      </c>
      <c r="N4" s="7" t="str">
        <f>IF($C$9="Chiffre d'affaires","REV_CA",IF($C$9="Nombre de classes","VOL_CLASS","VOL_EFF"))</f>
        <v>VOL_CLASS</v>
      </c>
    </row>
    <row r="5" spans="2:88" x14ac:dyDescent="0.45">
      <c r="B5" s="14" t="s">
        <v>90</v>
      </c>
      <c r="E5" s="8"/>
      <c r="F5" s="3"/>
      <c r="G5" s="2"/>
      <c r="H5" s="2"/>
      <c r="I5" s="2"/>
    </row>
    <row r="6" spans="2:88" x14ac:dyDescent="0.45">
      <c r="B6" s="4" t="s">
        <v>70</v>
      </c>
      <c r="C6" s="5" t="s">
        <v>3</v>
      </c>
      <c r="E6" s="8"/>
      <c r="F6" s="3"/>
      <c r="G6" s="2"/>
      <c r="H6" s="2"/>
      <c r="I6" s="2"/>
    </row>
    <row r="7" spans="2:88" x14ac:dyDescent="0.45">
      <c r="B7" s="4" t="s">
        <v>71</v>
      </c>
      <c r="C7" s="5" t="s">
        <v>3</v>
      </c>
      <c r="E7" s="8"/>
      <c r="F7" s="3"/>
      <c r="G7" s="2"/>
      <c r="H7" s="2"/>
      <c r="I7" s="2"/>
    </row>
    <row r="8" spans="2:88" x14ac:dyDescent="0.45">
      <c r="B8" s="4" t="s">
        <v>72</v>
      </c>
      <c r="C8" s="5" t="s">
        <v>4</v>
      </c>
    </row>
    <row r="9" spans="2:88" x14ac:dyDescent="0.45">
      <c r="B9" s="4" t="s">
        <v>73</v>
      </c>
      <c r="C9" s="5" t="s">
        <v>74</v>
      </c>
    </row>
    <row r="12" spans="2:88" x14ac:dyDescent="0.45">
      <c r="B12" s="4" t="s">
        <v>84</v>
      </c>
      <c r="C12" s="5" t="inlineStr">
        <is>
          <t>Cadrage</t>
        </is>
      </c>
      <c r="D12">
        <f>"version "&amp;$P$1&amp;"  ·  "&amp;TEXT(COUNTIF(_CALC_ALLOC!$AS$1:$AS$420,"2027|"&amp;$P$1),"0")&amp;" classes lues sur 60"</f>
      </c>
    </row>
    <row r="14" spans="2:88" x14ac:dyDescent="0.45">
      <c r="B14" s="17" t="s">
        <v>28</v>
      </c>
    </row>
    <row r="15" spans="2:88" ht="7.05" customHeight="1" x14ac:dyDescent="0.45"/>
    <row r="16" spans="2:88" ht="7.05" customHeight="1" x14ac:dyDescent="0.45"/>
    <row r="17" spans="2:13" ht="42" customHeight="1" x14ac:dyDescent="0.45">
      <c r="B17" s="18" t="s">
        <v>29</v>
      </c>
      <c r="C17" s="18" t="s">
        <v>4</v>
      </c>
      <c r="D17" s="18" t="s">
        <v>15</v>
      </c>
      <c r="E17" s="18" t="s">
        <v>30</v>
      </c>
      <c r="F17" s="18" t="s">
        <v>31</v>
      </c>
      <c r="G17" s="18" t="s">
        <v>32</v>
      </c>
      <c r="H17" s="18" t="s">
        <v>33</v>
      </c>
      <c r="I17" s="18" t="s">
        <v>34</v>
      </c>
      <c r="J17" s="18" t="s">
        <v>35</v>
      </c>
      <c r="K17" s="18" t="s">
        <v>36</v>
      </c>
      <c r="L17" s="19" t="s">
        <v>37</v>
      </c>
      <c r="M17" s="19" t="s">
        <v>38</v>
      </c>
    </row>
    <row r="18" spans="2:26" x14ac:dyDescent="0.45">
      <c r="B18" s="20" t="s">
        <v>91</v>
      </c>
      <c r="C18" s="21">
        <f>SUMIFS(_CALC_ALLOC!$G$1:$G$420,_CALC_ALLOC!$AS$1:$AS$420,"2027|"&amp;$P$1,_CALC_ALLOC!$C$1:$C$420,$V18)</f>
        <v>0</v>
      </c>
      <c r="D18" s="22">
        <f>SUMIFS(_CALC_ALLOC!$I$1:$I$420,_CALC_ALLOC!$AS$1:$AS$420,"2027|"&amp;$P$1,_CALC_ALLOC!$C$1:$C$420,$V18)</f>
        <v>0</v>
      </c>
      <c r="E18" s="22">
        <f>SUMIFS(_CALC_ALLOC!$AI$1:$AI$420,_CALC_ALLOC!$AS$1:$AS$420,"2027|"&amp;$P$1,_CALC_ALLOC!$C$1:$C$420,$V18)</f>
        <v>0</v>
      </c>
      <c r="F18" s="22">
        <f>SUMIFS(_CALC_ALLOC!$AJ$1:$AJ$420,_CALC_ALLOC!$AS$1:$AS$420,"2027|"&amp;$P$1,_CALC_ALLOC!$C$1:$C$420,$V18)</f>
        <v>0</v>
      </c>
      <c r="G18" s="22">
        <f>SUMIFS(_CALC_ALLOC!$AK$1:$AK$420,_CALC_ALLOC!$AS$1:$AS$420,"2027|"&amp;$P$1,_CALC_ALLOC!$C$1:$C$420,$V18)</f>
        <v>0</v>
      </c>
      <c r="H18" s="22">
        <f>SUMIFS(_CALC_ALLOC!$AL$1:$AL$420,_CALC_ALLOC!$AS$1:$AS$420,"2027|"&amp;$P$1,_CALC_ALLOC!$C$1:$C$420,$V18)</f>
        <v>0</v>
      </c>
      <c r="I18" s="22">
        <f>SUMIFS(_CALC_ALLOC!$AR$1:$AR$420,_CALC_ALLOC!$AS$1:$AS$420,"2027|"&amp;$P$1,_CALC_ALLOC!$C$1:$C$420,$V18)</f>
        <v>0</v>
      </c>
      <c r="J18" s="22">
        <f>SUMIFS(_CALC_ALLOC!$AM$1:$AM$420,_CALC_ALLOC!$AS$1:$AS$420,"2027|"&amp;$P$1,_CALC_ALLOC!$C$1:$C$420,$V18)</f>
        <v>0</v>
      </c>
      <c r="K18" s="22">
        <f t="shared" ref="K18:K81" si="0">E18+F18+G18+H18+I18+J18</f>
        <v>0</v>
      </c>
      <c r="L18" s="23">
        <f>SUMIFS(_CALC_ALLOC!$AN$1:$AN$420,_CALC_ALLOC!$AS$1:$AS$420,"2027|"&amp;$P$1,_CALC_ALLOC!$C$1:$C$420,$V18)</f>
        <v>0</v>
      </c>
      <c r="M18" s="24">
        <f t="shared" ref="M18:M81" si="1">IF(D18=0,0,L18/D18)</f>
        <v>0</v>
      </c>
      <c r="T18" t="inlineStr">
        <is>
          <t>MBWAY</t>
        </is>
      </c>
      <c r="V18" t="inlineStr">
        <is>
          <t>MBWAY</t>
        </is>
      </c>
      <c r="Z18">
        <v>1</v>
      </c>
    </row>
    <row r="19" spans="2:26" collapsed="1" x14ac:dyDescent="0.45" outlineLevel="1">
      <c r="B19" s="25" t="s">
        <v>92</v>
      </c>
      <c r="C19" s="26">
        <f>SUMIFS(_CALC_ALLOC!$G$1:$G$420,_CALC_ALLOC!$AS$1:$AS$420,"2027|"&amp;$P$1,_CALC_ALLOC!$B$1:$B$420,$U19)</f>
        <v>0</v>
      </c>
      <c r="D19" s="27">
        <f>SUMIFS(_CALC_ALLOC!$I$1:$I$420,_CALC_ALLOC!$AS$1:$AS$420,"2027|"&amp;$P$1,_CALC_ALLOC!$B$1:$B$420,$U19)</f>
        <v>0</v>
      </c>
      <c r="E19" s="27">
        <f>SUMIFS(_CALC_ALLOC!$AI$1:$AI$420,_CALC_ALLOC!$AS$1:$AS$420,"2027|"&amp;$P$1,_CALC_ALLOC!$B$1:$B$420,$U19)</f>
        <v>0</v>
      </c>
      <c r="F19" s="27">
        <f>SUMIFS(_CALC_ALLOC!$AJ$1:$AJ$420,_CALC_ALLOC!$AS$1:$AS$420,"2027|"&amp;$P$1,_CALC_ALLOC!$B$1:$B$420,$U19)</f>
        <v>0</v>
      </c>
      <c r="G19" s="27">
        <f>SUMIFS(_CALC_ALLOC!$AK$1:$AK$420,_CALC_ALLOC!$AS$1:$AS$420,"2027|"&amp;$P$1,_CALC_ALLOC!$B$1:$B$420,$U19)</f>
        <v>0</v>
      </c>
      <c r="H19" s="27">
        <f>SUMIFS(_CALC_ALLOC!$AL$1:$AL$420,_CALC_ALLOC!$AS$1:$AS$420,"2027|"&amp;$P$1,_CALC_ALLOC!$B$1:$B$420,$U19)</f>
        <v>0</v>
      </c>
      <c r="I19" s="27">
        <f>SUMIFS(_CALC_ALLOC!$AR$1:$AR$420,_CALC_ALLOC!$AS$1:$AS$420,"2027|"&amp;$P$1,_CALC_ALLOC!$B$1:$B$420,$U19)</f>
        <v>0</v>
      </c>
      <c r="J19" s="27">
        <f>SUMIFS(_CALC_ALLOC!$AM$1:$AM$420,_CALC_ALLOC!$AS$1:$AS$420,"2027|"&amp;$P$1,_CALC_ALLOC!$B$1:$B$420,$U19)</f>
        <v>0</v>
      </c>
      <c r="K19" s="27">
        <f t="shared" si="0"/>
        <v>0</v>
      </c>
      <c r="L19" s="28">
        <f>SUMIFS(_CALC_ALLOC!$AN$1:$AN$420,_CALC_ALLOC!$AS$1:$AS$420,"2027|"&amp;$P$1,_CALC_ALLOC!$B$1:$B$420,$U19)</f>
        <v>0</v>
      </c>
      <c r="M19" s="29">
        <f t="shared" si="1"/>
        <v>0</v>
      </c>
      <c r="T19" t="inlineStr">
        <is>
          <t>MBWAY_PAR</t>
        </is>
      </c>
      <c r="U19" t="inlineStr">
        <is>
          <t>MBWAY_PAR</t>
        </is>
      </c>
      <c r="V19" t="inlineStr">
        <is>
          <t>MBWAY</t>
        </is>
      </c>
      <c r="Z19">
        <v>2</v>
      </c>
    </row>
    <row r="20" spans="2:26" x14ac:dyDescent="0.45" outlineLevel="2" hidden="1">
      <c r="B20" s="30" t="s">
        <v>93</v>
      </c>
      <c r="C20" s="31">
        <f>SUMIFS(_CALC_ALLOC!$G$1:$G$420,_CALC_ALLOC!$AS$1:$AS$420,"2027|"&amp;$P$1,_CALC_ALLOC!$B$1:$B$420,$U20,_CALC_ALLOC!$D$1:$D$420,$W20,_CALC_ALLOC!$E$1:$E$420,$X20,_CALC_ALLOC!$F$1:$F$420,$Y20)</f>
        <v>0</v>
      </c>
      <c r="D20" s="32">
        <f>SUMIFS(_CALC_ALLOC!$I$1:$I$420,_CALC_ALLOC!$AS$1:$AS$420,"2027|"&amp;$P$1,_CALC_ALLOC!$B$1:$B$420,$U20,_CALC_ALLOC!$D$1:$D$420,$W20,_CALC_ALLOC!$E$1:$E$420,$X20,_CALC_ALLOC!$F$1:$F$420,$Y20)</f>
        <v>0</v>
      </c>
      <c r="E20" s="32">
        <f>SUMIFS(_CALC_ALLOC!$AI$1:$AI$420,_CALC_ALLOC!$AS$1:$AS$420,"2027|"&amp;$P$1,_CALC_ALLOC!$B$1:$B$420,$U20,_CALC_ALLOC!$D$1:$D$420,$W20,_CALC_ALLOC!$E$1:$E$420,$X20,_CALC_ALLOC!$F$1:$F$420,$Y20)</f>
        <v>0</v>
      </c>
      <c r="F20" s="32">
        <f>SUMIFS(_CALC_ALLOC!$AJ$1:$AJ$420,_CALC_ALLOC!$AS$1:$AS$420,"2027|"&amp;$P$1,_CALC_ALLOC!$B$1:$B$420,$U20,_CALC_ALLOC!$D$1:$D$420,$W20,_CALC_ALLOC!$E$1:$E$420,$X20,_CALC_ALLOC!$F$1:$F$420,$Y20)</f>
        <v>0</v>
      </c>
      <c r="G20" s="32">
        <f>SUMIFS(_CALC_ALLOC!$AK$1:$AK$420,_CALC_ALLOC!$AS$1:$AS$420,"2027|"&amp;$P$1,_CALC_ALLOC!$B$1:$B$420,$U20,_CALC_ALLOC!$D$1:$D$420,$W20,_CALC_ALLOC!$E$1:$E$420,$X20,_CALC_ALLOC!$F$1:$F$420,$Y20)</f>
        <v>0</v>
      </c>
      <c r="H20" s="32">
        <f>SUMIFS(_CALC_ALLOC!$AL$1:$AL$420,_CALC_ALLOC!$AS$1:$AS$420,"2027|"&amp;$P$1,_CALC_ALLOC!$B$1:$B$420,$U20,_CALC_ALLOC!$D$1:$D$420,$W20,_CALC_ALLOC!$E$1:$E$420,$X20,_CALC_ALLOC!$F$1:$F$420,$Y20)</f>
        <v>0</v>
      </c>
      <c r="I20" s="32">
        <f>SUMIFS(_CALC_ALLOC!$AR$1:$AR$420,_CALC_ALLOC!$AS$1:$AS$420,"2027|"&amp;$P$1,_CALC_ALLOC!$B$1:$B$420,$U20,_CALC_ALLOC!$D$1:$D$420,$W20,_CALC_ALLOC!$E$1:$E$420,$X20,_CALC_ALLOC!$F$1:$F$420,$Y20)</f>
        <v>0</v>
      </c>
      <c r="J20" s="32">
        <f>SUMIFS(_CALC_ALLOC!$AM$1:$AM$420,_CALC_ALLOC!$AS$1:$AS$420,"2027|"&amp;$P$1,_CALC_ALLOC!$B$1:$B$420,$U20,_CALC_ALLOC!$D$1:$D$420,$W20,_CALC_ALLOC!$E$1:$E$420,$X20,_CALC_ALLOC!$F$1:$F$420,$Y20)</f>
        <v>0</v>
      </c>
      <c r="K20" s="33">
        <f t="shared" si="0"/>
        <v>0</v>
      </c>
      <c r="L20" s="34">
        <f>SUMIFS(_CALC_ALLOC!$AN$1:$AN$420,_CALC_ALLOC!$AS$1:$AS$420,"2027|"&amp;$P$1,_CALC_ALLOC!$B$1:$B$420,$U20,_CALC_ALLOC!$D$1:$D$420,$W20,_CALC_ALLOC!$E$1:$E$420,$X20,_CALC_ALLOC!$F$1:$F$420,$Y20)</f>
        <v>0</v>
      </c>
      <c r="M20" s="35">
        <f t="shared" si="1"/>
        <v>0</v>
      </c>
      <c r="T20" t="inlineStr">
        <is>
          <t>MBWAY_PAR|BAC_MGT|B1|INIT</t>
        </is>
      </c>
      <c r="U20" t="inlineStr">
        <is>
          <t>MBWAY_PAR</t>
        </is>
      </c>
      <c r="V20" t="inlineStr">
        <is>
          <t>MBWAY</t>
        </is>
      </c>
      <c r="W20" t="inlineStr">
        <is>
          <t>BAC_MGT</t>
        </is>
      </c>
      <c r="X20" t="inlineStr">
        <is>
          <t>B1</t>
        </is>
      </c>
      <c r="Y20" t="inlineStr">
        <is>
          <t>INIT</t>
        </is>
      </c>
      <c r="Z20">
        <v>3</v>
      </c>
    </row>
    <row r="21" spans="2:26" x14ac:dyDescent="0.45" outlineLevel="2" hidden="1">
      <c r="B21" s="30" t="s">
        <v>94</v>
      </c>
      <c r="C21" s="31">
        <f>SUMIFS(_CALC_ALLOC!$G$1:$G$420,_CALC_ALLOC!$AS$1:$AS$420,"2027|"&amp;$P$1,_CALC_ALLOC!$B$1:$B$420,$U21,_CALC_ALLOC!$D$1:$D$420,$W21,_CALC_ALLOC!$E$1:$E$420,$X21,_CALC_ALLOC!$F$1:$F$420,$Y21)</f>
        <v>0</v>
      </c>
      <c r="D21" s="32">
        <f>SUMIFS(_CALC_ALLOC!$I$1:$I$420,_CALC_ALLOC!$AS$1:$AS$420,"2027|"&amp;$P$1,_CALC_ALLOC!$B$1:$B$420,$U21,_CALC_ALLOC!$D$1:$D$420,$W21,_CALC_ALLOC!$E$1:$E$420,$X21,_CALC_ALLOC!$F$1:$F$420,$Y21)</f>
        <v>0</v>
      </c>
      <c r="E21" s="32">
        <f>SUMIFS(_CALC_ALLOC!$AI$1:$AI$420,_CALC_ALLOC!$AS$1:$AS$420,"2027|"&amp;$P$1,_CALC_ALLOC!$B$1:$B$420,$U21,_CALC_ALLOC!$D$1:$D$420,$W21,_CALC_ALLOC!$E$1:$E$420,$X21,_CALC_ALLOC!$F$1:$F$420,$Y21)</f>
        <v>0</v>
      </c>
      <c r="F21" s="32">
        <f>SUMIFS(_CALC_ALLOC!$AJ$1:$AJ$420,_CALC_ALLOC!$AS$1:$AS$420,"2027|"&amp;$P$1,_CALC_ALLOC!$B$1:$B$420,$U21,_CALC_ALLOC!$D$1:$D$420,$W21,_CALC_ALLOC!$E$1:$E$420,$X21,_CALC_ALLOC!$F$1:$F$420,$Y21)</f>
        <v>0</v>
      </c>
      <c r="G21" s="32">
        <f>SUMIFS(_CALC_ALLOC!$AK$1:$AK$420,_CALC_ALLOC!$AS$1:$AS$420,"2027|"&amp;$P$1,_CALC_ALLOC!$B$1:$B$420,$U21,_CALC_ALLOC!$D$1:$D$420,$W21,_CALC_ALLOC!$E$1:$E$420,$X21,_CALC_ALLOC!$F$1:$F$420,$Y21)</f>
        <v>0</v>
      </c>
      <c r="H21" s="32">
        <f>SUMIFS(_CALC_ALLOC!$AL$1:$AL$420,_CALC_ALLOC!$AS$1:$AS$420,"2027|"&amp;$P$1,_CALC_ALLOC!$B$1:$B$420,$U21,_CALC_ALLOC!$D$1:$D$420,$W21,_CALC_ALLOC!$E$1:$E$420,$X21,_CALC_ALLOC!$F$1:$F$420,$Y21)</f>
        <v>0</v>
      </c>
      <c r="I21" s="32">
        <f>SUMIFS(_CALC_ALLOC!$AR$1:$AR$420,_CALC_ALLOC!$AS$1:$AS$420,"2027|"&amp;$P$1,_CALC_ALLOC!$B$1:$B$420,$U21,_CALC_ALLOC!$D$1:$D$420,$W21,_CALC_ALLOC!$E$1:$E$420,$X21,_CALC_ALLOC!$F$1:$F$420,$Y21)</f>
        <v>0</v>
      </c>
      <c r="J21" s="32">
        <f>SUMIFS(_CALC_ALLOC!$AM$1:$AM$420,_CALC_ALLOC!$AS$1:$AS$420,"2027|"&amp;$P$1,_CALC_ALLOC!$B$1:$B$420,$U21,_CALC_ALLOC!$D$1:$D$420,$W21,_CALC_ALLOC!$E$1:$E$420,$X21,_CALC_ALLOC!$F$1:$F$420,$Y21)</f>
        <v>0</v>
      </c>
      <c r="K21" s="33">
        <f t="shared" si="0"/>
        <v>0</v>
      </c>
      <c r="L21" s="34">
        <f>SUMIFS(_CALC_ALLOC!$AN$1:$AN$420,_CALC_ALLOC!$AS$1:$AS$420,"2027|"&amp;$P$1,_CALC_ALLOC!$B$1:$B$420,$U21,_CALC_ALLOC!$D$1:$D$420,$W21,_CALC_ALLOC!$E$1:$E$420,$X21,_CALC_ALLOC!$F$1:$F$420,$Y21)</f>
        <v>0</v>
      </c>
      <c r="M21" s="35">
        <f t="shared" si="1"/>
        <v>0</v>
      </c>
      <c r="T21" t="inlineStr">
        <is>
          <t>MBWAY_PAR|BAC_MGT|B2|ALT</t>
        </is>
      </c>
      <c r="U21" t="inlineStr">
        <is>
          <t>MBWAY_PAR</t>
        </is>
      </c>
      <c r="V21" t="inlineStr">
        <is>
          <t>MBWAY</t>
        </is>
      </c>
      <c r="W21" t="inlineStr">
        <is>
          <t>BAC_MGT</t>
        </is>
      </c>
      <c r="X21" t="inlineStr">
        <is>
          <t>B2</t>
        </is>
      </c>
      <c r="Y21" t="inlineStr">
        <is>
          <t>ALT</t>
        </is>
      </c>
      <c r="Z21">
        <v>3</v>
      </c>
    </row>
    <row r="22" spans="2:26" x14ac:dyDescent="0.45" outlineLevel="2" hidden="1">
      <c r="B22" s="30" t="s">
        <v>95</v>
      </c>
      <c r="C22" s="31">
        <f>SUMIFS(_CALC_ALLOC!$G$1:$G$420,_CALC_ALLOC!$AS$1:$AS$420,"2027|"&amp;$P$1,_CALC_ALLOC!$B$1:$B$420,$U22,_CALC_ALLOC!$D$1:$D$420,$W22,_CALC_ALLOC!$E$1:$E$420,$X22,_CALC_ALLOC!$F$1:$F$420,$Y22)</f>
        <v>0</v>
      </c>
      <c r="D22" s="32">
        <f>SUMIFS(_CALC_ALLOC!$I$1:$I$420,_CALC_ALLOC!$AS$1:$AS$420,"2027|"&amp;$P$1,_CALC_ALLOC!$B$1:$B$420,$U22,_CALC_ALLOC!$D$1:$D$420,$W22,_CALC_ALLOC!$E$1:$E$420,$X22,_CALC_ALLOC!$F$1:$F$420,$Y22)</f>
        <v>0</v>
      </c>
      <c r="E22" s="32">
        <f>SUMIFS(_CALC_ALLOC!$AI$1:$AI$420,_CALC_ALLOC!$AS$1:$AS$420,"2027|"&amp;$P$1,_CALC_ALLOC!$B$1:$B$420,$U22,_CALC_ALLOC!$D$1:$D$420,$W22,_CALC_ALLOC!$E$1:$E$420,$X22,_CALC_ALLOC!$F$1:$F$420,$Y22)</f>
        <v>0</v>
      </c>
      <c r="F22" s="32">
        <f>SUMIFS(_CALC_ALLOC!$AJ$1:$AJ$420,_CALC_ALLOC!$AS$1:$AS$420,"2027|"&amp;$P$1,_CALC_ALLOC!$B$1:$B$420,$U22,_CALC_ALLOC!$D$1:$D$420,$W22,_CALC_ALLOC!$E$1:$E$420,$X22,_CALC_ALLOC!$F$1:$F$420,$Y22)</f>
        <v>0</v>
      </c>
      <c r="G22" s="32">
        <f>SUMIFS(_CALC_ALLOC!$AK$1:$AK$420,_CALC_ALLOC!$AS$1:$AS$420,"2027|"&amp;$P$1,_CALC_ALLOC!$B$1:$B$420,$U22,_CALC_ALLOC!$D$1:$D$420,$W22,_CALC_ALLOC!$E$1:$E$420,$X22,_CALC_ALLOC!$F$1:$F$420,$Y22)</f>
        <v>0</v>
      </c>
      <c r="H22" s="32">
        <f>SUMIFS(_CALC_ALLOC!$AL$1:$AL$420,_CALC_ALLOC!$AS$1:$AS$420,"2027|"&amp;$P$1,_CALC_ALLOC!$B$1:$B$420,$U22,_CALC_ALLOC!$D$1:$D$420,$W22,_CALC_ALLOC!$E$1:$E$420,$X22,_CALC_ALLOC!$F$1:$F$420,$Y22)</f>
        <v>0</v>
      </c>
      <c r="I22" s="32">
        <f>SUMIFS(_CALC_ALLOC!$AR$1:$AR$420,_CALC_ALLOC!$AS$1:$AS$420,"2027|"&amp;$P$1,_CALC_ALLOC!$B$1:$B$420,$U22,_CALC_ALLOC!$D$1:$D$420,$W22,_CALC_ALLOC!$E$1:$E$420,$X22,_CALC_ALLOC!$F$1:$F$420,$Y22)</f>
        <v>0</v>
      </c>
      <c r="J22" s="32">
        <f>SUMIFS(_CALC_ALLOC!$AM$1:$AM$420,_CALC_ALLOC!$AS$1:$AS$420,"2027|"&amp;$P$1,_CALC_ALLOC!$B$1:$B$420,$U22,_CALC_ALLOC!$D$1:$D$420,$W22,_CALC_ALLOC!$E$1:$E$420,$X22,_CALC_ALLOC!$F$1:$F$420,$Y22)</f>
        <v>0</v>
      </c>
      <c r="K22" s="33">
        <f t="shared" si="0"/>
        <v>0</v>
      </c>
      <c r="L22" s="34">
        <f>SUMIFS(_CALC_ALLOC!$AN$1:$AN$420,_CALC_ALLOC!$AS$1:$AS$420,"2027|"&amp;$P$1,_CALC_ALLOC!$B$1:$B$420,$U22,_CALC_ALLOC!$D$1:$D$420,$W22,_CALC_ALLOC!$E$1:$E$420,$X22,_CALC_ALLOC!$F$1:$F$420,$Y22)</f>
        <v>0</v>
      </c>
      <c r="M22" s="35">
        <f t="shared" si="1"/>
        <v>0</v>
      </c>
      <c r="T22" t="inlineStr">
        <is>
          <t>MBWAY_PAR|BAC_MGT|B3|ALT</t>
        </is>
      </c>
      <c r="U22" t="inlineStr">
        <is>
          <t>MBWAY_PAR</t>
        </is>
      </c>
      <c r="V22" t="inlineStr">
        <is>
          <t>MBWAY</t>
        </is>
      </c>
      <c r="W22" t="inlineStr">
        <is>
          <t>BAC_MGT</t>
        </is>
      </c>
      <c r="X22" t="inlineStr">
        <is>
          <t>B3</t>
        </is>
      </c>
      <c r="Y22" t="inlineStr">
        <is>
          <t>ALT</t>
        </is>
      </c>
      <c r="Z22">
        <v>3</v>
      </c>
    </row>
    <row r="23" spans="2:26" x14ac:dyDescent="0.45" outlineLevel="2" hidden="1">
      <c r="B23" s="30" t="s">
        <v>96</v>
      </c>
      <c r="C23" s="31">
        <f>SUMIFS(_CALC_ALLOC!$G$1:$G$420,_CALC_ALLOC!$AS$1:$AS$420,"2027|"&amp;$P$1,_CALC_ALLOC!$B$1:$B$420,$U23,_CALC_ALLOC!$D$1:$D$420,$W23,_CALC_ALLOC!$E$1:$E$420,$X23,_CALC_ALLOC!$F$1:$F$420,$Y23)</f>
        <v>0</v>
      </c>
      <c r="D23" s="32">
        <f>SUMIFS(_CALC_ALLOC!$I$1:$I$420,_CALC_ALLOC!$AS$1:$AS$420,"2027|"&amp;$P$1,_CALC_ALLOC!$B$1:$B$420,$U23,_CALC_ALLOC!$D$1:$D$420,$W23,_CALC_ALLOC!$E$1:$E$420,$X23,_CALC_ALLOC!$F$1:$F$420,$Y23)</f>
        <v>0</v>
      </c>
      <c r="E23" s="32">
        <f>SUMIFS(_CALC_ALLOC!$AI$1:$AI$420,_CALC_ALLOC!$AS$1:$AS$420,"2027|"&amp;$P$1,_CALC_ALLOC!$B$1:$B$420,$U23,_CALC_ALLOC!$D$1:$D$420,$W23,_CALC_ALLOC!$E$1:$E$420,$X23,_CALC_ALLOC!$F$1:$F$420,$Y23)</f>
        <v>0</v>
      </c>
      <c r="F23" s="32">
        <f>SUMIFS(_CALC_ALLOC!$AJ$1:$AJ$420,_CALC_ALLOC!$AS$1:$AS$420,"2027|"&amp;$P$1,_CALC_ALLOC!$B$1:$B$420,$U23,_CALC_ALLOC!$D$1:$D$420,$W23,_CALC_ALLOC!$E$1:$E$420,$X23,_CALC_ALLOC!$F$1:$F$420,$Y23)</f>
        <v>0</v>
      </c>
      <c r="G23" s="32">
        <f>SUMIFS(_CALC_ALLOC!$AK$1:$AK$420,_CALC_ALLOC!$AS$1:$AS$420,"2027|"&amp;$P$1,_CALC_ALLOC!$B$1:$B$420,$U23,_CALC_ALLOC!$D$1:$D$420,$W23,_CALC_ALLOC!$E$1:$E$420,$X23,_CALC_ALLOC!$F$1:$F$420,$Y23)</f>
        <v>0</v>
      </c>
      <c r="H23" s="32">
        <f>SUMIFS(_CALC_ALLOC!$AL$1:$AL$420,_CALC_ALLOC!$AS$1:$AS$420,"2027|"&amp;$P$1,_CALC_ALLOC!$B$1:$B$420,$U23,_CALC_ALLOC!$D$1:$D$420,$W23,_CALC_ALLOC!$E$1:$E$420,$X23,_CALC_ALLOC!$F$1:$F$420,$Y23)</f>
        <v>0</v>
      </c>
      <c r="I23" s="32">
        <f>SUMIFS(_CALC_ALLOC!$AR$1:$AR$420,_CALC_ALLOC!$AS$1:$AS$420,"2027|"&amp;$P$1,_CALC_ALLOC!$B$1:$B$420,$U23,_CALC_ALLOC!$D$1:$D$420,$W23,_CALC_ALLOC!$E$1:$E$420,$X23,_CALC_ALLOC!$F$1:$F$420,$Y23)</f>
        <v>0</v>
      </c>
      <c r="J23" s="32">
        <f>SUMIFS(_CALC_ALLOC!$AM$1:$AM$420,_CALC_ALLOC!$AS$1:$AS$420,"2027|"&amp;$P$1,_CALC_ALLOC!$B$1:$B$420,$U23,_CALC_ALLOC!$D$1:$D$420,$W23,_CALC_ALLOC!$E$1:$E$420,$X23,_CALC_ALLOC!$F$1:$F$420,$Y23)</f>
        <v>0</v>
      </c>
      <c r="K23" s="33">
        <f t="shared" si="0"/>
        <v>0</v>
      </c>
      <c r="L23" s="34">
        <f>SUMIFS(_CALC_ALLOC!$AN$1:$AN$420,_CALC_ALLOC!$AS$1:$AS$420,"2027|"&amp;$P$1,_CALC_ALLOC!$B$1:$B$420,$U23,_CALC_ALLOC!$D$1:$D$420,$W23,_CALC_ALLOC!$E$1:$E$420,$X23,_CALC_ALLOC!$F$1:$F$420,$Y23)</f>
        <v>0</v>
      </c>
      <c r="M23" s="35">
        <f t="shared" si="1"/>
        <v>0</v>
      </c>
      <c r="T23" t="inlineStr">
        <is>
          <t>MBWAY_PAR|MAS_MGT|M1|ALT</t>
        </is>
      </c>
      <c r="U23" t="inlineStr">
        <is>
          <t>MBWAY_PAR</t>
        </is>
      </c>
      <c r="V23" t="inlineStr">
        <is>
          <t>MBWAY</t>
        </is>
      </c>
      <c r="W23" t="inlineStr">
        <is>
          <t>MAS_MGT</t>
        </is>
      </c>
      <c r="X23" t="inlineStr">
        <is>
          <t>M1</t>
        </is>
      </c>
      <c r="Y23" t="inlineStr">
        <is>
          <t>ALT</t>
        </is>
      </c>
      <c r="Z23">
        <v>3</v>
      </c>
    </row>
    <row r="24" spans="2:26" x14ac:dyDescent="0.45" outlineLevel="2" hidden="1">
      <c r="B24" s="30" t="s">
        <v>97</v>
      </c>
      <c r="C24" s="31">
        <f>SUMIFS(_CALC_ALLOC!$G$1:$G$420,_CALC_ALLOC!$AS$1:$AS$420,"2027|"&amp;$P$1,_CALC_ALLOC!$B$1:$B$420,$U24,_CALC_ALLOC!$D$1:$D$420,$W24,_CALC_ALLOC!$E$1:$E$420,$X24,_CALC_ALLOC!$F$1:$F$420,$Y24)</f>
        <v>0</v>
      </c>
      <c r="D24" s="32">
        <f>SUMIFS(_CALC_ALLOC!$I$1:$I$420,_CALC_ALLOC!$AS$1:$AS$420,"2027|"&amp;$P$1,_CALC_ALLOC!$B$1:$B$420,$U24,_CALC_ALLOC!$D$1:$D$420,$W24,_CALC_ALLOC!$E$1:$E$420,$X24,_CALC_ALLOC!$F$1:$F$420,$Y24)</f>
        <v>0</v>
      </c>
      <c r="E24" s="32">
        <f>SUMIFS(_CALC_ALLOC!$AI$1:$AI$420,_CALC_ALLOC!$AS$1:$AS$420,"2027|"&amp;$P$1,_CALC_ALLOC!$B$1:$B$420,$U24,_CALC_ALLOC!$D$1:$D$420,$W24,_CALC_ALLOC!$E$1:$E$420,$X24,_CALC_ALLOC!$F$1:$F$420,$Y24)</f>
        <v>0</v>
      </c>
      <c r="F24" s="32">
        <f>SUMIFS(_CALC_ALLOC!$AJ$1:$AJ$420,_CALC_ALLOC!$AS$1:$AS$420,"2027|"&amp;$P$1,_CALC_ALLOC!$B$1:$B$420,$U24,_CALC_ALLOC!$D$1:$D$420,$W24,_CALC_ALLOC!$E$1:$E$420,$X24,_CALC_ALLOC!$F$1:$F$420,$Y24)</f>
        <v>0</v>
      </c>
      <c r="G24" s="32">
        <f>SUMIFS(_CALC_ALLOC!$AK$1:$AK$420,_CALC_ALLOC!$AS$1:$AS$420,"2027|"&amp;$P$1,_CALC_ALLOC!$B$1:$B$420,$U24,_CALC_ALLOC!$D$1:$D$420,$W24,_CALC_ALLOC!$E$1:$E$420,$X24,_CALC_ALLOC!$F$1:$F$420,$Y24)</f>
        <v>0</v>
      </c>
      <c r="H24" s="32">
        <f>SUMIFS(_CALC_ALLOC!$AL$1:$AL$420,_CALC_ALLOC!$AS$1:$AS$420,"2027|"&amp;$P$1,_CALC_ALLOC!$B$1:$B$420,$U24,_CALC_ALLOC!$D$1:$D$420,$W24,_CALC_ALLOC!$E$1:$E$420,$X24,_CALC_ALLOC!$F$1:$F$420,$Y24)</f>
        <v>0</v>
      </c>
      <c r="I24" s="32">
        <f>SUMIFS(_CALC_ALLOC!$AR$1:$AR$420,_CALC_ALLOC!$AS$1:$AS$420,"2027|"&amp;$P$1,_CALC_ALLOC!$B$1:$B$420,$U24,_CALC_ALLOC!$D$1:$D$420,$W24,_CALC_ALLOC!$E$1:$E$420,$X24,_CALC_ALLOC!$F$1:$F$420,$Y24)</f>
        <v>0</v>
      </c>
      <c r="J24" s="32">
        <f>SUMIFS(_CALC_ALLOC!$AM$1:$AM$420,_CALC_ALLOC!$AS$1:$AS$420,"2027|"&amp;$P$1,_CALC_ALLOC!$B$1:$B$420,$U24,_CALC_ALLOC!$D$1:$D$420,$W24,_CALC_ALLOC!$E$1:$E$420,$X24,_CALC_ALLOC!$F$1:$F$420,$Y24)</f>
        <v>0</v>
      </c>
      <c r="K24" s="33">
        <f t="shared" si="0"/>
        <v>0</v>
      </c>
      <c r="L24" s="34">
        <f>SUMIFS(_CALC_ALLOC!$AN$1:$AN$420,_CALC_ALLOC!$AS$1:$AS$420,"2027|"&amp;$P$1,_CALC_ALLOC!$B$1:$B$420,$U24,_CALC_ALLOC!$D$1:$D$420,$W24,_CALC_ALLOC!$E$1:$E$420,$X24,_CALC_ALLOC!$F$1:$F$420,$Y24)</f>
        <v>0</v>
      </c>
      <c r="M24" s="35">
        <f t="shared" si="1"/>
        <v>0</v>
      </c>
      <c r="T24" t="inlineStr">
        <is>
          <t>MBWAY_PAR|MAS_MGT|M2|ALT</t>
        </is>
      </c>
      <c r="U24" t="inlineStr">
        <is>
          <t>MBWAY_PAR</t>
        </is>
      </c>
      <c r="V24" t="inlineStr">
        <is>
          <t>MBWAY</t>
        </is>
      </c>
      <c r="W24" t="inlineStr">
        <is>
          <t>MAS_MGT</t>
        </is>
      </c>
      <c r="X24" t="inlineStr">
        <is>
          <t>M2</t>
        </is>
      </c>
      <c r="Y24" t="inlineStr">
        <is>
          <t>ALT</t>
        </is>
      </c>
      <c r="Z24">
        <v>3</v>
      </c>
    </row>
    <row r="25" spans="2:26" x14ac:dyDescent="0.45" outlineLevel="1">
      <c r="B25" s="25" t="s">
        <v>98</v>
      </c>
      <c r="C25" s="26">
        <f>SUMIFS(_CALC_ALLOC!$G$1:$G$420,_CALC_ALLOC!$AS$1:$AS$420,"2027|"&amp;$P$1,_CALC_ALLOC!$B$1:$B$420,$U25)</f>
        <v>0</v>
      </c>
      <c r="D25" s="27">
        <f>SUMIFS(_CALC_ALLOC!$I$1:$I$420,_CALC_ALLOC!$AS$1:$AS$420,"2027|"&amp;$P$1,_CALC_ALLOC!$B$1:$B$420,$U25)</f>
        <v>0</v>
      </c>
      <c r="E25" s="27">
        <f>SUMIFS(_CALC_ALLOC!$AI$1:$AI$420,_CALC_ALLOC!$AS$1:$AS$420,"2027|"&amp;$P$1,_CALC_ALLOC!$B$1:$B$420,$U25)</f>
        <v>0</v>
      </c>
      <c r="F25" s="27">
        <f>SUMIFS(_CALC_ALLOC!$AJ$1:$AJ$420,_CALC_ALLOC!$AS$1:$AS$420,"2027|"&amp;$P$1,_CALC_ALLOC!$B$1:$B$420,$U25)</f>
        <v>0</v>
      </c>
      <c r="G25" s="27">
        <f>SUMIFS(_CALC_ALLOC!$AK$1:$AK$420,_CALC_ALLOC!$AS$1:$AS$420,"2027|"&amp;$P$1,_CALC_ALLOC!$B$1:$B$420,$U25)</f>
        <v>0</v>
      </c>
      <c r="H25" s="27">
        <f>SUMIFS(_CALC_ALLOC!$AL$1:$AL$420,_CALC_ALLOC!$AS$1:$AS$420,"2027|"&amp;$P$1,_CALC_ALLOC!$B$1:$B$420,$U25)</f>
        <v>0</v>
      </c>
      <c r="I25" s="27">
        <f>SUMIFS(_CALC_ALLOC!$AR$1:$AR$420,_CALC_ALLOC!$AS$1:$AS$420,"2027|"&amp;$P$1,_CALC_ALLOC!$B$1:$B$420,$U25)</f>
        <v>0</v>
      </c>
      <c r="J25" s="27">
        <f>SUMIFS(_CALC_ALLOC!$AM$1:$AM$420,_CALC_ALLOC!$AS$1:$AS$420,"2027|"&amp;$P$1,_CALC_ALLOC!$B$1:$B$420,$U25)</f>
        <v>0</v>
      </c>
      <c r="K25" s="27">
        <f t="shared" si="0"/>
        <v>0</v>
      </c>
      <c r="L25" s="28">
        <f>SUMIFS(_CALC_ALLOC!$AN$1:$AN$420,_CALC_ALLOC!$AS$1:$AS$420,"2027|"&amp;$P$1,_CALC_ALLOC!$B$1:$B$420,$U25)</f>
        <v>0</v>
      </c>
      <c r="M25" s="29">
        <f t="shared" si="1"/>
        <v>0</v>
      </c>
      <c r="T25" t="inlineStr">
        <is>
          <t>MBWAY_LYO</t>
        </is>
      </c>
      <c r="U25" t="inlineStr">
        <is>
          <t>MBWAY_LYO</t>
        </is>
      </c>
      <c r="V25" t="inlineStr">
        <is>
          <t>MBWAY</t>
        </is>
      </c>
      <c r="Z25">
        <v>2</v>
      </c>
    </row>
    <row r="26" spans="2:26" x14ac:dyDescent="0.45" outlineLevel="2" hidden="1">
      <c r="B26" s="30" t="s">
        <v>93</v>
      </c>
      <c r="C26" s="31">
        <f>SUMIFS(_CALC_ALLOC!$G$1:$G$420,_CALC_ALLOC!$AS$1:$AS$420,"2027|"&amp;$P$1,_CALC_ALLOC!$B$1:$B$420,$U26,_CALC_ALLOC!$D$1:$D$420,$W26,_CALC_ALLOC!$E$1:$E$420,$X26,_CALC_ALLOC!$F$1:$F$420,$Y26)</f>
        <v>0</v>
      </c>
      <c r="D26" s="32">
        <f>SUMIFS(_CALC_ALLOC!$I$1:$I$420,_CALC_ALLOC!$AS$1:$AS$420,"2027|"&amp;$P$1,_CALC_ALLOC!$B$1:$B$420,$U26,_CALC_ALLOC!$D$1:$D$420,$W26,_CALC_ALLOC!$E$1:$E$420,$X26,_CALC_ALLOC!$F$1:$F$420,$Y26)</f>
        <v>0</v>
      </c>
      <c r="E26" s="32">
        <f>SUMIFS(_CALC_ALLOC!$AI$1:$AI$420,_CALC_ALLOC!$AS$1:$AS$420,"2027|"&amp;$P$1,_CALC_ALLOC!$B$1:$B$420,$U26,_CALC_ALLOC!$D$1:$D$420,$W26,_CALC_ALLOC!$E$1:$E$420,$X26,_CALC_ALLOC!$F$1:$F$420,$Y26)</f>
        <v>0</v>
      </c>
      <c r="F26" s="32">
        <f>SUMIFS(_CALC_ALLOC!$AJ$1:$AJ$420,_CALC_ALLOC!$AS$1:$AS$420,"2027|"&amp;$P$1,_CALC_ALLOC!$B$1:$B$420,$U26,_CALC_ALLOC!$D$1:$D$420,$W26,_CALC_ALLOC!$E$1:$E$420,$X26,_CALC_ALLOC!$F$1:$F$420,$Y26)</f>
        <v>0</v>
      </c>
      <c r="G26" s="32">
        <f>SUMIFS(_CALC_ALLOC!$AK$1:$AK$420,_CALC_ALLOC!$AS$1:$AS$420,"2027|"&amp;$P$1,_CALC_ALLOC!$B$1:$B$420,$U26,_CALC_ALLOC!$D$1:$D$420,$W26,_CALC_ALLOC!$E$1:$E$420,$X26,_CALC_ALLOC!$F$1:$F$420,$Y26)</f>
        <v>0</v>
      </c>
      <c r="H26" s="32">
        <f>SUMIFS(_CALC_ALLOC!$AL$1:$AL$420,_CALC_ALLOC!$AS$1:$AS$420,"2027|"&amp;$P$1,_CALC_ALLOC!$B$1:$B$420,$U26,_CALC_ALLOC!$D$1:$D$420,$W26,_CALC_ALLOC!$E$1:$E$420,$X26,_CALC_ALLOC!$F$1:$F$420,$Y26)</f>
        <v>0</v>
      </c>
      <c r="I26" s="32">
        <f>SUMIFS(_CALC_ALLOC!$AR$1:$AR$420,_CALC_ALLOC!$AS$1:$AS$420,"2027|"&amp;$P$1,_CALC_ALLOC!$B$1:$B$420,$U26,_CALC_ALLOC!$D$1:$D$420,$W26,_CALC_ALLOC!$E$1:$E$420,$X26,_CALC_ALLOC!$F$1:$F$420,$Y26)</f>
        <v>0</v>
      </c>
      <c r="J26" s="32">
        <f>SUMIFS(_CALC_ALLOC!$AM$1:$AM$420,_CALC_ALLOC!$AS$1:$AS$420,"2027|"&amp;$P$1,_CALC_ALLOC!$B$1:$B$420,$U26,_CALC_ALLOC!$D$1:$D$420,$W26,_CALC_ALLOC!$E$1:$E$420,$X26,_CALC_ALLOC!$F$1:$F$420,$Y26)</f>
        <v>0</v>
      </c>
      <c r="K26" s="33">
        <f t="shared" si="0"/>
        <v>0</v>
      </c>
      <c r="L26" s="34">
        <f>SUMIFS(_CALC_ALLOC!$AN$1:$AN$420,_CALC_ALLOC!$AS$1:$AS$420,"2027|"&amp;$P$1,_CALC_ALLOC!$B$1:$B$420,$U26,_CALC_ALLOC!$D$1:$D$420,$W26,_CALC_ALLOC!$E$1:$E$420,$X26,_CALC_ALLOC!$F$1:$F$420,$Y26)</f>
        <v>0</v>
      </c>
      <c r="M26" s="35">
        <f t="shared" si="1"/>
        <v>0</v>
      </c>
      <c r="T26" t="inlineStr">
        <is>
          <t>MBWAY_LYO|BAC_MGT|B1|INIT</t>
        </is>
      </c>
      <c r="U26" t="inlineStr">
        <is>
          <t>MBWAY_LYO</t>
        </is>
      </c>
      <c r="V26" t="inlineStr">
        <is>
          <t>MBWAY</t>
        </is>
      </c>
      <c r="W26" t="inlineStr">
        <is>
          <t>BAC_MGT</t>
        </is>
      </c>
      <c r="X26" t="inlineStr">
        <is>
          <t>B1</t>
        </is>
      </c>
      <c r="Y26" t="inlineStr">
        <is>
          <t>INIT</t>
        </is>
      </c>
      <c r="Z26">
        <v>3</v>
      </c>
    </row>
    <row r="27" spans="2:26" x14ac:dyDescent="0.45" outlineLevel="2" hidden="1">
      <c r="B27" s="30" t="s">
        <v>94</v>
      </c>
      <c r="C27" s="31">
        <f>SUMIFS(_CALC_ALLOC!$G$1:$G$420,_CALC_ALLOC!$AS$1:$AS$420,"2027|"&amp;$P$1,_CALC_ALLOC!$B$1:$B$420,$U27,_CALC_ALLOC!$D$1:$D$420,$W27,_CALC_ALLOC!$E$1:$E$420,$X27,_CALC_ALLOC!$F$1:$F$420,$Y27)</f>
        <v>0</v>
      </c>
      <c r="D27" s="32">
        <f>SUMIFS(_CALC_ALLOC!$I$1:$I$420,_CALC_ALLOC!$AS$1:$AS$420,"2027|"&amp;$P$1,_CALC_ALLOC!$B$1:$B$420,$U27,_CALC_ALLOC!$D$1:$D$420,$W27,_CALC_ALLOC!$E$1:$E$420,$X27,_CALC_ALLOC!$F$1:$F$420,$Y27)</f>
        <v>0</v>
      </c>
      <c r="E27" s="32">
        <f>SUMIFS(_CALC_ALLOC!$AI$1:$AI$420,_CALC_ALLOC!$AS$1:$AS$420,"2027|"&amp;$P$1,_CALC_ALLOC!$B$1:$B$420,$U27,_CALC_ALLOC!$D$1:$D$420,$W27,_CALC_ALLOC!$E$1:$E$420,$X27,_CALC_ALLOC!$F$1:$F$420,$Y27)</f>
        <v>0</v>
      </c>
      <c r="F27" s="32">
        <f>SUMIFS(_CALC_ALLOC!$AJ$1:$AJ$420,_CALC_ALLOC!$AS$1:$AS$420,"2027|"&amp;$P$1,_CALC_ALLOC!$B$1:$B$420,$U27,_CALC_ALLOC!$D$1:$D$420,$W27,_CALC_ALLOC!$E$1:$E$420,$X27,_CALC_ALLOC!$F$1:$F$420,$Y27)</f>
        <v>0</v>
      </c>
      <c r="G27" s="32">
        <f>SUMIFS(_CALC_ALLOC!$AK$1:$AK$420,_CALC_ALLOC!$AS$1:$AS$420,"2027|"&amp;$P$1,_CALC_ALLOC!$B$1:$B$420,$U27,_CALC_ALLOC!$D$1:$D$420,$W27,_CALC_ALLOC!$E$1:$E$420,$X27,_CALC_ALLOC!$F$1:$F$420,$Y27)</f>
        <v>0</v>
      </c>
      <c r="H27" s="32">
        <f>SUMIFS(_CALC_ALLOC!$AL$1:$AL$420,_CALC_ALLOC!$AS$1:$AS$420,"2027|"&amp;$P$1,_CALC_ALLOC!$B$1:$B$420,$U27,_CALC_ALLOC!$D$1:$D$420,$W27,_CALC_ALLOC!$E$1:$E$420,$X27,_CALC_ALLOC!$F$1:$F$420,$Y27)</f>
        <v>0</v>
      </c>
      <c r="I27" s="32">
        <f>SUMIFS(_CALC_ALLOC!$AR$1:$AR$420,_CALC_ALLOC!$AS$1:$AS$420,"2027|"&amp;$P$1,_CALC_ALLOC!$B$1:$B$420,$U27,_CALC_ALLOC!$D$1:$D$420,$W27,_CALC_ALLOC!$E$1:$E$420,$X27,_CALC_ALLOC!$F$1:$F$420,$Y27)</f>
        <v>0</v>
      </c>
      <c r="J27" s="32">
        <f>SUMIFS(_CALC_ALLOC!$AM$1:$AM$420,_CALC_ALLOC!$AS$1:$AS$420,"2027|"&amp;$P$1,_CALC_ALLOC!$B$1:$B$420,$U27,_CALC_ALLOC!$D$1:$D$420,$W27,_CALC_ALLOC!$E$1:$E$420,$X27,_CALC_ALLOC!$F$1:$F$420,$Y27)</f>
        <v>0</v>
      </c>
      <c r="K27" s="33">
        <f t="shared" si="0"/>
        <v>0</v>
      </c>
      <c r="L27" s="34">
        <f>SUMIFS(_CALC_ALLOC!$AN$1:$AN$420,_CALC_ALLOC!$AS$1:$AS$420,"2027|"&amp;$P$1,_CALC_ALLOC!$B$1:$B$420,$U27,_CALC_ALLOC!$D$1:$D$420,$W27,_CALC_ALLOC!$E$1:$E$420,$X27,_CALC_ALLOC!$F$1:$F$420,$Y27)</f>
        <v>0</v>
      </c>
      <c r="M27" s="35">
        <f t="shared" si="1"/>
        <v>0</v>
      </c>
      <c r="T27" t="inlineStr">
        <is>
          <t>MBWAY_LYO|BAC_MGT|B2|ALT</t>
        </is>
      </c>
      <c r="U27" t="inlineStr">
        <is>
          <t>MBWAY_LYO</t>
        </is>
      </c>
      <c r="V27" t="inlineStr">
        <is>
          <t>MBWAY</t>
        </is>
      </c>
      <c r="W27" t="inlineStr">
        <is>
          <t>BAC_MGT</t>
        </is>
      </c>
      <c r="X27" t="inlineStr">
        <is>
          <t>B2</t>
        </is>
      </c>
      <c r="Y27" t="inlineStr">
        <is>
          <t>ALT</t>
        </is>
      </c>
      <c r="Z27">
        <v>3</v>
      </c>
    </row>
    <row r="28" spans="2:26" x14ac:dyDescent="0.45" outlineLevel="2" hidden="1">
      <c r="B28" s="30" t="s">
        <v>95</v>
      </c>
      <c r="C28" s="31">
        <f>SUMIFS(_CALC_ALLOC!$G$1:$G$420,_CALC_ALLOC!$AS$1:$AS$420,"2027|"&amp;$P$1,_CALC_ALLOC!$B$1:$B$420,$U28,_CALC_ALLOC!$D$1:$D$420,$W28,_CALC_ALLOC!$E$1:$E$420,$X28,_CALC_ALLOC!$F$1:$F$420,$Y28)</f>
        <v>0</v>
      </c>
      <c r="D28" s="32">
        <f>SUMIFS(_CALC_ALLOC!$I$1:$I$420,_CALC_ALLOC!$AS$1:$AS$420,"2027|"&amp;$P$1,_CALC_ALLOC!$B$1:$B$420,$U28,_CALC_ALLOC!$D$1:$D$420,$W28,_CALC_ALLOC!$E$1:$E$420,$X28,_CALC_ALLOC!$F$1:$F$420,$Y28)</f>
        <v>0</v>
      </c>
      <c r="E28" s="32">
        <f>SUMIFS(_CALC_ALLOC!$AI$1:$AI$420,_CALC_ALLOC!$AS$1:$AS$420,"2027|"&amp;$P$1,_CALC_ALLOC!$B$1:$B$420,$U28,_CALC_ALLOC!$D$1:$D$420,$W28,_CALC_ALLOC!$E$1:$E$420,$X28,_CALC_ALLOC!$F$1:$F$420,$Y28)</f>
        <v>0</v>
      </c>
      <c r="F28" s="32">
        <f>SUMIFS(_CALC_ALLOC!$AJ$1:$AJ$420,_CALC_ALLOC!$AS$1:$AS$420,"2027|"&amp;$P$1,_CALC_ALLOC!$B$1:$B$420,$U28,_CALC_ALLOC!$D$1:$D$420,$W28,_CALC_ALLOC!$E$1:$E$420,$X28,_CALC_ALLOC!$F$1:$F$420,$Y28)</f>
        <v>0</v>
      </c>
      <c r="G28" s="32">
        <f>SUMIFS(_CALC_ALLOC!$AK$1:$AK$420,_CALC_ALLOC!$AS$1:$AS$420,"2027|"&amp;$P$1,_CALC_ALLOC!$B$1:$B$420,$U28,_CALC_ALLOC!$D$1:$D$420,$W28,_CALC_ALLOC!$E$1:$E$420,$X28,_CALC_ALLOC!$F$1:$F$420,$Y28)</f>
        <v>0</v>
      </c>
      <c r="H28" s="32">
        <f>SUMIFS(_CALC_ALLOC!$AL$1:$AL$420,_CALC_ALLOC!$AS$1:$AS$420,"2027|"&amp;$P$1,_CALC_ALLOC!$B$1:$B$420,$U28,_CALC_ALLOC!$D$1:$D$420,$W28,_CALC_ALLOC!$E$1:$E$420,$X28,_CALC_ALLOC!$F$1:$F$420,$Y28)</f>
        <v>0</v>
      </c>
      <c r="I28" s="32">
        <f>SUMIFS(_CALC_ALLOC!$AR$1:$AR$420,_CALC_ALLOC!$AS$1:$AS$420,"2027|"&amp;$P$1,_CALC_ALLOC!$B$1:$B$420,$U28,_CALC_ALLOC!$D$1:$D$420,$W28,_CALC_ALLOC!$E$1:$E$420,$X28,_CALC_ALLOC!$F$1:$F$420,$Y28)</f>
        <v>0</v>
      </c>
      <c r="J28" s="32">
        <f>SUMIFS(_CALC_ALLOC!$AM$1:$AM$420,_CALC_ALLOC!$AS$1:$AS$420,"2027|"&amp;$P$1,_CALC_ALLOC!$B$1:$B$420,$U28,_CALC_ALLOC!$D$1:$D$420,$W28,_CALC_ALLOC!$E$1:$E$420,$X28,_CALC_ALLOC!$F$1:$F$420,$Y28)</f>
        <v>0</v>
      </c>
      <c r="K28" s="33">
        <f t="shared" si="0"/>
        <v>0</v>
      </c>
      <c r="L28" s="34">
        <f>SUMIFS(_CALC_ALLOC!$AN$1:$AN$420,_CALC_ALLOC!$AS$1:$AS$420,"2027|"&amp;$P$1,_CALC_ALLOC!$B$1:$B$420,$U28,_CALC_ALLOC!$D$1:$D$420,$W28,_CALC_ALLOC!$E$1:$E$420,$X28,_CALC_ALLOC!$F$1:$F$420,$Y28)</f>
        <v>0</v>
      </c>
      <c r="M28" s="35">
        <f t="shared" si="1"/>
        <v>0</v>
      </c>
      <c r="T28" t="inlineStr">
        <is>
          <t>MBWAY_LYO|BAC_MGT|B3|ALT</t>
        </is>
      </c>
      <c r="U28" t="inlineStr">
        <is>
          <t>MBWAY_LYO</t>
        </is>
      </c>
      <c r="V28" t="inlineStr">
        <is>
          <t>MBWAY</t>
        </is>
      </c>
      <c r="W28" t="inlineStr">
        <is>
          <t>BAC_MGT</t>
        </is>
      </c>
      <c r="X28" t="inlineStr">
        <is>
          <t>B3</t>
        </is>
      </c>
      <c r="Y28" t="inlineStr">
        <is>
          <t>ALT</t>
        </is>
      </c>
      <c r="Z28">
        <v>3</v>
      </c>
    </row>
    <row r="29" spans="2:26" x14ac:dyDescent="0.45" outlineLevel="2" hidden="1">
      <c r="B29" s="30" t="s">
        <v>96</v>
      </c>
      <c r="C29" s="31">
        <f>SUMIFS(_CALC_ALLOC!$G$1:$G$420,_CALC_ALLOC!$AS$1:$AS$420,"2027|"&amp;$P$1,_CALC_ALLOC!$B$1:$B$420,$U29,_CALC_ALLOC!$D$1:$D$420,$W29,_CALC_ALLOC!$E$1:$E$420,$X29,_CALC_ALLOC!$F$1:$F$420,$Y29)</f>
        <v>0</v>
      </c>
      <c r="D29" s="32">
        <f>SUMIFS(_CALC_ALLOC!$I$1:$I$420,_CALC_ALLOC!$AS$1:$AS$420,"2027|"&amp;$P$1,_CALC_ALLOC!$B$1:$B$420,$U29,_CALC_ALLOC!$D$1:$D$420,$W29,_CALC_ALLOC!$E$1:$E$420,$X29,_CALC_ALLOC!$F$1:$F$420,$Y29)</f>
        <v>0</v>
      </c>
      <c r="E29" s="32">
        <f>SUMIFS(_CALC_ALLOC!$AI$1:$AI$420,_CALC_ALLOC!$AS$1:$AS$420,"2027|"&amp;$P$1,_CALC_ALLOC!$B$1:$B$420,$U29,_CALC_ALLOC!$D$1:$D$420,$W29,_CALC_ALLOC!$E$1:$E$420,$X29,_CALC_ALLOC!$F$1:$F$420,$Y29)</f>
        <v>0</v>
      </c>
      <c r="F29" s="32">
        <f>SUMIFS(_CALC_ALLOC!$AJ$1:$AJ$420,_CALC_ALLOC!$AS$1:$AS$420,"2027|"&amp;$P$1,_CALC_ALLOC!$B$1:$B$420,$U29,_CALC_ALLOC!$D$1:$D$420,$W29,_CALC_ALLOC!$E$1:$E$420,$X29,_CALC_ALLOC!$F$1:$F$420,$Y29)</f>
        <v>0</v>
      </c>
      <c r="G29" s="32">
        <f>SUMIFS(_CALC_ALLOC!$AK$1:$AK$420,_CALC_ALLOC!$AS$1:$AS$420,"2027|"&amp;$P$1,_CALC_ALLOC!$B$1:$B$420,$U29,_CALC_ALLOC!$D$1:$D$420,$W29,_CALC_ALLOC!$E$1:$E$420,$X29,_CALC_ALLOC!$F$1:$F$420,$Y29)</f>
        <v>0</v>
      </c>
      <c r="H29" s="32">
        <f>SUMIFS(_CALC_ALLOC!$AL$1:$AL$420,_CALC_ALLOC!$AS$1:$AS$420,"2027|"&amp;$P$1,_CALC_ALLOC!$B$1:$B$420,$U29,_CALC_ALLOC!$D$1:$D$420,$W29,_CALC_ALLOC!$E$1:$E$420,$X29,_CALC_ALLOC!$F$1:$F$420,$Y29)</f>
        <v>0</v>
      </c>
      <c r="I29" s="32">
        <f>SUMIFS(_CALC_ALLOC!$AR$1:$AR$420,_CALC_ALLOC!$AS$1:$AS$420,"2027|"&amp;$P$1,_CALC_ALLOC!$B$1:$B$420,$U29,_CALC_ALLOC!$D$1:$D$420,$W29,_CALC_ALLOC!$E$1:$E$420,$X29,_CALC_ALLOC!$F$1:$F$420,$Y29)</f>
        <v>0</v>
      </c>
      <c r="J29" s="32">
        <f>SUMIFS(_CALC_ALLOC!$AM$1:$AM$420,_CALC_ALLOC!$AS$1:$AS$420,"2027|"&amp;$P$1,_CALC_ALLOC!$B$1:$B$420,$U29,_CALC_ALLOC!$D$1:$D$420,$W29,_CALC_ALLOC!$E$1:$E$420,$X29,_CALC_ALLOC!$F$1:$F$420,$Y29)</f>
        <v>0</v>
      </c>
      <c r="K29" s="33">
        <f t="shared" si="0"/>
        <v>0</v>
      </c>
      <c r="L29" s="34">
        <f>SUMIFS(_CALC_ALLOC!$AN$1:$AN$420,_CALC_ALLOC!$AS$1:$AS$420,"2027|"&amp;$P$1,_CALC_ALLOC!$B$1:$B$420,$U29,_CALC_ALLOC!$D$1:$D$420,$W29,_CALC_ALLOC!$E$1:$E$420,$X29,_CALC_ALLOC!$F$1:$F$420,$Y29)</f>
        <v>0</v>
      </c>
      <c r="M29" s="35">
        <f t="shared" si="1"/>
        <v>0</v>
      </c>
      <c r="T29" t="inlineStr">
        <is>
          <t>MBWAY_LYO|MAS_MGT|M1|ALT</t>
        </is>
      </c>
      <c r="U29" t="inlineStr">
        <is>
          <t>MBWAY_LYO</t>
        </is>
      </c>
      <c r="V29" t="inlineStr">
        <is>
          <t>MBWAY</t>
        </is>
      </c>
      <c r="W29" t="inlineStr">
        <is>
          <t>MAS_MGT</t>
        </is>
      </c>
      <c r="X29" t="inlineStr">
        <is>
          <t>M1</t>
        </is>
      </c>
      <c r="Y29" t="inlineStr">
        <is>
          <t>ALT</t>
        </is>
      </c>
      <c r="Z29">
        <v>3</v>
      </c>
    </row>
    <row r="30" spans="2:26" x14ac:dyDescent="0.45" outlineLevel="2" hidden="1">
      <c r="B30" s="30" t="s">
        <v>97</v>
      </c>
      <c r="C30" s="31">
        <f>SUMIFS(_CALC_ALLOC!$G$1:$G$420,_CALC_ALLOC!$AS$1:$AS$420,"2027|"&amp;$P$1,_CALC_ALLOC!$B$1:$B$420,$U30,_CALC_ALLOC!$D$1:$D$420,$W30,_CALC_ALLOC!$E$1:$E$420,$X30,_CALC_ALLOC!$F$1:$F$420,$Y30)</f>
        <v>0</v>
      </c>
      <c r="D30" s="32">
        <f>SUMIFS(_CALC_ALLOC!$I$1:$I$420,_CALC_ALLOC!$AS$1:$AS$420,"2027|"&amp;$P$1,_CALC_ALLOC!$B$1:$B$420,$U30,_CALC_ALLOC!$D$1:$D$420,$W30,_CALC_ALLOC!$E$1:$E$420,$X30,_CALC_ALLOC!$F$1:$F$420,$Y30)</f>
        <v>0</v>
      </c>
      <c r="E30" s="32">
        <f>SUMIFS(_CALC_ALLOC!$AI$1:$AI$420,_CALC_ALLOC!$AS$1:$AS$420,"2027|"&amp;$P$1,_CALC_ALLOC!$B$1:$B$420,$U30,_CALC_ALLOC!$D$1:$D$420,$W30,_CALC_ALLOC!$E$1:$E$420,$X30,_CALC_ALLOC!$F$1:$F$420,$Y30)</f>
        <v>0</v>
      </c>
      <c r="F30" s="32">
        <f>SUMIFS(_CALC_ALLOC!$AJ$1:$AJ$420,_CALC_ALLOC!$AS$1:$AS$420,"2027|"&amp;$P$1,_CALC_ALLOC!$B$1:$B$420,$U30,_CALC_ALLOC!$D$1:$D$420,$W30,_CALC_ALLOC!$E$1:$E$420,$X30,_CALC_ALLOC!$F$1:$F$420,$Y30)</f>
        <v>0</v>
      </c>
      <c r="G30" s="32">
        <f>SUMIFS(_CALC_ALLOC!$AK$1:$AK$420,_CALC_ALLOC!$AS$1:$AS$420,"2027|"&amp;$P$1,_CALC_ALLOC!$B$1:$B$420,$U30,_CALC_ALLOC!$D$1:$D$420,$W30,_CALC_ALLOC!$E$1:$E$420,$X30,_CALC_ALLOC!$F$1:$F$420,$Y30)</f>
        <v>0</v>
      </c>
      <c r="H30" s="32">
        <f>SUMIFS(_CALC_ALLOC!$AL$1:$AL$420,_CALC_ALLOC!$AS$1:$AS$420,"2027|"&amp;$P$1,_CALC_ALLOC!$B$1:$B$420,$U30,_CALC_ALLOC!$D$1:$D$420,$W30,_CALC_ALLOC!$E$1:$E$420,$X30,_CALC_ALLOC!$F$1:$F$420,$Y30)</f>
        <v>0</v>
      </c>
      <c r="I30" s="32">
        <f>SUMIFS(_CALC_ALLOC!$AR$1:$AR$420,_CALC_ALLOC!$AS$1:$AS$420,"2027|"&amp;$P$1,_CALC_ALLOC!$B$1:$B$420,$U30,_CALC_ALLOC!$D$1:$D$420,$W30,_CALC_ALLOC!$E$1:$E$420,$X30,_CALC_ALLOC!$F$1:$F$420,$Y30)</f>
        <v>0</v>
      </c>
      <c r="J30" s="32">
        <f>SUMIFS(_CALC_ALLOC!$AM$1:$AM$420,_CALC_ALLOC!$AS$1:$AS$420,"2027|"&amp;$P$1,_CALC_ALLOC!$B$1:$B$420,$U30,_CALC_ALLOC!$D$1:$D$420,$W30,_CALC_ALLOC!$E$1:$E$420,$X30,_CALC_ALLOC!$F$1:$F$420,$Y30)</f>
        <v>0</v>
      </c>
      <c r="K30" s="33">
        <f t="shared" si="0"/>
        <v>0</v>
      </c>
      <c r="L30" s="34">
        <f>SUMIFS(_CALC_ALLOC!$AN$1:$AN$420,_CALC_ALLOC!$AS$1:$AS$420,"2027|"&amp;$P$1,_CALC_ALLOC!$B$1:$B$420,$U30,_CALC_ALLOC!$D$1:$D$420,$W30,_CALC_ALLOC!$E$1:$E$420,$X30,_CALC_ALLOC!$F$1:$F$420,$Y30)</f>
        <v>0</v>
      </c>
      <c r="M30" s="35">
        <f t="shared" si="1"/>
        <v>0</v>
      </c>
      <c r="T30" t="inlineStr">
        <is>
          <t>MBWAY_LYO|MAS_MGT|M2|ALT</t>
        </is>
      </c>
      <c r="U30" t="inlineStr">
        <is>
          <t>MBWAY_LYO</t>
        </is>
      </c>
      <c r="V30" t="inlineStr">
        <is>
          <t>MBWAY</t>
        </is>
      </c>
      <c r="W30" t="inlineStr">
        <is>
          <t>MAS_MGT</t>
        </is>
      </c>
      <c r="X30" t="inlineStr">
        <is>
          <t>M2</t>
        </is>
      </c>
      <c r="Y30" t="inlineStr">
        <is>
          <t>ALT</t>
        </is>
      </c>
      <c r="Z30">
        <v>3</v>
      </c>
    </row>
    <row r="31" spans="2:26" x14ac:dyDescent="0.45" outlineLevel="1">
      <c r="B31" s="25" t="s">
        <v>99</v>
      </c>
      <c r="C31" s="26">
        <f>SUMIFS(_CALC_ALLOC!$G$1:$G$420,_CALC_ALLOC!$AS$1:$AS$420,"2027|"&amp;$P$1,_CALC_ALLOC!$B$1:$B$420,$U31)</f>
        <v>0</v>
      </c>
      <c r="D31" s="27">
        <f>SUMIFS(_CALC_ALLOC!$I$1:$I$420,_CALC_ALLOC!$AS$1:$AS$420,"2027|"&amp;$P$1,_CALC_ALLOC!$B$1:$B$420,$U31)</f>
        <v>0</v>
      </c>
      <c r="E31" s="27">
        <f>SUMIFS(_CALC_ALLOC!$AI$1:$AI$420,_CALC_ALLOC!$AS$1:$AS$420,"2027|"&amp;$P$1,_CALC_ALLOC!$B$1:$B$420,$U31)</f>
        <v>0</v>
      </c>
      <c r="F31" s="27">
        <f>SUMIFS(_CALC_ALLOC!$AJ$1:$AJ$420,_CALC_ALLOC!$AS$1:$AS$420,"2027|"&amp;$P$1,_CALC_ALLOC!$B$1:$B$420,$U31)</f>
        <v>0</v>
      </c>
      <c r="G31" s="27">
        <f>SUMIFS(_CALC_ALLOC!$AK$1:$AK$420,_CALC_ALLOC!$AS$1:$AS$420,"2027|"&amp;$P$1,_CALC_ALLOC!$B$1:$B$420,$U31)</f>
        <v>0</v>
      </c>
      <c r="H31" s="27">
        <f>SUMIFS(_CALC_ALLOC!$AL$1:$AL$420,_CALC_ALLOC!$AS$1:$AS$420,"2027|"&amp;$P$1,_CALC_ALLOC!$B$1:$B$420,$U31)</f>
        <v>0</v>
      </c>
      <c r="I31" s="27">
        <f>SUMIFS(_CALC_ALLOC!$AR$1:$AR$420,_CALC_ALLOC!$AS$1:$AS$420,"2027|"&amp;$P$1,_CALC_ALLOC!$B$1:$B$420,$U31)</f>
        <v>0</v>
      </c>
      <c r="J31" s="27">
        <f>SUMIFS(_CALC_ALLOC!$AM$1:$AM$420,_CALC_ALLOC!$AS$1:$AS$420,"2027|"&amp;$P$1,_CALC_ALLOC!$B$1:$B$420,$U31)</f>
        <v>0</v>
      </c>
      <c r="K31" s="27">
        <f t="shared" si="0"/>
        <v>0</v>
      </c>
      <c r="L31" s="28">
        <f>SUMIFS(_CALC_ALLOC!$AN$1:$AN$420,_CALC_ALLOC!$AS$1:$AS$420,"2027|"&amp;$P$1,_CALC_ALLOC!$B$1:$B$420,$U31)</f>
        <v>0</v>
      </c>
      <c r="M31" s="29">
        <f t="shared" si="1"/>
        <v>0</v>
      </c>
      <c r="T31" t="inlineStr">
        <is>
          <t>MBWAY_NAN</t>
        </is>
      </c>
      <c r="U31" t="inlineStr">
        <is>
          <t>MBWAY_NAN</t>
        </is>
      </c>
      <c r="V31" t="inlineStr">
        <is>
          <t>MBWAY</t>
        </is>
      </c>
      <c r="Z31">
        <v>2</v>
      </c>
    </row>
    <row r="32" spans="2:26" x14ac:dyDescent="0.45" outlineLevel="2" hidden="1">
      <c r="B32" s="30" t="s">
        <v>93</v>
      </c>
      <c r="C32" s="31">
        <f>SUMIFS(_CALC_ALLOC!$G$1:$G$420,_CALC_ALLOC!$AS$1:$AS$420,"2027|"&amp;$P$1,_CALC_ALLOC!$B$1:$B$420,$U32,_CALC_ALLOC!$D$1:$D$420,$W32,_CALC_ALLOC!$E$1:$E$420,$X32,_CALC_ALLOC!$F$1:$F$420,$Y32)</f>
        <v>0</v>
      </c>
      <c r="D32" s="32">
        <f>SUMIFS(_CALC_ALLOC!$I$1:$I$420,_CALC_ALLOC!$AS$1:$AS$420,"2027|"&amp;$P$1,_CALC_ALLOC!$B$1:$B$420,$U32,_CALC_ALLOC!$D$1:$D$420,$W32,_CALC_ALLOC!$E$1:$E$420,$X32,_CALC_ALLOC!$F$1:$F$420,$Y32)</f>
        <v>0</v>
      </c>
      <c r="E32" s="32">
        <f>SUMIFS(_CALC_ALLOC!$AI$1:$AI$420,_CALC_ALLOC!$AS$1:$AS$420,"2027|"&amp;$P$1,_CALC_ALLOC!$B$1:$B$420,$U32,_CALC_ALLOC!$D$1:$D$420,$W32,_CALC_ALLOC!$E$1:$E$420,$X32,_CALC_ALLOC!$F$1:$F$420,$Y32)</f>
        <v>0</v>
      </c>
      <c r="F32" s="32">
        <f>SUMIFS(_CALC_ALLOC!$AJ$1:$AJ$420,_CALC_ALLOC!$AS$1:$AS$420,"2027|"&amp;$P$1,_CALC_ALLOC!$B$1:$B$420,$U32,_CALC_ALLOC!$D$1:$D$420,$W32,_CALC_ALLOC!$E$1:$E$420,$X32,_CALC_ALLOC!$F$1:$F$420,$Y32)</f>
        <v>0</v>
      </c>
      <c r="G32" s="32">
        <f>SUMIFS(_CALC_ALLOC!$AK$1:$AK$420,_CALC_ALLOC!$AS$1:$AS$420,"2027|"&amp;$P$1,_CALC_ALLOC!$B$1:$B$420,$U32,_CALC_ALLOC!$D$1:$D$420,$W32,_CALC_ALLOC!$E$1:$E$420,$X32,_CALC_ALLOC!$F$1:$F$420,$Y32)</f>
        <v>0</v>
      </c>
      <c r="H32" s="32">
        <f>SUMIFS(_CALC_ALLOC!$AL$1:$AL$420,_CALC_ALLOC!$AS$1:$AS$420,"2027|"&amp;$P$1,_CALC_ALLOC!$B$1:$B$420,$U32,_CALC_ALLOC!$D$1:$D$420,$W32,_CALC_ALLOC!$E$1:$E$420,$X32,_CALC_ALLOC!$F$1:$F$420,$Y32)</f>
        <v>0</v>
      </c>
      <c r="I32" s="32">
        <f>SUMIFS(_CALC_ALLOC!$AR$1:$AR$420,_CALC_ALLOC!$AS$1:$AS$420,"2027|"&amp;$P$1,_CALC_ALLOC!$B$1:$B$420,$U32,_CALC_ALLOC!$D$1:$D$420,$W32,_CALC_ALLOC!$E$1:$E$420,$X32,_CALC_ALLOC!$F$1:$F$420,$Y32)</f>
        <v>0</v>
      </c>
      <c r="J32" s="32">
        <f>SUMIFS(_CALC_ALLOC!$AM$1:$AM$420,_CALC_ALLOC!$AS$1:$AS$420,"2027|"&amp;$P$1,_CALC_ALLOC!$B$1:$B$420,$U32,_CALC_ALLOC!$D$1:$D$420,$W32,_CALC_ALLOC!$E$1:$E$420,$X32,_CALC_ALLOC!$F$1:$F$420,$Y32)</f>
        <v>0</v>
      </c>
      <c r="K32" s="33">
        <f t="shared" si="0"/>
        <v>0</v>
      </c>
      <c r="L32" s="34">
        <f>SUMIFS(_CALC_ALLOC!$AN$1:$AN$420,_CALC_ALLOC!$AS$1:$AS$420,"2027|"&amp;$P$1,_CALC_ALLOC!$B$1:$B$420,$U32,_CALC_ALLOC!$D$1:$D$420,$W32,_CALC_ALLOC!$E$1:$E$420,$X32,_CALC_ALLOC!$F$1:$F$420,$Y32)</f>
        <v>0</v>
      </c>
      <c r="M32" s="35">
        <f t="shared" si="1"/>
        <v>0</v>
      </c>
      <c r="T32" t="inlineStr">
        <is>
          <t>MBWAY_NAN|BAC_MGT|B1|INIT</t>
        </is>
      </c>
      <c r="U32" t="inlineStr">
        <is>
          <t>MBWAY_NAN</t>
        </is>
      </c>
      <c r="V32" t="inlineStr">
        <is>
          <t>MBWAY</t>
        </is>
      </c>
      <c r="W32" t="inlineStr">
        <is>
          <t>BAC_MGT</t>
        </is>
      </c>
      <c r="X32" t="inlineStr">
        <is>
          <t>B1</t>
        </is>
      </c>
      <c r="Y32" t="inlineStr">
        <is>
          <t>INIT</t>
        </is>
      </c>
      <c r="Z32">
        <v>3</v>
      </c>
    </row>
    <row r="33" spans="2:26" x14ac:dyDescent="0.45" outlineLevel="2" hidden="1">
      <c r="B33" s="30" t="s">
        <v>94</v>
      </c>
      <c r="C33" s="31">
        <f>SUMIFS(_CALC_ALLOC!$G$1:$G$420,_CALC_ALLOC!$AS$1:$AS$420,"2027|"&amp;$P$1,_CALC_ALLOC!$B$1:$B$420,$U33,_CALC_ALLOC!$D$1:$D$420,$W33,_CALC_ALLOC!$E$1:$E$420,$X33,_CALC_ALLOC!$F$1:$F$420,$Y33)</f>
        <v>0</v>
      </c>
      <c r="D33" s="32">
        <f>SUMIFS(_CALC_ALLOC!$I$1:$I$420,_CALC_ALLOC!$AS$1:$AS$420,"2027|"&amp;$P$1,_CALC_ALLOC!$B$1:$B$420,$U33,_CALC_ALLOC!$D$1:$D$420,$W33,_CALC_ALLOC!$E$1:$E$420,$X33,_CALC_ALLOC!$F$1:$F$420,$Y33)</f>
        <v>0</v>
      </c>
      <c r="E33" s="32">
        <f>SUMIFS(_CALC_ALLOC!$AI$1:$AI$420,_CALC_ALLOC!$AS$1:$AS$420,"2027|"&amp;$P$1,_CALC_ALLOC!$B$1:$B$420,$U33,_CALC_ALLOC!$D$1:$D$420,$W33,_CALC_ALLOC!$E$1:$E$420,$X33,_CALC_ALLOC!$F$1:$F$420,$Y33)</f>
        <v>0</v>
      </c>
      <c r="F33" s="32">
        <f>SUMIFS(_CALC_ALLOC!$AJ$1:$AJ$420,_CALC_ALLOC!$AS$1:$AS$420,"2027|"&amp;$P$1,_CALC_ALLOC!$B$1:$B$420,$U33,_CALC_ALLOC!$D$1:$D$420,$W33,_CALC_ALLOC!$E$1:$E$420,$X33,_CALC_ALLOC!$F$1:$F$420,$Y33)</f>
        <v>0</v>
      </c>
      <c r="G33" s="32">
        <f>SUMIFS(_CALC_ALLOC!$AK$1:$AK$420,_CALC_ALLOC!$AS$1:$AS$420,"2027|"&amp;$P$1,_CALC_ALLOC!$B$1:$B$420,$U33,_CALC_ALLOC!$D$1:$D$420,$W33,_CALC_ALLOC!$E$1:$E$420,$X33,_CALC_ALLOC!$F$1:$F$420,$Y33)</f>
        <v>0</v>
      </c>
      <c r="H33" s="32">
        <f>SUMIFS(_CALC_ALLOC!$AL$1:$AL$420,_CALC_ALLOC!$AS$1:$AS$420,"2027|"&amp;$P$1,_CALC_ALLOC!$B$1:$B$420,$U33,_CALC_ALLOC!$D$1:$D$420,$W33,_CALC_ALLOC!$E$1:$E$420,$X33,_CALC_ALLOC!$F$1:$F$420,$Y33)</f>
        <v>0</v>
      </c>
      <c r="I33" s="32">
        <f>SUMIFS(_CALC_ALLOC!$AR$1:$AR$420,_CALC_ALLOC!$AS$1:$AS$420,"2027|"&amp;$P$1,_CALC_ALLOC!$B$1:$B$420,$U33,_CALC_ALLOC!$D$1:$D$420,$W33,_CALC_ALLOC!$E$1:$E$420,$X33,_CALC_ALLOC!$F$1:$F$420,$Y33)</f>
        <v>0</v>
      </c>
      <c r="J33" s="32">
        <f>SUMIFS(_CALC_ALLOC!$AM$1:$AM$420,_CALC_ALLOC!$AS$1:$AS$420,"2027|"&amp;$P$1,_CALC_ALLOC!$B$1:$B$420,$U33,_CALC_ALLOC!$D$1:$D$420,$W33,_CALC_ALLOC!$E$1:$E$420,$X33,_CALC_ALLOC!$F$1:$F$420,$Y33)</f>
        <v>0</v>
      </c>
      <c r="K33" s="33">
        <f t="shared" si="0"/>
        <v>0</v>
      </c>
      <c r="L33" s="34">
        <f>SUMIFS(_CALC_ALLOC!$AN$1:$AN$420,_CALC_ALLOC!$AS$1:$AS$420,"2027|"&amp;$P$1,_CALC_ALLOC!$B$1:$B$420,$U33,_CALC_ALLOC!$D$1:$D$420,$W33,_CALC_ALLOC!$E$1:$E$420,$X33,_CALC_ALLOC!$F$1:$F$420,$Y33)</f>
        <v>0</v>
      </c>
      <c r="M33" s="35">
        <f t="shared" si="1"/>
        <v>0</v>
      </c>
      <c r="T33" t="inlineStr">
        <is>
          <t>MBWAY_NAN|BAC_MGT|B2|ALT</t>
        </is>
      </c>
      <c r="U33" t="inlineStr">
        <is>
          <t>MBWAY_NAN</t>
        </is>
      </c>
      <c r="V33" t="inlineStr">
        <is>
          <t>MBWAY</t>
        </is>
      </c>
      <c r="W33" t="inlineStr">
        <is>
          <t>BAC_MGT</t>
        </is>
      </c>
      <c r="X33" t="inlineStr">
        <is>
          <t>B2</t>
        </is>
      </c>
      <c r="Y33" t="inlineStr">
        <is>
          <t>ALT</t>
        </is>
      </c>
      <c r="Z33">
        <v>3</v>
      </c>
    </row>
    <row r="34" spans="2:26" x14ac:dyDescent="0.45" outlineLevel="2" hidden="1">
      <c r="B34" s="30" t="s">
        <v>95</v>
      </c>
      <c r="C34" s="31">
        <f>SUMIFS(_CALC_ALLOC!$G$1:$G$420,_CALC_ALLOC!$AS$1:$AS$420,"2027|"&amp;$P$1,_CALC_ALLOC!$B$1:$B$420,$U34,_CALC_ALLOC!$D$1:$D$420,$W34,_CALC_ALLOC!$E$1:$E$420,$X34,_CALC_ALLOC!$F$1:$F$420,$Y34)</f>
        <v>0</v>
      </c>
      <c r="D34" s="32">
        <f>SUMIFS(_CALC_ALLOC!$I$1:$I$420,_CALC_ALLOC!$AS$1:$AS$420,"2027|"&amp;$P$1,_CALC_ALLOC!$B$1:$B$420,$U34,_CALC_ALLOC!$D$1:$D$420,$W34,_CALC_ALLOC!$E$1:$E$420,$X34,_CALC_ALLOC!$F$1:$F$420,$Y34)</f>
        <v>0</v>
      </c>
      <c r="E34" s="32">
        <f>SUMIFS(_CALC_ALLOC!$AI$1:$AI$420,_CALC_ALLOC!$AS$1:$AS$420,"2027|"&amp;$P$1,_CALC_ALLOC!$B$1:$B$420,$U34,_CALC_ALLOC!$D$1:$D$420,$W34,_CALC_ALLOC!$E$1:$E$420,$X34,_CALC_ALLOC!$F$1:$F$420,$Y34)</f>
        <v>0</v>
      </c>
      <c r="F34" s="32">
        <f>SUMIFS(_CALC_ALLOC!$AJ$1:$AJ$420,_CALC_ALLOC!$AS$1:$AS$420,"2027|"&amp;$P$1,_CALC_ALLOC!$B$1:$B$420,$U34,_CALC_ALLOC!$D$1:$D$420,$W34,_CALC_ALLOC!$E$1:$E$420,$X34,_CALC_ALLOC!$F$1:$F$420,$Y34)</f>
        <v>0</v>
      </c>
      <c r="G34" s="32">
        <f>SUMIFS(_CALC_ALLOC!$AK$1:$AK$420,_CALC_ALLOC!$AS$1:$AS$420,"2027|"&amp;$P$1,_CALC_ALLOC!$B$1:$B$420,$U34,_CALC_ALLOC!$D$1:$D$420,$W34,_CALC_ALLOC!$E$1:$E$420,$X34,_CALC_ALLOC!$F$1:$F$420,$Y34)</f>
        <v>0</v>
      </c>
      <c r="H34" s="32">
        <f>SUMIFS(_CALC_ALLOC!$AL$1:$AL$420,_CALC_ALLOC!$AS$1:$AS$420,"2027|"&amp;$P$1,_CALC_ALLOC!$B$1:$B$420,$U34,_CALC_ALLOC!$D$1:$D$420,$W34,_CALC_ALLOC!$E$1:$E$420,$X34,_CALC_ALLOC!$F$1:$F$420,$Y34)</f>
        <v>0</v>
      </c>
      <c r="I34" s="32">
        <f>SUMIFS(_CALC_ALLOC!$AR$1:$AR$420,_CALC_ALLOC!$AS$1:$AS$420,"2027|"&amp;$P$1,_CALC_ALLOC!$B$1:$B$420,$U34,_CALC_ALLOC!$D$1:$D$420,$W34,_CALC_ALLOC!$E$1:$E$420,$X34,_CALC_ALLOC!$F$1:$F$420,$Y34)</f>
        <v>0</v>
      </c>
      <c r="J34" s="32">
        <f>SUMIFS(_CALC_ALLOC!$AM$1:$AM$420,_CALC_ALLOC!$AS$1:$AS$420,"2027|"&amp;$P$1,_CALC_ALLOC!$B$1:$B$420,$U34,_CALC_ALLOC!$D$1:$D$420,$W34,_CALC_ALLOC!$E$1:$E$420,$X34,_CALC_ALLOC!$F$1:$F$420,$Y34)</f>
        <v>0</v>
      </c>
      <c r="K34" s="33">
        <f t="shared" si="0"/>
        <v>0</v>
      </c>
      <c r="L34" s="34">
        <f>SUMIFS(_CALC_ALLOC!$AN$1:$AN$420,_CALC_ALLOC!$AS$1:$AS$420,"2027|"&amp;$P$1,_CALC_ALLOC!$B$1:$B$420,$U34,_CALC_ALLOC!$D$1:$D$420,$W34,_CALC_ALLOC!$E$1:$E$420,$X34,_CALC_ALLOC!$F$1:$F$420,$Y34)</f>
        <v>0</v>
      </c>
      <c r="M34" s="35">
        <f t="shared" si="1"/>
        <v>0</v>
      </c>
      <c r="T34" t="inlineStr">
        <is>
          <t>MBWAY_NAN|BAC_MGT|B3|ALT</t>
        </is>
      </c>
      <c r="U34" t="inlineStr">
        <is>
          <t>MBWAY_NAN</t>
        </is>
      </c>
      <c r="V34" t="inlineStr">
        <is>
          <t>MBWAY</t>
        </is>
      </c>
      <c r="W34" t="inlineStr">
        <is>
          <t>BAC_MGT</t>
        </is>
      </c>
      <c r="X34" t="inlineStr">
        <is>
          <t>B3</t>
        </is>
      </c>
      <c r="Y34" t="inlineStr">
        <is>
          <t>ALT</t>
        </is>
      </c>
      <c r="Z34">
        <v>3</v>
      </c>
    </row>
    <row r="35" spans="2:26" x14ac:dyDescent="0.45" outlineLevel="2" hidden="1">
      <c r="B35" s="30" t="s">
        <v>96</v>
      </c>
      <c r="C35" s="31">
        <f>SUMIFS(_CALC_ALLOC!$G$1:$G$420,_CALC_ALLOC!$AS$1:$AS$420,"2027|"&amp;$P$1,_CALC_ALLOC!$B$1:$B$420,$U35,_CALC_ALLOC!$D$1:$D$420,$W35,_CALC_ALLOC!$E$1:$E$420,$X35,_CALC_ALLOC!$F$1:$F$420,$Y35)</f>
        <v>0</v>
      </c>
      <c r="D35" s="32">
        <f>SUMIFS(_CALC_ALLOC!$I$1:$I$420,_CALC_ALLOC!$AS$1:$AS$420,"2027|"&amp;$P$1,_CALC_ALLOC!$B$1:$B$420,$U35,_CALC_ALLOC!$D$1:$D$420,$W35,_CALC_ALLOC!$E$1:$E$420,$X35,_CALC_ALLOC!$F$1:$F$420,$Y35)</f>
        <v>0</v>
      </c>
      <c r="E35" s="32">
        <f>SUMIFS(_CALC_ALLOC!$AI$1:$AI$420,_CALC_ALLOC!$AS$1:$AS$420,"2027|"&amp;$P$1,_CALC_ALLOC!$B$1:$B$420,$U35,_CALC_ALLOC!$D$1:$D$420,$W35,_CALC_ALLOC!$E$1:$E$420,$X35,_CALC_ALLOC!$F$1:$F$420,$Y35)</f>
        <v>0</v>
      </c>
      <c r="F35" s="32">
        <f>SUMIFS(_CALC_ALLOC!$AJ$1:$AJ$420,_CALC_ALLOC!$AS$1:$AS$420,"2027|"&amp;$P$1,_CALC_ALLOC!$B$1:$B$420,$U35,_CALC_ALLOC!$D$1:$D$420,$W35,_CALC_ALLOC!$E$1:$E$420,$X35,_CALC_ALLOC!$F$1:$F$420,$Y35)</f>
        <v>0</v>
      </c>
      <c r="G35" s="32">
        <f>SUMIFS(_CALC_ALLOC!$AK$1:$AK$420,_CALC_ALLOC!$AS$1:$AS$420,"2027|"&amp;$P$1,_CALC_ALLOC!$B$1:$B$420,$U35,_CALC_ALLOC!$D$1:$D$420,$W35,_CALC_ALLOC!$E$1:$E$420,$X35,_CALC_ALLOC!$F$1:$F$420,$Y35)</f>
        <v>0</v>
      </c>
      <c r="H35" s="32">
        <f>SUMIFS(_CALC_ALLOC!$AL$1:$AL$420,_CALC_ALLOC!$AS$1:$AS$420,"2027|"&amp;$P$1,_CALC_ALLOC!$B$1:$B$420,$U35,_CALC_ALLOC!$D$1:$D$420,$W35,_CALC_ALLOC!$E$1:$E$420,$X35,_CALC_ALLOC!$F$1:$F$420,$Y35)</f>
        <v>0</v>
      </c>
      <c r="I35" s="32">
        <f>SUMIFS(_CALC_ALLOC!$AR$1:$AR$420,_CALC_ALLOC!$AS$1:$AS$420,"2027|"&amp;$P$1,_CALC_ALLOC!$B$1:$B$420,$U35,_CALC_ALLOC!$D$1:$D$420,$W35,_CALC_ALLOC!$E$1:$E$420,$X35,_CALC_ALLOC!$F$1:$F$420,$Y35)</f>
        <v>0</v>
      </c>
      <c r="J35" s="32">
        <f>SUMIFS(_CALC_ALLOC!$AM$1:$AM$420,_CALC_ALLOC!$AS$1:$AS$420,"2027|"&amp;$P$1,_CALC_ALLOC!$B$1:$B$420,$U35,_CALC_ALLOC!$D$1:$D$420,$W35,_CALC_ALLOC!$E$1:$E$420,$X35,_CALC_ALLOC!$F$1:$F$420,$Y35)</f>
        <v>0</v>
      </c>
      <c r="K35" s="33">
        <f t="shared" si="0"/>
        <v>0</v>
      </c>
      <c r="L35" s="34">
        <f>SUMIFS(_CALC_ALLOC!$AN$1:$AN$420,_CALC_ALLOC!$AS$1:$AS$420,"2027|"&amp;$P$1,_CALC_ALLOC!$B$1:$B$420,$U35,_CALC_ALLOC!$D$1:$D$420,$W35,_CALC_ALLOC!$E$1:$E$420,$X35,_CALC_ALLOC!$F$1:$F$420,$Y35)</f>
        <v>0</v>
      </c>
      <c r="M35" s="35">
        <f t="shared" si="1"/>
        <v>0</v>
      </c>
      <c r="T35" t="inlineStr">
        <is>
          <t>MBWAY_NAN|MAS_MGT|M1|ALT</t>
        </is>
      </c>
      <c r="U35" t="inlineStr">
        <is>
          <t>MBWAY_NAN</t>
        </is>
      </c>
      <c r="V35" t="inlineStr">
        <is>
          <t>MBWAY</t>
        </is>
      </c>
      <c r="W35" t="inlineStr">
        <is>
          <t>MAS_MGT</t>
        </is>
      </c>
      <c r="X35" t="inlineStr">
        <is>
          <t>M1</t>
        </is>
      </c>
      <c r="Y35" t="inlineStr">
        <is>
          <t>ALT</t>
        </is>
      </c>
      <c r="Z35">
        <v>3</v>
      </c>
    </row>
    <row r="36" spans="2:26" x14ac:dyDescent="0.45" outlineLevel="2" hidden="1">
      <c r="B36" s="30" t="s">
        <v>97</v>
      </c>
      <c r="C36" s="31">
        <f>SUMIFS(_CALC_ALLOC!$G$1:$G$420,_CALC_ALLOC!$AS$1:$AS$420,"2027|"&amp;$P$1,_CALC_ALLOC!$B$1:$B$420,$U36,_CALC_ALLOC!$D$1:$D$420,$W36,_CALC_ALLOC!$E$1:$E$420,$X36,_CALC_ALLOC!$F$1:$F$420,$Y36)</f>
        <v>0</v>
      </c>
      <c r="D36" s="32">
        <f>SUMIFS(_CALC_ALLOC!$I$1:$I$420,_CALC_ALLOC!$AS$1:$AS$420,"2027|"&amp;$P$1,_CALC_ALLOC!$B$1:$B$420,$U36,_CALC_ALLOC!$D$1:$D$420,$W36,_CALC_ALLOC!$E$1:$E$420,$X36,_CALC_ALLOC!$F$1:$F$420,$Y36)</f>
        <v>0</v>
      </c>
      <c r="E36" s="32">
        <f>SUMIFS(_CALC_ALLOC!$AI$1:$AI$420,_CALC_ALLOC!$AS$1:$AS$420,"2027|"&amp;$P$1,_CALC_ALLOC!$B$1:$B$420,$U36,_CALC_ALLOC!$D$1:$D$420,$W36,_CALC_ALLOC!$E$1:$E$420,$X36,_CALC_ALLOC!$F$1:$F$420,$Y36)</f>
        <v>0</v>
      </c>
      <c r="F36" s="32">
        <f>SUMIFS(_CALC_ALLOC!$AJ$1:$AJ$420,_CALC_ALLOC!$AS$1:$AS$420,"2027|"&amp;$P$1,_CALC_ALLOC!$B$1:$B$420,$U36,_CALC_ALLOC!$D$1:$D$420,$W36,_CALC_ALLOC!$E$1:$E$420,$X36,_CALC_ALLOC!$F$1:$F$420,$Y36)</f>
        <v>0</v>
      </c>
      <c r="G36" s="32">
        <f>SUMIFS(_CALC_ALLOC!$AK$1:$AK$420,_CALC_ALLOC!$AS$1:$AS$420,"2027|"&amp;$P$1,_CALC_ALLOC!$B$1:$B$420,$U36,_CALC_ALLOC!$D$1:$D$420,$W36,_CALC_ALLOC!$E$1:$E$420,$X36,_CALC_ALLOC!$F$1:$F$420,$Y36)</f>
        <v>0</v>
      </c>
      <c r="H36" s="32">
        <f>SUMIFS(_CALC_ALLOC!$AL$1:$AL$420,_CALC_ALLOC!$AS$1:$AS$420,"2027|"&amp;$P$1,_CALC_ALLOC!$B$1:$B$420,$U36,_CALC_ALLOC!$D$1:$D$420,$W36,_CALC_ALLOC!$E$1:$E$420,$X36,_CALC_ALLOC!$F$1:$F$420,$Y36)</f>
        <v>0</v>
      </c>
      <c r="I36" s="32">
        <f>SUMIFS(_CALC_ALLOC!$AR$1:$AR$420,_CALC_ALLOC!$AS$1:$AS$420,"2027|"&amp;$P$1,_CALC_ALLOC!$B$1:$B$420,$U36,_CALC_ALLOC!$D$1:$D$420,$W36,_CALC_ALLOC!$E$1:$E$420,$X36,_CALC_ALLOC!$F$1:$F$420,$Y36)</f>
        <v>0</v>
      </c>
      <c r="J36" s="32">
        <f>SUMIFS(_CALC_ALLOC!$AM$1:$AM$420,_CALC_ALLOC!$AS$1:$AS$420,"2027|"&amp;$P$1,_CALC_ALLOC!$B$1:$B$420,$U36,_CALC_ALLOC!$D$1:$D$420,$W36,_CALC_ALLOC!$E$1:$E$420,$X36,_CALC_ALLOC!$F$1:$F$420,$Y36)</f>
        <v>0</v>
      </c>
      <c r="K36" s="33">
        <f t="shared" si="0"/>
        <v>0</v>
      </c>
      <c r="L36" s="34">
        <f>SUMIFS(_CALC_ALLOC!$AN$1:$AN$420,_CALC_ALLOC!$AS$1:$AS$420,"2027|"&amp;$P$1,_CALC_ALLOC!$B$1:$B$420,$U36,_CALC_ALLOC!$D$1:$D$420,$W36,_CALC_ALLOC!$E$1:$E$420,$X36,_CALC_ALLOC!$F$1:$F$420,$Y36)</f>
        <v>0</v>
      </c>
      <c r="M36" s="35">
        <f t="shared" si="1"/>
        <v>0</v>
      </c>
      <c r="T36" t="inlineStr">
        <is>
          <t>MBWAY_NAN|MAS_MGT|M2|ALT</t>
        </is>
      </c>
      <c r="U36" t="inlineStr">
        <is>
          <t>MBWAY_NAN</t>
        </is>
      </c>
      <c r="V36" t="inlineStr">
        <is>
          <t>MBWAY</t>
        </is>
      </c>
      <c r="W36" t="inlineStr">
        <is>
          <t>MAS_MGT</t>
        </is>
      </c>
      <c r="X36" t="inlineStr">
        <is>
          <t>M2</t>
        </is>
      </c>
      <c r="Y36" t="inlineStr">
        <is>
          <t>ALT</t>
        </is>
      </c>
      <c r="Z36">
        <v>3</v>
      </c>
    </row>
    <row r="37" spans="2:26" x14ac:dyDescent="0.45" outlineLevel="1">
      <c r="B37" s="25" t="s">
        <v>100</v>
      </c>
      <c r="C37" s="26">
        <f>SUMIFS(_CALC_ALLOC!$G$1:$G$420,_CALC_ALLOC!$AS$1:$AS$420,"2027|"&amp;$P$1,_CALC_ALLOC!$B$1:$B$420,$U37)</f>
        <v>0</v>
      </c>
      <c r="D37" s="27">
        <f>SUMIFS(_CALC_ALLOC!$I$1:$I$420,_CALC_ALLOC!$AS$1:$AS$420,"2027|"&amp;$P$1,_CALC_ALLOC!$B$1:$B$420,$U37)</f>
        <v>0</v>
      </c>
      <c r="E37" s="27">
        <f>SUMIFS(_CALC_ALLOC!$AI$1:$AI$420,_CALC_ALLOC!$AS$1:$AS$420,"2027|"&amp;$P$1,_CALC_ALLOC!$B$1:$B$420,$U37)</f>
        <v>0</v>
      </c>
      <c r="F37" s="27">
        <f>SUMIFS(_CALC_ALLOC!$AJ$1:$AJ$420,_CALC_ALLOC!$AS$1:$AS$420,"2027|"&amp;$P$1,_CALC_ALLOC!$B$1:$B$420,$U37)</f>
        <v>0</v>
      </c>
      <c r="G37" s="27">
        <f>SUMIFS(_CALC_ALLOC!$AK$1:$AK$420,_CALC_ALLOC!$AS$1:$AS$420,"2027|"&amp;$P$1,_CALC_ALLOC!$B$1:$B$420,$U37)</f>
        <v>0</v>
      </c>
      <c r="H37" s="27">
        <f>SUMIFS(_CALC_ALLOC!$AL$1:$AL$420,_CALC_ALLOC!$AS$1:$AS$420,"2027|"&amp;$P$1,_CALC_ALLOC!$B$1:$B$420,$U37)</f>
        <v>0</v>
      </c>
      <c r="I37" s="27">
        <f>SUMIFS(_CALC_ALLOC!$AR$1:$AR$420,_CALC_ALLOC!$AS$1:$AS$420,"2027|"&amp;$P$1,_CALC_ALLOC!$B$1:$B$420,$U37)</f>
        <v>0</v>
      </c>
      <c r="J37" s="27">
        <f>SUMIFS(_CALC_ALLOC!$AM$1:$AM$420,_CALC_ALLOC!$AS$1:$AS$420,"2027|"&amp;$P$1,_CALC_ALLOC!$B$1:$B$420,$U37)</f>
        <v>0</v>
      </c>
      <c r="K37" s="27">
        <f t="shared" si="0"/>
        <v>0</v>
      </c>
      <c r="L37" s="28">
        <f>SUMIFS(_CALC_ALLOC!$AN$1:$AN$420,_CALC_ALLOC!$AS$1:$AS$420,"2027|"&amp;$P$1,_CALC_ALLOC!$B$1:$B$420,$U37)</f>
        <v>0</v>
      </c>
      <c r="M37" s="29">
        <f t="shared" si="1"/>
        <v>0</v>
      </c>
      <c r="T37" t="inlineStr">
        <is>
          <t>MBWAY_BOR</t>
        </is>
      </c>
      <c r="U37" t="inlineStr">
        <is>
          <t>MBWAY_BOR</t>
        </is>
      </c>
      <c r="V37" t="inlineStr">
        <is>
          <t>MBWAY</t>
        </is>
      </c>
      <c r="Z37">
        <v>2</v>
      </c>
    </row>
    <row r="38" spans="2:26" x14ac:dyDescent="0.45" outlineLevel="2" hidden="1">
      <c r="B38" s="30" t="s">
        <v>93</v>
      </c>
      <c r="C38" s="31">
        <f>SUMIFS(_CALC_ALLOC!$G$1:$G$420,_CALC_ALLOC!$AS$1:$AS$420,"2027|"&amp;$P$1,_CALC_ALLOC!$B$1:$B$420,$U38,_CALC_ALLOC!$D$1:$D$420,$W38,_CALC_ALLOC!$E$1:$E$420,$X38,_CALC_ALLOC!$F$1:$F$420,$Y38)</f>
        <v>0</v>
      </c>
      <c r="D38" s="32">
        <f>SUMIFS(_CALC_ALLOC!$I$1:$I$420,_CALC_ALLOC!$AS$1:$AS$420,"2027|"&amp;$P$1,_CALC_ALLOC!$B$1:$B$420,$U38,_CALC_ALLOC!$D$1:$D$420,$W38,_CALC_ALLOC!$E$1:$E$420,$X38,_CALC_ALLOC!$F$1:$F$420,$Y38)</f>
        <v>0</v>
      </c>
      <c r="E38" s="32">
        <f>SUMIFS(_CALC_ALLOC!$AI$1:$AI$420,_CALC_ALLOC!$AS$1:$AS$420,"2027|"&amp;$P$1,_CALC_ALLOC!$B$1:$B$420,$U38,_CALC_ALLOC!$D$1:$D$420,$W38,_CALC_ALLOC!$E$1:$E$420,$X38,_CALC_ALLOC!$F$1:$F$420,$Y38)</f>
        <v>0</v>
      </c>
      <c r="F38" s="32">
        <f>SUMIFS(_CALC_ALLOC!$AJ$1:$AJ$420,_CALC_ALLOC!$AS$1:$AS$420,"2027|"&amp;$P$1,_CALC_ALLOC!$B$1:$B$420,$U38,_CALC_ALLOC!$D$1:$D$420,$W38,_CALC_ALLOC!$E$1:$E$420,$X38,_CALC_ALLOC!$F$1:$F$420,$Y38)</f>
        <v>0</v>
      </c>
      <c r="G38" s="32">
        <f>SUMIFS(_CALC_ALLOC!$AK$1:$AK$420,_CALC_ALLOC!$AS$1:$AS$420,"2027|"&amp;$P$1,_CALC_ALLOC!$B$1:$B$420,$U38,_CALC_ALLOC!$D$1:$D$420,$W38,_CALC_ALLOC!$E$1:$E$420,$X38,_CALC_ALLOC!$F$1:$F$420,$Y38)</f>
        <v>0</v>
      </c>
      <c r="H38" s="32">
        <f>SUMIFS(_CALC_ALLOC!$AL$1:$AL$420,_CALC_ALLOC!$AS$1:$AS$420,"2027|"&amp;$P$1,_CALC_ALLOC!$B$1:$B$420,$U38,_CALC_ALLOC!$D$1:$D$420,$W38,_CALC_ALLOC!$E$1:$E$420,$X38,_CALC_ALLOC!$F$1:$F$420,$Y38)</f>
        <v>0</v>
      </c>
      <c r="I38" s="32">
        <f>SUMIFS(_CALC_ALLOC!$AR$1:$AR$420,_CALC_ALLOC!$AS$1:$AS$420,"2027|"&amp;$P$1,_CALC_ALLOC!$B$1:$B$420,$U38,_CALC_ALLOC!$D$1:$D$420,$W38,_CALC_ALLOC!$E$1:$E$420,$X38,_CALC_ALLOC!$F$1:$F$420,$Y38)</f>
        <v>0</v>
      </c>
      <c r="J38" s="32">
        <f>SUMIFS(_CALC_ALLOC!$AM$1:$AM$420,_CALC_ALLOC!$AS$1:$AS$420,"2027|"&amp;$P$1,_CALC_ALLOC!$B$1:$B$420,$U38,_CALC_ALLOC!$D$1:$D$420,$W38,_CALC_ALLOC!$E$1:$E$420,$X38,_CALC_ALLOC!$F$1:$F$420,$Y38)</f>
        <v>0</v>
      </c>
      <c r="K38" s="33">
        <f t="shared" si="0"/>
        <v>0</v>
      </c>
      <c r="L38" s="34">
        <f>SUMIFS(_CALC_ALLOC!$AN$1:$AN$420,_CALC_ALLOC!$AS$1:$AS$420,"2027|"&amp;$P$1,_CALC_ALLOC!$B$1:$B$420,$U38,_CALC_ALLOC!$D$1:$D$420,$W38,_CALC_ALLOC!$E$1:$E$420,$X38,_CALC_ALLOC!$F$1:$F$420,$Y38)</f>
        <v>0</v>
      </c>
      <c r="M38" s="35">
        <f t="shared" si="1"/>
        <v>0</v>
      </c>
      <c r="T38" t="inlineStr">
        <is>
          <t>MBWAY_BOR|BAC_MGT|B1|INIT</t>
        </is>
      </c>
      <c r="U38" t="inlineStr">
        <is>
          <t>MBWAY_BOR</t>
        </is>
      </c>
      <c r="V38" t="inlineStr">
        <is>
          <t>MBWAY</t>
        </is>
      </c>
      <c r="W38" t="inlineStr">
        <is>
          <t>BAC_MGT</t>
        </is>
      </c>
      <c r="X38" t="inlineStr">
        <is>
          <t>B1</t>
        </is>
      </c>
      <c r="Y38" t="inlineStr">
        <is>
          <t>INIT</t>
        </is>
      </c>
      <c r="Z38">
        <v>3</v>
      </c>
    </row>
    <row r="39" spans="2:26" x14ac:dyDescent="0.45" outlineLevel="2" hidden="1">
      <c r="B39" s="30" t="s">
        <v>94</v>
      </c>
      <c r="C39" s="31">
        <f>SUMIFS(_CALC_ALLOC!$G$1:$G$420,_CALC_ALLOC!$AS$1:$AS$420,"2027|"&amp;$P$1,_CALC_ALLOC!$B$1:$B$420,$U39,_CALC_ALLOC!$D$1:$D$420,$W39,_CALC_ALLOC!$E$1:$E$420,$X39,_CALC_ALLOC!$F$1:$F$420,$Y39)</f>
        <v>0</v>
      </c>
      <c r="D39" s="32">
        <f>SUMIFS(_CALC_ALLOC!$I$1:$I$420,_CALC_ALLOC!$AS$1:$AS$420,"2027|"&amp;$P$1,_CALC_ALLOC!$B$1:$B$420,$U39,_CALC_ALLOC!$D$1:$D$420,$W39,_CALC_ALLOC!$E$1:$E$420,$X39,_CALC_ALLOC!$F$1:$F$420,$Y39)</f>
        <v>0</v>
      </c>
      <c r="E39" s="32">
        <f>SUMIFS(_CALC_ALLOC!$AI$1:$AI$420,_CALC_ALLOC!$AS$1:$AS$420,"2027|"&amp;$P$1,_CALC_ALLOC!$B$1:$B$420,$U39,_CALC_ALLOC!$D$1:$D$420,$W39,_CALC_ALLOC!$E$1:$E$420,$X39,_CALC_ALLOC!$F$1:$F$420,$Y39)</f>
        <v>0</v>
      </c>
      <c r="F39" s="32">
        <f>SUMIFS(_CALC_ALLOC!$AJ$1:$AJ$420,_CALC_ALLOC!$AS$1:$AS$420,"2027|"&amp;$P$1,_CALC_ALLOC!$B$1:$B$420,$U39,_CALC_ALLOC!$D$1:$D$420,$W39,_CALC_ALLOC!$E$1:$E$420,$X39,_CALC_ALLOC!$F$1:$F$420,$Y39)</f>
        <v>0</v>
      </c>
      <c r="G39" s="32">
        <f>SUMIFS(_CALC_ALLOC!$AK$1:$AK$420,_CALC_ALLOC!$AS$1:$AS$420,"2027|"&amp;$P$1,_CALC_ALLOC!$B$1:$B$420,$U39,_CALC_ALLOC!$D$1:$D$420,$W39,_CALC_ALLOC!$E$1:$E$420,$X39,_CALC_ALLOC!$F$1:$F$420,$Y39)</f>
        <v>0</v>
      </c>
      <c r="H39" s="32">
        <f>SUMIFS(_CALC_ALLOC!$AL$1:$AL$420,_CALC_ALLOC!$AS$1:$AS$420,"2027|"&amp;$P$1,_CALC_ALLOC!$B$1:$B$420,$U39,_CALC_ALLOC!$D$1:$D$420,$W39,_CALC_ALLOC!$E$1:$E$420,$X39,_CALC_ALLOC!$F$1:$F$420,$Y39)</f>
        <v>0</v>
      </c>
      <c r="I39" s="32">
        <f>SUMIFS(_CALC_ALLOC!$AR$1:$AR$420,_CALC_ALLOC!$AS$1:$AS$420,"2027|"&amp;$P$1,_CALC_ALLOC!$B$1:$B$420,$U39,_CALC_ALLOC!$D$1:$D$420,$W39,_CALC_ALLOC!$E$1:$E$420,$X39,_CALC_ALLOC!$F$1:$F$420,$Y39)</f>
        <v>0</v>
      </c>
      <c r="J39" s="32">
        <f>SUMIFS(_CALC_ALLOC!$AM$1:$AM$420,_CALC_ALLOC!$AS$1:$AS$420,"2027|"&amp;$P$1,_CALC_ALLOC!$B$1:$B$420,$U39,_CALC_ALLOC!$D$1:$D$420,$W39,_CALC_ALLOC!$E$1:$E$420,$X39,_CALC_ALLOC!$F$1:$F$420,$Y39)</f>
        <v>0</v>
      </c>
      <c r="K39" s="33">
        <f t="shared" si="0"/>
        <v>0</v>
      </c>
      <c r="L39" s="34">
        <f>SUMIFS(_CALC_ALLOC!$AN$1:$AN$420,_CALC_ALLOC!$AS$1:$AS$420,"2027|"&amp;$P$1,_CALC_ALLOC!$B$1:$B$420,$U39,_CALC_ALLOC!$D$1:$D$420,$W39,_CALC_ALLOC!$E$1:$E$420,$X39,_CALC_ALLOC!$F$1:$F$420,$Y39)</f>
        <v>0</v>
      </c>
      <c r="M39" s="35">
        <f t="shared" si="1"/>
        <v>0</v>
      </c>
      <c r="T39" t="inlineStr">
        <is>
          <t>MBWAY_BOR|BAC_MGT|B2|ALT</t>
        </is>
      </c>
      <c r="U39" t="inlineStr">
        <is>
          <t>MBWAY_BOR</t>
        </is>
      </c>
      <c r="V39" t="inlineStr">
        <is>
          <t>MBWAY</t>
        </is>
      </c>
      <c r="W39" t="inlineStr">
        <is>
          <t>BAC_MGT</t>
        </is>
      </c>
      <c r="X39" t="inlineStr">
        <is>
          <t>B2</t>
        </is>
      </c>
      <c r="Y39" t="inlineStr">
        <is>
          <t>ALT</t>
        </is>
      </c>
      <c r="Z39">
        <v>3</v>
      </c>
    </row>
    <row r="40" spans="2:26" x14ac:dyDescent="0.45" outlineLevel="2" hidden="1">
      <c r="B40" s="30" t="s">
        <v>95</v>
      </c>
      <c r="C40" s="31">
        <f>SUMIFS(_CALC_ALLOC!$G$1:$G$420,_CALC_ALLOC!$AS$1:$AS$420,"2027|"&amp;$P$1,_CALC_ALLOC!$B$1:$B$420,$U40,_CALC_ALLOC!$D$1:$D$420,$W40,_CALC_ALLOC!$E$1:$E$420,$X40,_CALC_ALLOC!$F$1:$F$420,$Y40)</f>
        <v>0</v>
      </c>
      <c r="D40" s="32">
        <f>SUMIFS(_CALC_ALLOC!$I$1:$I$420,_CALC_ALLOC!$AS$1:$AS$420,"2027|"&amp;$P$1,_CALC_ALLOC!$B$1:$B$420,$U40,_CALC_ALLOC!$D$1:$D$420,$W40,_CALC_ALLOC!$E$1:$E$420,$X40,_CALC_ALLOC!$F$1:$F$420,$Y40)</f>
        <v>0</v>
      </c>
      <c r="E40" s="32">
        <f>SUMIFS(_CALC_ALLOC!$AI$1:$AI$420,_CALC_ALLOC!$AS$1:$AS$420,"2027|"&amp;$P$1,_CALC_ALLOC!$B$1:$B$420,$U40,_CALC_ALLOC!$D$1:$D$420,$W40,_CALC_ALLOC!$E$1:$E$420,$X40,_CALC_ALLOC!$F$1:$F$420,$Y40)</f>
        <v>0</v>
      </c>
      <c r="F40" s="32">
        <f>SUMIFS(_CALC_ALLOC!$AJ$1:$AJ$420,_CALC_ALLOC!$AS$1:$AS$420,"2027|"&amp;$P$1,_CALC_ALLOC!$B$1:$B$420,$U40,_CALC_ALLOC!$D$1:$D$420,$W40,_CALC_ALLOC!$E$1:$E$420,$X40,_CALC_ALLOC!$F$1:$F$420,$Y40)</f>
        <v>0</v>
      </c>
      <c r="G40" s="32">
        <f>SUMIFS(_CALC_ALLOC!$AK$1:$AK$420,_CALC_ALLOC!$AS$1:$AS$420,"2027|"&amp;$P$1,_CALC_ALLOC!$B$1:$B$420,$U40,_CALC_ALLOC!$D$1:$D$420,$W40,_CALC_ALLOC!$E$1:$E$420,$X40,_CALC_ALLOC!$F$1:$F$420,$Y40)</f>
        <v>0</v>
      </c>
      <c r="H40" s="32">
        <f>SUMIFS(_CALC_ALLOC!$AL$1:$AL$420,_CALC_ALLOC!$AS$1:$AS$420,"2027|"&amp;$P$1,_CALC_ALLOC!$B$1:$B$420,$U40,_CALC_ALLOC!$D$1:$D$420,$W40,_CALC_ALLOC!$E$1:$E$420,$X40,_CALC_ALLOC!$F$1:$F$420,$Y40)</f>
        <v>0</v>
      </c>
      <c r="I40" s="32">
        <f>SUMIFS(_CALC_ALLOC!$AR$1:$AR$420,_CALC_ALLOC!$AS$1:$AS$420,"2027|"&amp;$P$1,_CALC_ALLOC!$B$1:$B$420,$U40,_CALC_ALLOC!$D$1:$D$420,$W40,_CALC_ALLOC!$E$1:$E$420,$X40,_CALC_ALLOC!$F$1:$F$420,$Y40)</f>
        <v>0</v>
      </c>
      <c r="J40" s="32">
        <f>SUMIFS(_CALC_ALLOC!$AM$1:$AM$420,_CALC_ALLOC!$AS$1:$AS$420,"2027|"&amp;$P$1,_CALC_ALLOC!$B$1:$B$420,$U40,_CALC_ALLOC!$D$1:$D$420,$W40,_CALC_ALLOC!$E$1:$E$420,$X40,_CALC_ALLOC!$F$1:$F$420,$Y40)</f>
        <v>0</v>
      </c>
      <c r="K40" s="33">
        <f t="shared" si="0"/>
        <v>0</v>
      </c>
      <c r="L40" s="34">
        <f>SUMIFS(_CALC_ALLOC!$AN$1:$AN$420,_CALC_ALLOC!$AS$1:$AS$420,"2027|"&amp;$P$1,_CALC_ALLOC!$B$1:$B$420,$U40,_CALC_ALLOC!$D$1:$D$420,$W40,_CALC_ALLOC!$E$1:$E$420,$X40,_CALC_ALLOC!$F$1:$F$420,$Y40)</f>
        <v>0</v>
      </c>
      <c r="M40" s="35">
        <f t="shared" si="1"/>
        <v>0</v>
      </c>
      <c r="T40" t="inlineStr">
        <is>
          <t>MBWAY_BOR|BAC_MGT|B3|ALT</t>
        </is>
      </c>
      <c r="U40" t="inlineStr">
        <is>
          <t>MBWAY_BOR</t>
        </is>
      </c>
      <c r="V40" t="inlineStr">
        <is>
          <t>MBWAY</t>
        </is>
      </c>
      <c r="W40" t="inlineStr">
        <is>
          <t>BAC_MGT</t>
        </is>
      </c>
      <c r="X40" t="inlineStr">
        <is>
          <t>B3</t>
        </is>
      </c>
      <c r="Y40" t="inlineStr">
        <is>
          <t>ALT</t>
        </is>
      </c>
      <c r="Z40">
        <v>3</v>
      </c>
    </row>
    <row r="41" spans="2:26" x14ac:dyDescent="0.45" outlineLevel="2" hidden="1">
      <c r="B41" s="30" t="s">
        <v>96</v>
      </c>
      <c r="C41" s="31">
        <f>SUMIFS(_CALC_ALLOC!$G$1:$G$420,_CALC_ALLOC!$AS$1:$AS$420,"2027|"&amp;$P$1,_CALC_ALLOC!$B$1:$B$420,$U41,_CALC_ALLOC!$D$1:$D$420,$W41,_CALC_ALLOC!$E$1:$E$420,$X41,_CALC_ALLOC!$F$1:$F$420,$Y41)</f>
        <v>0</v>
      </c>
      <c r="D41" s="32">
        <f>SUMIFS(_CALC_ALLOC!$I$1:$I$420,_CALC_ALLOC!$AS$1:$AS$420,"2027|"&amp;$P$1,_CALC_ALLOC!$B$1:$B$420,$U41,_CALC_ALLOC!$D$1:$D$420,$W41,_CALC_ALLOC!$E$1:$E$420,$X41,_CALC_ALLOC!$F$1:$F$420,$Y41)</f>
        <v>0</v>
      </c>
      <c r="E41" s="32">
        <f>SUMIFS(_CALC_ALLOC!$AI$1:$AI$420,_CALC_ALLOC!$AS$1:$AS$420,"2027|"&amp;$P$1,_CALC_ALLOC!$B$1:$B$420,$U41,_CALC_ALLOC!$D$1:$D$420,$W41,_CALC_ALLOC!$E$1:$E$420,$X41,_CALC_ALLOC!$F$1:$F$420,$Y41)</f>
        <v>0</v>
      </c>
      <c r="F41" s="32">
        <f>SUMIFS(_CALC_ALLOC!$AJ$1:$AJ$420,_CALC_ALLOC!$AS$1:$AS$420,"2027|"&amp;$P$1,_CALC_ALLOC!$B$1:$B$420,$U41,_CALC_ALLOC!$D$1:$D$420,$W41,_CALC_ALLOC!$E$1:$E$420,$X41,_CALC_ALLOC!$F$1:$F$420,$Y41)</f>
        <v>0</v>
      </c>
      <c r="G41" s="32">
        <f>SUMIFS(_CALC_ALLOC!$AK$1:$AK$420,_CALC_ALLOC!$AS$1:$AS$420,"2027|"&amp;$P$1,_CALC_ALLOC!$B$1:$B$420,$U41,_CALC_ALLOC!$D$1:$D$420,$W41,_CALC_ALLOC!$E$1:$E$420,$X41,_CALC_ALLOC!$F$1:$F$420,$Y41)</f>
        <v>0</v>
      </c>
      <c r="H41" s="32">
        <f>SUMIFS(_CALC_ALLOC!$AL$1:$AL$420,_CALC_ALLOC!$AS$1:$AS$420,"2027|"&amp;$P$1,_CALC_ALLOC!$B$1:$B$420,$U41,_CALC_ALLOC!$D$1:$D$420,$W41,_CALC_ALLOC!$E$1:$E$420,$X41,_CALC_ALLOC!$F$1:$F$420,$Y41)</f>
        <v>0</v>
      </c>
      <c r="I41" s="32">
        <f>SUMIFS(_CALC_ALLOC!$AR$1:$AR$420,_CALC_ALLOC!$AS$1:$AS$420,"2027|"&amp;$P$1,_CALC_ALLOC!$B$1:$B$420,$U41,_CALC_ALLOC!$D$1:$D$420,$W41,_CALC_ALLOC!$E$1:$E$420,$X41,_CALC_ALLOC!$F$1:$F$420,$Y41)</f>
        <v>0</v>
      </c>
      <c r="J41" s="32">
        <f>SUMIFS(_CALC_ALLOC!$AM$1:$AM$420,_CALC_ALLOC!$AS$1:$AS$420,"2027|"&amp;$P$1,_CALC_ALLOC!$B$1:$B$420,$U41,_CALC_ALLOC!$D$1:$D$420,$W41,_CALC_ALLOC!$E$1:$E$420,$X41,_CALC_ALLOC!$F$1:$F$420,$Y41)</f>
        <v>0</v>
      </c>
      <c r="K41" s="33">
        <f t="shared" si="0"/>
        <v>0</v>
      </c>
      <c r="L41" s="34">
        <f>SUMIFS(_CALC_ALLOC!$AN$1:$AN$420,_CALC_ALLOC!$AS$1:$AS$420,"2027|"&amp;$P$1,_CALC_ALLOC!$B$1:$B$420,$U41,_CALC_ALLOC!$D$1:$D$420,$W41,_CALC_ALLOC!$E$1:$E$420,$X41,_CALC_ALLOC!$F$1:$F$420,$Y41)</f>
        <v>0</v>
      </c>
      <c r="M41" s="35">
        <f t="shared" si="1"/>
        <v>0</v>
      </c>
      <c r="T41" t="inlineStr">
        <is>
          <t>MBWAY_BOR|MAS_MGT|M1|ALT</t>
        </is>
      </c>
      <c r="U41" t="inlineStr">
        <is>
          <t>MBWAY_BOR</t>
        </is>
      </c>
      <c r="V41" t="inlineStr">
        <is>
          <t>MBWAY</t>
        </is>
      </c>
      <c r="W41" t="inlineStr">
        <is>
          <t>MAS_MGT</t>
        </is>
      </c>
      <c r="X41" t="inlineStr">
        <is>
          <t>M1</t>
        </is>
      </c>
      <c r="Y41" t="inlineStr">
        <is>
          <t>ALT</t>
        </is>
      </c>
      <c r="Z41">
        <v>3</v>
      </c>
    </row>
    <row r="42" spans="2:26" x14ac:dyDescent="0.45" outlineLevel="2" hidden="1">
      <c r="B42" s="30" t="s">
        <v>97</v>
      </c>
      <c r="C42" s="31">
        <f>SUMIFS(_CALC_ALLOC!$G$1:$G$420,_CALC_ALLOC!$AS$1:$AS$420,"2027|"&amp;$P$1,_CALC_ALLOC!$B$1:$B$420,$U42,_CALC_ALLOC!$D$1:$D$420,$W42,_CALC_ALLOC!$E$1:$E$420,$X42,_CALC_ALLOC!$F$1:$F$420,$Y42)</f>
        <v>0</v>
      </c>
      <c r="D42" s="32">
        <f>SUMIFS(_CALC_ALLOC!$I$1:$I$420,_CALC_ALLOC!$AS$1:$AS$420,"2027|"&amp;$P$1,_CALC_ALLOC!$B$1:$B$420,$U42,_CALC_ALLOC!$D$1:$D$420,$W42,_CALC_ALLOC!$E$1:$E$420,$X42,_CALC_ALLOC!$F$1:$F$420,$Y42)</f>
        <v>0</v>
      </c>
      <c r="E42" s="32">
        <f>SUMIFS(_CALC_ALLOC!$AI$1:$AI$420,_CALC_ALLOC!$AS$1:$AS$420,"2027|"&amp;$P$1,_CALC_ALLOC!$B$1:$B$420,$U42,_CALC_ALLOC!$D$1:$D$420,$W42,_CALC_ALLOC!$E$1:$E$420,$X42,_CALC_ALLOC!$F$1:$F$420,$Y42)</f>
        <v>0</v>
      </c>
      <c r="F42" s="32">
        <f>SUMIFS(_CALC_ALLOC!$AJ$1:$AJ$420,_CALC_ALLOC!$AS$1:$AS$420,"2027|"&amp;$P$1,_CALC_ALLOC!$B$1:$B$420,$U42,_CALC_ALLOC!$D$1:$D$420,$W42,_CALC_ALLOC!$E$1:$E$420,$X42,_CALC_ALLOC!$F$1:$F$420,$Y42)</f>
        <v>0</v>
      </c>
      <c r="G42" s="32">
        <f>SUMIFS(_CALC_ALLOC!$AK$1:$AK$420,_CALC_ALLOC!$AS$1:$AS$420,"2027|"&amp;$P$1,_CALC_ALLOC!$B$1:$B$420,$U42,_CALC_ALLOC!$D$1:$D$420,$W42,_CALC_ALLOC!$E$1:$E$420,$X42,_CALC_ALLOC!$F$1:$F$420,$Y42)</f>
        <v>0</v>
      </c>
      <c r="H42" s="32">
        <f>SUMIFS(_CALC_ALLOC!$AL$1:$AL$420,_CALC_ALLOC!$AS$1:$AS$420,"2027|"&amp;$P$1,_CALC_ALLOC!$B$1:$B$420,$U42,_CALC_ALLOC!$D$1:$D$420,$W42,_CALC_ALLOC!$E$1:$E$420,$X42,_CALC_ALLOC!$F$1:$F$420,$Y42)</f>
        <v>0</v>
      </c>
      <c r="I42" s="32">
        <f>SUMIFS(_CALC_ALLOC!$AR$1:$AR$420,_CALC_ALLOC!$AS$1:$AS$420,"2027|"&amp;$P$1,_CALC_ALLOC!$B$1:$B$420,$U42,_CALC_ALLOC!$D$1:$D$420,$W42,_CALC_ALLOC!$E$1:$E$420,$X42,_CALC_ALLOC!$F$1:$F$420,$Y42)</f>
        <v>0</v>
      </c>
      <c r="J42" s="32">
        <f>SUMIFS(_CALC_ALLOC!$AM$1:$AM$420,_CALC_ALLOC!$AS$1:$AS$420,"2027|"&amp;$P$1,_CALC_ALLOC!$B$1:$B$420,$U42,_CALC_ALLOC!$D$1:$D$420,$W42,_CALC_ALLOC!$E$1:$E$420,$X42,_CALC_ALLOC!$F$1:$F$420,$Y42)</f>
        <v>0</v>
      </c>
      <c r="K42" s="33">
        <f t="shared" si="0"/>
        <v>0</v>
      </c>
      <c r="L42" s="34">
        <f>SUMIFS(_CALC_ALLOC!$AN$1:$AN$420,_CALC_ALLOC!$AS$1:$AS$420,"2027|"&amp;$P$1,_CALC_ALLOC!$B$1:$B$420,$U42,_CALC_ALLOC!$D$1:$D$420,$W42,_CALC_ALLOC!$E$1:$E$420,$X42,_CALC_ALLOC!$F$1:$F$420,$Y42)</f>
        <v>0</v>
      </c>
      <c r="M42" s="35">
        <f t="shared" si="1"/>
        <v>0</v>
      </c>
      <c r="T42" t="inlineStr">
        <is>
          <t>MBWAY_BOR|MAS_MGT|M2|ALT</t>
        </is>
      </c>
      <c r="U42" t="inlineStr">
        <is>
          <t>MBWAY_BOR</t>
        </is>
      </c>
      <c r="V42" t="inlineStr">
        <is>
          <t>MBWAY</t>
        </is>
      </c>
      <c r="W42" t="inlineStr">
        <is>
          <t>MAS_MGT</t>
        </is>
      </c>
      <c r="X42" t="inlineStr">
        <is>
          <t>M2</t>
        </is>
      </c>
      <c r="Y42" t="inlineStr">
        <is>
          <t>ALT</t>
        </is>
      </c>
      <c r="Z42">
        <v>3</v>
      </c>
    </row>
    <row r="43" spans="2:26" collapsed="1" x14ac:dyDescent="0.45">
      <c r="B43" s="20" t="s">
        <v>0</v>
      </c>
      <c r="C43" s="21">
        <f>SUMIFS(_CALC_ALLOC!$G$1:$G$420,_CALC_ALLOC!$AS$1:$AS$420,"2027|"&amp;$P$1,_CALC_ALLOC!$C$1:$C$420,$V43)</f>
        <v>0</v>
      </c>
      <c r="D43" s="22">
        <f>SUMIFS(_CALC_ALLOC!$I$1:$I$420,_CALC_ALLOC!$AS$1:$AS$420,"2027|"&amp;$P$1,_CALC_ALLOC!$C$1:$C$420,$V43)</f>
        <v>0</v>
      </c>
      <c r="E43" s="22">
        <f>SUMIFS(_CALC_ALLOC!$AI$1:$AI$420,_CALC_ALLOC!$AS$1:$AS$420,"2027|"&amp;$P$1,_CALC_ALLOC!$C$1:$C$420,$V43)</f>
        <v>0</v>
      </c>
      <c r="F43" s="22">
        <f>SUMIFS(_CALC_ALLOC!$AJ$1:$AJ$420,_CALC_ALLOC!$AS$1:$AS$420,"2027|"&amp;$P$1,_CALC_ALLOC!$C$1:$C$420,$V43)</f>
        <v>0</v>
      </c>
      <c r="G43" s="22">
        <f>SUMIFS(_CALC_ALLOC!$AK$1:$AK$420,_CALC_ALLOC!$AS$1:$AS$420,"2027|"&amp;$P$1,_CALC_ALLOC!$C$1:$C$420,$V43)</f>
        <v>0</v>
      </c>
      <c r="H43" s="22">
        <f>SUMIFS(_CALC_ALLOC!$AL$1:$AL$420,_CALC_ALLOC!$AS$1:$AS$420,"2027|"&amp;$P$1,_CALC_ALLOC!$C$1:$C$420,$V43)</f>
        <v>0</v>
      </c>
      <c r="I43" s="22">
        <f>SUMIFS(_CALC_ALLOC!$AR$1:$AR$420,_CALC_ALLOC!$AS$1:$AS$420,"2027|"&amp;$P$1,_CALC_ALLOC!$C$1:$C$420,$V43)</f>
        <v>0</v>
      </c>
      <c r="J43" s="22">
        <f>SUMIFS(_CALC_ALLOC!$AM$1:$AM$420,_CALC_ALLOC!$AS$1:$AS$420,"2027|"&amp;$P$1,_CALC_ALLOC!$C$1:$C$420,$V43)</f>
        <v>0</v>
      </c>
      <c r="K43" s="22">
        <f t="shared" si="0"/>
        <v>0</v>
      </c>
      <c r="L43" s="23">
        <f>SUMIFS(_CALC_ALLOC!$AN$1:$AN$420,_CALC_ALLOC!$AS$1:$AS$420,"2027|"&amp;$P$1,_CALC_ALLOC!$C$1:$C$420,$V43)</f>
        <v>0</v>
      </c>
      <c r="M43" s="24">
        <f t="shared" si="1"/>
        <v>0</v>
      </c>
      <c r="T43" t="inlineStr">
        <is>
          <t>ISCOM</t>
        </is>
      </c>
      <c r="V43" t="inlineStr">
        <is>
          <t>ISCOM</t>
        </is>
      </c>
      <c r="Z43">
        <v>1</v>
      </c>
    </row>
    <row r="44" spans="2:26" collapsed="1" x14ac:dyDescent="0.45" outlineLevel="1">
      <c r="B44" s="25" t="s">
        <v>92</v>
      </c>
      <c r="C44" s="26">
        <f>SUMIFS(_CALC_ALLOC!$G$1:$G$420,_CALC_ALLOC!$AS$1:$AS$420,"2027|"&amp;$P$1,_CALC_ALLOC!$B$1:$B$420,$U44)</f>
        <v>0</v>
      </c>
      <c r="D44" s="27">
        <f>SUMIFS(_CALC_ALLOC!$I$1:$I$420,_CALC_ALLOC!$AS$1:$AS$420,"2027|"&amp;$P$1,_CALC_ALLOC!$B$1:$B$420,$U44)</f>
        <v>0</v>
      </c>
      <c r="E44" s="27">
        <f>SUMIFS(_CALC_ALLOC!$AI$1:$AI$420,_CALC_ALLOC!$AS$1:$AS$420,"2027|"&amp;$P$1,_CALC_ALLOC!$B$1:$B$420,$U44)</f>
        <v>0</v>
      </c>
      <c r="F44" s="27">
        <f>SUMIFS(_CALC_ALLOC!$AJ$1:$AJ$420,_CALC_ALLOC!$AS$1:$AS$420,"2027|"&amp;$P$1,_CALC_ALLOC!$B$1:$B$420,$U44)</f>
        <v>0</v>
      </c>
      <c r="G44" s="27">
        <f>SUMIFS(_CALC_ALLOC!$AK$1:$AK$420,_CALC_ALLOC!$AS$1:$AS$420,"2027|"&amp;$P$1,_CALC_ALLOC!$B$1:$B$420,$U44)</f>
        <v>0</v>
      </c>
      <c r="H44" s="27">
        <f>SUMIFS(_CALC_ALLOC!$AL$1:$AL$420,_CALC_ALLOC!$AS$1:$AS$420,"2027|"&amp;$P$1,_CALC_ALLOC!$B$1:$B$420,$U44)</f>
        <v>0</v>
      </c>
      <c r="I44" s="27">
        <f>SUMIFS(_CALC_ALLOC!$AR$1:$AR$420,_CALC_ALLOC!$AS$1:$AS$420,"2027|"&amp;$P$1,_CALC_ALLOC!$B$1:$B$420,$U44)</f>
        <v>0</v>
      </c>
      <c r="J44" s="27">
        <f>SUMIFS(_CALC_ALLOC!$AM$1:$AM$420,_CALC_ALLOC!$AS$1:$AS$420,"2027|"&amp;$P$1,_CALC_ALLOC!$B$1:$B$420,$U44)</f>
        <v>0</v>
      </c>
      <c r="K44" s="27">
        <f t="shared" si="0"/>
        <v>0</v>
      </c>
      <c r="L44" s="28">
        <f>SUMIFS(_CALC_ALLOC!$AN$1:$AN$420,_CALC_ALLOC!$AS$1:$AS$420,"2027|"&amp;$P$1,_CALC_ALLOC!$B$1:$B$420,$U44)</f>
        <v>0</v>
      </c>
      <c r="M44" s="29">
        <f t="shared" si="1"/>
        <v>0</v>
      </c>
      <c r="T44" t="inlineStr">
        <is>
          <t>ISCOM_PAR</t>
        </is>
      </c>
      <c r="U44" t="inlineStr">
        <is>
          <t>ISCOM_PAR</t>
        </is>
      </c>
      <c r="V44" t="inlineStr">
        <is>
          <t>ISCOM</t>
        </is>
      </c>
      <c r="Z44">
        <v>2</v>
      </c>
    </row>
    <row r="45" spans="2:26" x14ac:dyDescent="0.45" outlineLevel="2" hidden="1">
      <c r="B45" s="30" t="s">
        <v>101</v>
      </c>
      <c r="C45" s="31">
        <f>SUMIFS(_CALC_ALLOC!$G$1:$G$420,_CALC_ALLOC!$AS$1:$AS$420,"2027|"&amp;$P$1,_CALC_ALLOC!$B$1:$B$420,$U45,_CALC_ALLOC!$D$1:$D$420,$W45,_CALC_ALLOC!$E$1:$E$420,$X45,_CALC_ALLOC!$F$1:$F$420,$Y45)</f>
        <v>0</v>
      </c>
      <c r="D45" s="32">
        <f>SUMIFS(_CALC_ALLOC!$I$1:$I$420,_CALC_ALLOC!$AS$1:$AS$420,"2027|"&amp;$P$1,_CALC_ALLOC!$B$1:$B$420,$U45,_CALC_ALLOC!$D$1:$D$420,$W45,_CALC_ALLOC!$E$1:$E$420,$X45,_CALC_ALLOC!$F$1:$F$420,$Y45)</f>
        <v>0</v>
      </c>
      <c r="E45" s="32">
        <f>SUMIFS(_CALC_ALLOC!$AI$1:$AI$420,_CALC_ALLOC!$AS$1:$AS$420,"2027|"&amp;$P$1,_CALC_ALLOC!$B$1:$B$420,$U45,_CALC_ALLOC!$D$1:$D$420,$W45,_CALC_ALLOC!$E$1:$E$420,$X45,_CALC_ALLOC!$F$1:$F$420,$Y45)</f>
        <v>0</v>
      </c>
      <c r="F45" s="32">
        <f>SUMIFS(_CALC_ALLOC!$AJ$1:$AJ$420,_CALC_ALLOC!$AS$1:$AS$420,"2027|"&amp;$P$1,_CALC_ALLOC!$B$1:$B$420,$U45,_CALC_ALLOC!$D$1:$D$420,$W45,_CALC_ALLOC!$E$1:$E$420,$X45,_CALC_ALLOC!$F$1:$F$420,$Y45)</f>
        <v>0</v>
      </c>
      <c r="G45" s="32">
        <f>SUMIFS(_CALC_ALLOC!$AK$1:$AK$420,_CALC_ALLOC!$AS$1:$AS$420,"2027|"&amp;$P$1,_CALC_ALLOC!$B$1:$B$420,$U45,_CALC_ALLOC!$D$1:$D$420,$W45,_CALC_ALLOC!$E$1:$E$420,$X45,_CALC_ALLOC!$F$1:$F$420,$Y45)</f>
        <v>0</v>
      </c>
      <c r="H45" s="32">
        <f>SUMIFS(_CALC_ALLOC!$AL$1:$AL$420,_CALC_ALLOC!$AS$1:$AS$420,"2027|"&amp;$P$1,_CALC_ALLOC!$B$1:$B$420,$U45,_CALC_ALLOC!$D$1:$D$420,$W45,_CALC_ALLOC!$E$1:$E$420,$X45,_CALC_ALLOC!$F$1:$F$420,$Y45)</f>
        <v>0</v>
      </c>
      <c r="I45" s="32">
        <f>SUMIFS(_CALC_ALLOC!$AR$1:$AR$420,_CALC_ALLOC!$AS$1:$AS$420,"2027|"&amp;$P$1,_CALC_ALLOC!$B$1:$B$420,$U45,_CALC_ALLOC!$D$1:$D$420,$W45,_CALC_ALLOC!$E$1:$E$420,$X45,_CALC_ALLOC!$F$1:$F$420,$Y45)</f>
        <v>0</v>
      </c>
      <c r="J45" s="32">
        <f>SUMIFS(_CALC_ALLOC!$AM$1:$AM$420,_CALC_ALLOC!$AS$1:$AS$420,"2027|"&amp;$P$1,_CALC_ALLOC!$B$1:$B$420,$U45,_CALC_ALLOC!$D$1:$D$420,$W45,_CALC_ALLOC!$E$1:$E$420,$X45,_CALC_ALLOC!$F$1:$F$420,$Y45)</f>
        <v>0</v>
      </c>
      <c r="K45" s="33">
        <f t="shared" si="0"/>
        <v>0</v>
      </c>
      <c r="L45" s="34">
        <f>SUMIFS(_CALC_ALLOC!$AN$1:$AN$420,_CALC_ALLOC!$AS$1:$AS$420,"2027|"&amp;$P$1,_CALC_ALLOC!$B$1:$B$420,$U45,_CALC_ALLOC!$D$1:$D$420,$W45,_CALC_ALLOC!$E$1:$E$420,$X45,_CALC_ALLOC!$F$1:$F$420,$Y45)</f>
        <v>0</v>
      </c>
      <c r="M45" s="35">
        <f t="shared" si="1"/>
        <v>0</v>
      </c>
      <c r="T45" t="inlineStr">
        <is>
          <t>ISCOM_PAR|BAC_COM|B1|INIT</t>
        </is>
      </c>
      <c r="U45" t="inlineStr">
        <is>
          <t>ISCOM_PAR</t>
        </is>
      </c>
      <c r="V45" t="inlineStr">
        <is>
          <t>ISCOM</t>
        </is>
      </c>
      <c r="W45" t="inlineStr">
        <is>
          <t>BAC_COM</t>
        </is>
      </c>
      <c r="X45" t="inlineStr">
        <is>
          <t>B1</t>
        </is>
      </c>
      <c r="Y45" t="inlineStr">
        <is>
          <t>INIT</t>
        </is>
      </c>
      <c r="Z45">
        <v>3</v>
      </c>
    </row>
    <row r="46" spans="2:26" x14ac:dyDescent="0.45" outlineLevel="2" hidden="1">
      <c r="B46" s="30" t="s">
        <v>102</v>
      </c>
      <c r="C46" s="31">
        <f>SUMIFS(_CALC_ALLOC!$G$1:$G$420,_CALC_ALLOC!$AS$1:$AS$420,"2027|"&amp;$P$1,_CALC_ALLOC!$B$1:$B$420,$U46,_CALC_ALLOC!$D$1:$D$420,$W46,_CALC_ALLOC!$E$1:$E$420,$X46,_CALC_ALLOC!$F$1:$F$420,$Y46)</f>
        <v>0</v>
      </c>
      <c r="D46" s="32">
        <f>SUMIFS(_CALC_ALLOC!$I$1:$I$420,_CALC_ALLOC!$AS$1:$AS$420,"2027|"&amp;$P$1,_CALC_ALLOC!$B$1:$B$420,$U46,_CALC_ALLOC!$D$1:$D$420,$W46,_CALC_ALLOC!$E$1:$E$420,$X46,_CALC_ALLOC!$F$1:$F$420,$Y46)</f>
        <v>0</v>
      </c>
      <c r="E46" s="32">
        <f>SUMIFS(_CALC_ALLOC!$AI$1:$AI$420,_CALC_ALLOC!$AS$1:$AS$420,"2027|"&amp;$P$1,_CALC_ALLOC!$B$1:$B$420,$U46,_CALC_ALLOC!$D$1:$D$420,$W46,_CALC_ALLOC!$E$1:$E$420,$X46,_CALC_ALLOC!$F$1:$F$420,$Y46)</f>
        <v>0</v>
      </c>
      <c r="F46" s="32">
        <f>SUMIFS(_CALC_ALLOC!$AJ$1:$AJ$420,_CALC_ALLOC!$AS$1:$AS$420,"2027|"&amp;$P$1,_CALC_ALLOC!$B$1:$B$420,$U46,_CALC_ALLOC!$D$1:$D$420,$W46,_CALC_ALLOC!$E$1:$E$420,$X46,_CALC_ALLOC!$F$1:$F$420,$Y46)</f>
        <v>0</v>
      </c>
      <c r="G46" s="32">
        <f>SUMIFS(_CALC_ALLOC!$AK$1:$AK$420,_CALC_ALLOC!$AS$1:$AS$420,"2027|"&amp;$P$1,_CALC_ALLOC!$B$1:$B$420,$U46,_CALC_ALLOC!$D$1:$D$420,$W46,_CALC_ALLOC!$E$1:$E$420,$X46,_CALC_ALLOC!$F$1:$F$420,$Y46)</f>
        <v>0</v>
      </c>
      <c r="H46" s="32">
        <f>SUMIFS(_CALC_ALLOC!$AL$1:$AL$420,_CALC_ALLOC!$AS$1:$AS$420,"2027|"&amp;$P$1,_CALC_ALLOC!$B$1:$B$420,$U46,_CALC_ALLOC!$D$1:$D$420,$W46,_CALC_ALLOC!$E$1:$E$420,$X46,_CALC_ALLOC!$F$1:$F$420,$Y46)</f>
        <v>0</v>
      </c>
      <c r="I46" s="32">
        <f>SUMIFS(_CALC_ALLOC!$AR$1:$AR$420,_CALC_ALLOC!$AS$1:$AS$420,"2027|"&amp;$P$1,_CALC_ALLOC!$B$1:$B$420,$U46,_CALC_ALLOC!$D$1:$D$420,$W46,_CALC_ALLOC!$E$1:$E$420,$X46,_CALC_ALLOC!$F$1:$F$420,$Y46)</f>
        <v>0</v>
      </c>
      <c r="J46" s="32">
        <f>SUMIFS(_CALC_ALLOC!$AM$1:$AM$420,_CALC_ALLOC!$AS$1:$AS$420,"2027|"&amp;$P$1,_CALC_ALLOC!$B$1:$B$420,$U46,_CALC_ALLOC!$D$1:$D$420,$W46,_CALC_ALLOC!$E$1:$E$420,$X46,_CALC_ALLOC!$F$1:$F$420,$Y46)</f>
        <v>0</v>
      </c>
      <c r="K46" s="33">
        <f t="shared" si="0"/>
        <v>0</v>
      </c>
      <c r="L46" s="34">
        <f>SUMIFS(_CALC_ALLOC!$AN$1:$AN$420,_CALC_ALLOC!$AS$1:$AS$420,"2027|"&amp;$P$1,_CALC_ALLOC!$B$1:$B$420,$U46,_CALC_ALLOC!$D$1:$D$420,$W46,_CALC_ALLOC!$E$1:$E$420,$X46,_CALC_ALLOC!$F$1:$F$420,$Y46)</f>
        <v>0</v>
      </c>
      <c r="M46" s="35">
        <f t="shared" si="1"/>
        <v>0</v>
      </c>
      <c r="T46" t="inlineStr">
        <is>
          <t>ISCOM_PAR|BAC_COM|B2|ALT</t>
        </is>
      </c>
      <c r="U46" t="inlineStr">
        <is>
          <t>ISCOM_PAR</t>
        </is>
      </c>
      <c r="V46" t="inlineStr">
        <is>
          <t>ISCOM</t>
        </is>
      </c>
      <c r="W46" t="inlineStr">
        <is>
          <t>BAC_COM</t>
        </is>
      </c>
      <c r="X46" t="inlineStr">
        <is>
          <t>B2</t>
        </is>
      </c>
      <c r="Y46" t="inlineStr">
        <is>
          <t>ALT</t>
        </is>
      </c>
      <c r="Z46">
        <v>3</v>
      </c>
    </row>
    <row r="47" spans="2:26" x14ac:dyDescent="0.45" outlineLevel="2" hidden="1">
      <c r="B47" s="30" t="s">
        <v>103</v>
      </c>
      <c r="C47" s="31">
        <f>SUMIFS(_CALC_ALLOC!$G$1:$G$420,_CALC_ALLOC!$AS$1:$AS$420,"2027|"&amp;$P$1,_CALC_ALLOC!$B$1:$B$420,$U47,_CALC_ALLOC!$D$1:$D$420,$W47,_CALC_ALLOC!$E$1:$E$420,$X47,_CALC_ALLOC!$F$1:$F$420,$Y47)</f>
        <v>0</v>
      </c>
      <c r="D47" s="32">
        <f>SUMIFS(_CALC_ALLOC!$I$1:$I$420,_CALC_ALLOC!$AS$1:$AS$420,"2027|"&amp;$P$1,_CALC_ALLOC!$B$1:$B$420,$U47,_CALC_ALLOC!$D$1:$D$420,$W47,_CALC_ALLOC!$E$1:$E$420,$X47,_CALC_ALLOC!$F$1:$F$420,$Y47)</f>
        <v>0</v>
      </c>
      <c r="E47" s="32">
        <f>SUMIFS(_CALC_ALLOC!$AI$1:$AI$420,_CALC_ALLOC!$AS$1:$AS$420,"2027|"&amp;$P$1,_CALC_ALLOC!$B$1:$B$420,$U47,_CALC_ALLOC!$D$1:$D$420,$W47,_CALC_ALLOC!$E$1:$E$420,$X47,_CALC_ALLOC!$F$1:$F$420,$Y47)</f>
        <v>0</v>
      </c>
      <c r="F47" s="32">
        <f>SUMIFS(_CALC_ALLOC!$AJ$1:$AJ$420,_CALC_ALLOC!$AS$1:$AS$420,"2027|"&amp;$P$1,_CALC_ALLOC!$B$1:$B$420,$U47,_CALC_ALLOC!$D$1:$D$420,$W47,_CALC_ALLOC!$E$1:$E$420,$X47,_CALC_ALLOC!$F$1:$F$420,$Y47)</f>
        <v>0</v>
      </c>
      <c r="G47" s="32">
        <f>SUMIFS(_CALC_ALLOC!$AK$1:$AK$420,_CALC_ALLOC!$AS$1:$AS$420,"2027|"&amp;$P$1,_CALC_ALLOC!$B$1:$B$420,$U47,_CALC_ALLOC!$D$1:$D$420,$W47,_CALC_ALLOC!$E$1:$E$420,$X47,_CALC_ALLOC!$F$1:$F$420,$Y47)</f>
        <v>0</v>
      </c>
      <c r="H47" s="32">
        <f>SUMIFS(_CALC_ALLOC!$AL$1:$AL$420,_CALC_ALLOC!$AS$1:$AS$420,"2027|"&amp;$P$1,_CALC_ALLOC!$B$1:$B$420,$U47,_CALC_ALLOC!$D$1:$D$420,$W47,_CALC_ALLOC!$E$1:$E$420,$X47,_CALC_ALLOC!$F$1:$F$420,$Y47)</f>
        <v>0</v>
      </c>
      <c r="I47" s="32">
        <f>SUMIFS(_CALC_ALLOC!$AR$1:$AR$420,_CALC_ALLOC!$AS$1:$AS$420,"2027|"&amp;$P$1,_CALC_ALLOC!$B$1:$B$420,$U47,_CALC_ALLOC!$D$1:$D$420,$W47,_CALC_ALLOC!$E$1:$E$420,$X47,_CALC_ALLOC!$F$1:$F$420,$Y47)</f>
        <v>0</v>
      </c>
      <c r="J47" s="32">
        <f>SUMIFS(_CALC_ALLOC!$AM$1:$AM$420,_CALC_ALLOC!$AS$1:$AS$420,"2027|"&amp;$P$1,_CALC_ALLOC!$B$1:$B$420,$U47,_CALC_ALLOC!$D$1:$D$420,$W47,_CALC_ALLOC!$E$1:$E$420,$X47,_CALC_ALLOC!$F$1:$F$420,$Y47)</f>
        <v>0</v>
      </c>
      <c r="K47" s="33">
        <f t="shared" si="0"/>
        <v>0</v>
      </c>
      <c r="L47" s="34">
        <f>SUMIFS(_CALC_ALLOC!$AN$1:$AN$420,_CALC_ALLOC!$AS$1:$AS$420,"2027|"&amp;$P$1,_CALC_ALLOC!$B$1:$B$420,$U47,_CALC_ALLOC!$D$1:$D$420,$W47,_CALC_ALLOC!$E$1:$E$420,$X47,_CALC_ALLOC!$F$1:$F$420,$Y47)</f>
        <v>0</v>
      </c>
      <c r="M47" s="35">
        <f t="shared" si="1"/>
        <v>0</v>
      </c>
      <c r="T47" t="inlineStr">
        <is>
          <t>ISCOM_PAR|BAC_COM|B3|ALT</t>
        </is>
      </c>
      <c r="U47" t="inlineStr">
        <is>
          <t>ISCOM_PAR</t>
        </is>
      </c>
      <c r="V47" t="inlineStr">
        <is>
          <t>ISCOM</t>
        </is>
      </c>
      <c r="W47" t="inlineStr">
        <is>
          <t>BAC_COM</t>
        </is>
      </c>
      <c r="X47" t="inlineStr">
        <is>
          <t>B3</t>
        </is>
      </c>
      <c r="Y47" t="inlineStr">
        <is>
          <t>ALT</t>
        </is>
      </c>
      <c r="Z47">
        <v>3</v>
      </c>
    </row>
    <row r="48" spans="2:26" x14ac:dyDescent="0.45" outlineLevel="2" hidden="1">
      <c r="B48" s="30" t="s">
        <v>104</v>
      </c>
      <c r="C48" s="31">
        <f>SUMIFS(_CALC_ALLOC!$G$1:$G$420,_CALC_ALLOC!$AS$1:$AS$420,"2027|"&amp;$P$1,_CALC_ALLOC!$B$1:$B$420,$U48,_CALC_ALLOC!$D$1:$D$420,$W48,_CALC_ALLOC!$E$1:$E$420,$X48,_CALC_ALLOC!$F$1:$F$420,$Y48)</f>
        <v>0</v>
      </c>
      <c r="D48" s="32">
        <f>SUMIFS(_CALC_ALLOC!$I$1:$I$420,_CALC_ALLOC!$AS$1:$AS$420,"2027|"&amp;$P$1,_CALC_ALLOC!$B$1:$B$420,$U48,_CALC_ALLOC!$D$1:$D$420,$W48,_CALC_ALLOC!$E$1:$E$420,$X48,_CALC_ALLOC!$F$1:$F$420,$Y48)</f>
        <v>0</v>
      </c>
      <c r="E48" s="32">
        <f>SUMIFS(_CALC_ALLOC!$AI$1:$AI$420,_CALC_ALLOC!$AS$1:$AS$420,"2027|"&amp;$P$1,_CALC_ALLOC!$B$1:$B$420,$U48,_CALC_ALLOC!$D$1:$D$420,$W48,_CALC_ALLOC!$E$1:$E$420,$X48,_CALC_ALLOC!$F$1:$F$420,$Y48)</f>
        <v>0</v>
      </c>
      <c r="F48" s="32">
        <f>SUMIFS(_CALC_ALLOC!$AJ$1:$AJ$420,_CALC_ALLOC!$AS$1:$AS$420,"2027|"&amp;$P$1,_CALC_ALLOC!$B$1:$B$420,$U48,_CALC_ALLOC!$D$1:$D$420,$W48,_CALC_ALLOC!$E$1:$E$420,$X48,_CALC_ALLOC!$F$1:$F$420,$Y48)</f>
        <v>0</v>
      </c>
      <c r="G48" s="32">
        <f>SUMIFS(_CALC_ALLOC!$AK$1:$AK$420,_CALC_ALLOC!$AS$1:$AS$420,"2027|"&amp;$P$1,_CALC_ALLOC!$B$1:$B$420,$U48,_CALC_ALLOC!$D$1:$D$420,$W48,_CALC_ALLOC!$E$1:$E$420,$X48,_CALC_ALLOC!$F$1:$F$420,$Y48)</f>
        <v>0</v>
      </c>
      <c r="H48" s="32">
        <f>SUMIFS(_CALC_ALLOC!$AL$1:$AL$420,_CALC_ALLOC!$AS$1:$AS$420,"2027|"&amp;$P$1,_CALC_ALLOC!$B$1:$B$420,$U48,_CALC_ALLOC!$D$1:$D$420,$W48,_CALC_ALLOC!$E$1:$E$420,$X48,_CALC_ALLOC!$F$1:$F$420,$Y48)</f>
        <v>0</v>
      </c>
      <c r="I48" s="32">
        <f>SUMIFS(_CALC_ALLOC!$AR$1:$AR$420,_CALC_ALLOC!$AS$1:$AS$420,"2027|"&amp;$P$1,_CALC_ALLOC!$B$1:$B$420,$U48,_CALC_ALLOC!$D$1:$D$420,$W48,_CALC_ALLOC!$E$1:$E$420,$X48,_CALC_ALLOC!$F$1:$F$420,$Y48)</f>
        <v>0</v>
      </c>
      <c r="J48" s="32">
        <f>SUMIFS(_CALC_ALLOC!$AM$1:$AM$420,_CALC_ALLOC!$AS$1:$AS$420,"2027|"&amp;$P$1,_CALC_ALLOC!$B$1:$B$420,$U48,_CALC_ALLOC!$D$1:$D$420,$W48,_CALC_ALLOC!$E$1:$E$420,$X48,_CALC_ALLOC!$F$1:$F$420,$Y48)</f>
        <v>0</v>
      </c>
      <c r="K48" s="33">
        <f t="shared" si="0"/>
        <v>0</v>
      </c>
      <c r="L48" s="34">
        <f>SUMIFS(_CALC_ALLOC!$AN$1:$AN$420,_CALC_ALLOC!$AS$1:$AS$420,"2027|"&amp;$P$1,_CALC_ALLOC!$B$1:$B$420,$U48,_CALC_ALLOC!$D$1:$D$420,$W48,_CALC_ALLOC!$E$1:$E$420,$X48,_CALC_ALLOC!$F$1:$F$420,$Y48)</f>
        <v>0</v>
      </c>
      <c r="M48" s="35">
        <f t="shared" si="1"/>
        <v>0</v>
      </c>
      <c r="T48" t="inlineStr">
        <is>
          <t>ISCOM_PAR|MAS_COM|M1|ALT</t>
        </is>
      </c>
      <c r="U48" t="inlineStr">
        <is>
          <t>ISCOM_PAR</t>
        </is>
      </c>
      <c r="V48" t="inlineStr">
        <is>
          <t>ISCOM</t>
        </is>
      </c>
      <c r="W48" t="inlineStr">
        <is>
          <t>MAS_COM</t>
        </is>
      </c>
      <c r="X48" t="inlineStr">
        <is>
          <t>M1</t>
        </is>
      </c>
      <c r="Y48" t="inlineStr">
        <is>
          <t>ALT</t>
        </is>
      </c>
      <c r="Z48">
        <v>3</v>
      </c>
    </row>
    <row r="49" spans="2:26" x14ac:dyDescent="0.45" outlineLevel="2" hidden="1">
      <c r="B49" s="30" t="s">
        <v>105</v>
      </c>
      <c r="C49" s="31">
        <f>SUMIFS(_CALC_ALLOC!$G$1:$G$420,_CALC_ALLOC!$AS$1:$AS$420,"2027|"&amp;$P$1,_CALC_ALLOC!$B$1:$B$420,$U49,_CALC_ALLOC!$D$1:$D$420,$W49,_CALC_ALLOC!$E$1:$E$420,$X49,_CALC_ALLOC!$F$1:$F$420,$Y49)</f>
        <v>0</v>
      </c>
      <c r="D49" s="32">
        <f>SUMIFS(_CALC_ALLOC!$I$1:$I$420,_CALC_ALLOC!$AS$1:$AS$420,"2027|"&amp;$P$1,_CALC_ALLOC!$B$1:$B$420,$U49,_CALC_ALLOC!$D$1:$D$420,$W49,_CALC_ALLOC!$E$1:$E$420,$X49,_CALC_ALLOC!$F$1:$F$420,$Y49)</f>
        <v>0</v>
      </c>
      <c r="E49" s="32">
        <f>SUMIFS(_CALC_ALLOC!$AI$1:$AI$420,_CALC_ALLOC!$AS$1:$AS$420,"2027|"&amp;$P$1,_CALC_ALLOC!$B$1:$B$420,$U49,_CALC_ALLOC!$D$1:$D$420,$W49,_CALC_ALLOC!$E$1:$E$420,$X49,_CALC_ALLOC!$F$1:$F$420,$Y49)</f>
        <v>0</v>
      </c>
      <c r="F49" s="32">
        <f>SUMIFS(_CALC_ALLOC!$AJ$1:$AJ$420,_CALC_ALLOC!$AS$1:$AS$420,"2027|"&amp;$P$1,_CALC_ALLOC!$B$1:$B$420,$U49,_CALC_ALLOC!$D$1:$D$420,$W49,_CALC_ALLOC!$E$1:$E$420,$X49,_CALC_ALLOC!$F$1:$F$420,$Y49)</f>
        <v>0</v>
      </c>
      <c r="G49" s="32">
        <f>SUMIFS(_CALC_ALLOC!$AK$1:$AK$420,_CALC_ALLOC!$AS$1:$AS$420,"2027|"&amp;$P$1,_CALC_ALLOC!$B$1:$B$420,$U49,_CALC_ALLOC!$D$1:$D$420,$W49,_CALC_ALLOC!$E$1:$E$420,$X49,_CALC_ALLOC!$F$1:$F$420,$Y49)</f>
        <v>0</v>
      </c>
      <c r="H49" s="32">
        <f>SUMIFS(_CALC_ALLOC!$AL$1:$AL$420,_CALC_ALLOC!$AS$1:$AS$420,"2027|"&amp;$P$1,_CALC_ALLOC!$B$1:$B$420,$U49,_CALC_ALLOC!$D$1:$D$420,$W49,_CALC_ALLOC!$E$1:$E$420,$X49,_CALC_ALLOC!$F$1:$F$420,$Y49)</f>
        <v>0</v>
      </c>
      <c r="I49" s="32">
        <f>SUMIFS(_CALC_ALLOC!$AR$1:$AR$420,_CALC_ALLOC!$AS$1:$AS$420,"2027|"&amp;$P$1,_CALC_ALLOC!$B$1:$B$420,$U49,_CALC_ALLOC!$D$1:$D$420,$W49,_CALC_ALLOC!$E$1:$E$420,$X49,_CALC_ALLOC!$F$1:$F$420,$Y49)</f>
        <v>0</v>
      </c>
      <c r="J49" s="32">
        <f>SUMIFS(_CALC_ALLOC!$AM$1:$AM$420,_CALC_ALLOC!$AS$1:$AS$420,"2027|"&amp;$P$1,_CALC_ALLOC!$B$1:$B$420,$U49,_CALC_ALLOC!$D$1:$D$420,$W49,_CALC_ALLOC!$E$1:$E$420,$X49,_CALC_ALLOC!$F$1:$F$420,$Y49)</f>
        <v>0</v>
      </c>
      <c r="K49" s="33">
        <f t="shared" si="0"/>
        <v>0</v>
      </c>
      <c r="L49" s="34">
        <f>SUMIFS(_CALC_ALLOC!$AN$1:$AN$420,_CALC_ALLOC!$AS$1:$AS$420,"2027|"&amp;$P$1,_CALC_ALLOC!$B$1:$B$420,$U49,_CALC_ALLOC!$D$1:$D$420,$W49,_CALC_ALLOC!$E$1:$E$420,$X49,_CALC_ALLOC!$F$1:$F$420,$Y49)</f>
        <v>0</v>
      </c>
      <c r="M49" s="35">
        <f t="shared" si="1"/>
        <v>0</v>
      </c>
      <c r="T49" t="inlineStr">
        <is>
          <t>ISCOM_PAR|MAS_COM|M2|ALT</t>
        </is>
      </c>
      <c r="U49" t="inlineStr">
        <is>
          <t>ISCOM_PAR</t>
        </is>
      </c>
      <c r="V49" t="inlineStr">
        <is>
          <t>ISCOM</t>
        </is>
      </c>
      <c r="W49" t="inlineStr">
        <is>
          <t>MAS_COM</t>
        </is>
      </c>
      <c r="X49" t="inlineStr">
        <is>
          <t>M2</t>
        </is>
      </c>
      <c r="Y49" t="inlineStr">
        <is>
          <t>ALT</t>
        </is>
      </c>
      <c r="Z49">
        <v>3</v>
      </c>
    </row>
    <row r="50" spans="2:26" x14ac:dyDescent="0.45" outlineLevel="1">
      <c r="B50" s="25" t="s">
        <v>106</v>
      </c>
      <c r="C50" s="26">
        <f>SUMIFS(_CALC_ALLOC!$G$1:$G$420,_CALC_ALLOC!$AS$1:$AS$420,"2027|"&amp;$P$1,_CALC_ALLOC!$B$1:$B$420,$U50)</f>
        <v>0</v>
      </c>
      <c r="D50" s="27">
        <f>SUMIFS(_CALC_ALLOC!$I$1:$I$420,_CALC_ALLOC!$AS$1:$AS$420,"2027|"&amp;$P$1,_CALC_ALLOC!$B$1:$B$420,$U50)</f>
        <v>0</v>
      </c>
      <c r="E50" s="27">
        <f>SUMIFS(_CALC_ALLOC!$AI$1:$AI$420,_CALC_ALLOC!$AS$1:$AS$420,"2027|"&amp;$P$1,_CALC_ALLOC!$B$1:$B$420,$U50)</f>
        <v>0</v>
      </c>
      <c r="F50" s="27">
        <f>SUMIFS(_CALC_ALLOC!$AJ$1:$AJ$420,_CALC_ALLOC!$AS$1:$AS$420,"2027|"&amp;$P$1,_CALC_ALLOC!$B$1:$B$420,$U50)</f>
        <v>0</v>
      </c>
      <c r="G50" s="27">
        <f>SUMIFS(_CALC_ALLOC!$AK$1:$AK$420,_CALC_ALLOC!$AS$1:$AS$420,"2027|"&amp;$P$1,_CALC_ALLOC!$B$1:$B$420,$U50)</f>
        <v>0</v>
      </c>
      <c r="H50" s="27">
        <f>SUMIFS(_CALC_ALLOC!$AL$1:$AL$420,_CALC_ALLOC!$AS$1:$AS$420,"2027|"&amp;$P$1,_CALC_ALLOC!$B$1:$B$420,$U50)</f>
        <v>0</v>
      </c>
      <c r="I50" s="27">
        <f>SUMIFS(_CALC_ALLOC!$AR$1:$AR$420,_CALC_ALLOC!$AS$1:$AS$420,"2027|"&amp;$P$1,_CALC_ALLOC!$B$1:$B$420,$U50)</f>
        <v>0</v>
      </c>
      <c r="J50" s="27">
        <f>SUMIFS(_CALC_ALLOC!$AM$1:$AM$420,_CALC_ALLOC!$AS$1:$AS$420,"2027|"&amp;$P$1,_CALC_ALLOC!$B$1:$B$420,$U50)</f>
        <v>0</v>
      </c>
      <c r="K50" s="27">
        <f t="shared" si="0"/>
        <v>0</v>
      </c>
      <c r="L50" s="28">
        <f>SUMIFS(_CALC_ALLOC!$AN$1:$AN$420,_CALC_ALLOC!$AS$1:$AS$420,"2027|"&amp;$P$1,_CALC_ALLOC!$B$1:$B$420,$U50)</f>
        <v>0</v>
      </c>
      <c r="M50" s="29">
        <f t="shared" si="1"/>
        <v>0</v>
      </c>
      <c r="T50" t="inlineStr">
        <is>
          <t>ISCOM_LIL</t>
        </is>
      </c>
      <c r="U50" t="inlineStr">
        <is>
          <t>ISCOM_LIL</t>
        </is>
      </c>
      <c r="V50" t="inlineStr">
        <is>
          <t>ISCOM</t>
        </is>
      </c>
      <c r="Z50">
        <v>2</v>
      </c>
    </row>
    <row r="51" spans="2:26" x14ac:dyDescent="0.45" outlineLevel="2" hidden="1">
      <c r="B51" s="30" t="s">
        <v>101</v>
      </c>
      <c r="C51" s="31">
        <f>SUMIFS(_CALC_ALLOC!$G$1:$G$420,_CALC_ALLOC!$AS$1:$AS$420,"2027|"&amp;$P$1,_CALC_ALLOC!$B$1:$B$420,$U51,_CALC_ALLOC!$D$1:$D$420,$W51,_CALC_ALLOC!$E$1:$E$420,$X51,_CALC_ALLOC!$F$1:$F$420,$Y51)</f>
        <v>0</v>
      </c>
      <c r="D51" s="32">
        <f>SUMIFS(_CALC_ALLOC!$I$1:$I$420,_CALC_ALLOC!$AS$1:$AS$420,"2027|"&amp;$P$1,_CALC_ALLOC!$B$1:$B$420,$U51,_CALC_ALLOC!$D$1:$D$420,$W51,_CALC_ALLOC!$E$1:$E$420,$X51,_CALC_ALLOC!$F$1:$F$420,$Y51)</f>
        <v>0</v>
      </c>
      <c r="E51" s="32">
        <f>SUMIFS(_CALC_ALLOC!$AI$1:$AI$420,_CALC_ALLOC!$AS$1:$AS$420,"2027|"&amp;$P$1,_CALC_ALLOC!$B$1:$B$420,$U51,_CALC_ALLOC!$D$1:$D$420,$W51,_CALC_ALLOC!$E$1:$E$420,$X51,_CALC_ALLOC!$F$1:$F$420,$Y51)</f>
        <v>0</v>
      </c>
      <c r="F51" s="32">
        <f>SUMIFS(_CALC_ALLOC!$AJ$1:$AJ$420,_CALC_ALLOC!$AS$1:$AS$420,"2027|"&amp;$P$1,_CALC_ALLOC!$B$1:$B$420,$U51,_CALC_ALLOC!$D$1:$D$420,$W51,_CALC_ALLOC!$E$1:$E$420,$X51,_CALC_ALLOC!$F$1:$F$420,$Y51)</f>
        <v>0</v>
      </c>
      <c r="G51" s="32">
        <f>SUMIFS(_CALC_ALLOC!$AK$1:$AK$420,_CALC_ALLOC!$AS$1:$AS$420,"2027|"&amp;$P$1,_CALC_ALLOC!$B$1:$B$420,$U51,_CALC_ALLOC!$D$1:$D$420,$W51,_CALC_ALLOC!$E$1:$E$420,$X51,_CALC_ALLOC!$F$1:$F$420,$Y51)</f>
        <v>0</v>
      </c>
      <c r="H51" s="32">
        <f>SUMIFS(_CALC_ALLOC!$AL$1:$AL$420,_CALC_ALLOC!$AS$1:$AS$420,"2027|"&amp;$P$1,_CALC_ALLOC!$B$1:$B$420,$U51,_CALC_ALLOC!$D$1:$D$420,$W51,_CALC_ALLOC!$E$1:$E$420,$X51,_CALC_ALLOC!$F$1:$F$420,$Y51)</f>
        <v>0</v>
      </c>
      <c r="I51" s="32">
        <f>SUMIFS(_CALC_ALLOC!$AR$1:$AR$420,_CALC_ALLOC!$AS$1:$AS$420,"2027|"&amp;$P$1,_CALC_ALLOC!$B$1:$B$420,$U51,_CALC_ALLOC!$D$1:$D$420,$W51,_CALC_ALLOC!$E$1:$E$420,$X51,_CALC_ALLOC!$F$1:$F$420,$Y51)</f>
        <v>0</v>
      </c>
      <c r="J51" s="32">
        <f>SUMIFS(_CALC_ALLOC!$AM$1:$AM$420,_CALC_ALLOC!$AS$1:$AS$420,"2027|"&amp;$P$1,_CALC_ALLOC!$B$1:$B$420,$U51,_CALC_ALLOC!$D$1:$D$420,$W51,_CALC_ALLOC!$E$1:$E$420,$X51,_CALC_ALLOC!$F$1:$F$420,$Y51)</f>
        <v>0</v>
      </c>
      <c r="K51" s="33">
        <f t="shared" si="0"/>
        <v>0</v>
      </c>
      <c r="L51" s="34">
        <f>SUMIFS(_CALC_ALLOC!$AN$1:$AN$420,_CALC_ALLOC!$AS$1:$AS$420,"2027|"&amp;$P$1,_CALC_ALLOC!$B$1:$B$420,$U51,_CALC_ALLOC!$D$1:$D$420,$W51,_CALC_ALLOC!$E$1:$E$420,$X51,_CALC_ALLOC!$F$1:$F$420,$Y51)</f>
        <v>0</v>
      </c>
      <c r="M51" s="35">
        <f t="shared" si="1"/>
        <v>0</v>
      </c>
      <c r="T51" t="inlineStr">
        <is>
          <t>ISCOM_LIL|BAC_COM|B1|INIT</t>
        </is>
      </c>
      <c r="U51" t="inlineStr">
        <is>
          <t>ISCOM_LIL</t>
        </is>
      </c>
      <c r="V51" t="inlineStr">
        <is>
          <t>ISCOM</t>
        </is>
      </c>
      <c r="W51" t="inlineStr">
        <is>
          <t>BAC_COM</t>
        </is>
      </c>
      <c r="X51" t="inlineStr">
        <is>
          <t>B1</t>
        </is>
      </c>
      <c r="Y51" t="inlineStr">
        <is>
          <t>INIT</t>
        </is>
      </c>
      <c r="Z51">
        <v>3</v>
      </c>
    </row>
    <row r="52" spans="2:26" x14ac:dyDescent="0.45" outlineLevel="2" hidden="1">
      <c r="B52" s="30" t="s">
        <v>102</v>
      </c>
      <c r="C52" s="31">
        <f>SUMIFS(_CALC_ALLOC!$G$1:$G$420,_CALC_ALLOC!$AS$1:$AS$420,"2027|"&amp;$P$1,_CALC_ALLOC!$B$1:$B$420,$U52,_CALC_ALLOC!$D$1:$D$420,$W52,_CALC_ALLOC!$E$1:$E$420,$X52,_CALC_ALLOC!$F$1:$F$420,$Y52)</f>
        <v>0</v>
      </c>
      <c r="D52" s="32">
        <f>SUMIFS(_CALC_ALLOC!$I$1:$I$420,_CALC_ALLOC!$AS$1:$AS$420,"2027|"&amp;$P$1,_CALC_ALLOC!$B$1:$B$420,$U52,_CALC_ALLOC!$D$1:$D$420,$W52,_CALC_ALLOC!$E$1:$E$420,$X52,_CALC_ALLOC!$F$1:$F$420,$Y52)</f>
        <v>0</v>
      </c>
      <c r="E52" s="32">
        <f>SUMIFS(_CALC_ALLOC!$AI$1:$AI$420,_CALC_ALLOC!$AS$1:$AS$420,"2027|"&amp;$P$1,_CALC_ALLOC!$B$1:$B$420,$U52,_CALC_ALLOC!$D$1:$D$420,$W52,_CALC_ALLOC!$E$1:$E$420,$X52,_CALC_ALLOC!$F$1:$F$420,$Y52)</f>
        <v>0</v>
      </c>
      <c r="F52" s="32">
        <f>SUMIFS(_CALC_ALLOC!$AJ$1:$AJ$420,_CALC_ALLOC!$AS$1:$AS$420,"2027|"&amp;$P$1,_CALC_ALLOC!$B$1:$B$420,$U52,_CALC_ALLOC!$D$1:$D$420,$W52,_CALC_ALLOC!$E$1:$E$420,$X52,_CALC_ALLOC!$F$1:$F$420,$Y52)</f>
        <v>0</v>
      </c>
      <c r="G52" s="32">
        <f>SUMIFS(_CALC_ALLOC!$AK$1:$AK$420,_CALC_ALLOC!$AS$1:$AS$420,"2027|"&amp;$P$1,_CALC_ALLOC!$B$1:$B$420,$U52,_CALC_ALLOC!$D$1:$D$420,$W52,_CALC_ALLOC!$E$1:$E$420,$X52,_CALC_ALLOC!$F$1:$F$420,$Y52)</f>
        <v>0</v>
      </c>
      <c r="H52" s="32">
        <f>SUMIFS(_CALC_ALLOC!$AL$1:$AL$420,_CALC_ALLOC!$AS$1:$AS$420,"2027|"&amp;$P$1,_CALC_ALLOC!$B$1:$B$420,$U52,_CALC_ALLOC!$D$1:$D$420,$W52,_CALC_ALLOC!$E$1:$E$420,$X52,_CALC_ALLOC!$F$1:$F$420,$Y52)</f>
        <v>0</v>
      </c>
      <c r="I52" s="32">
        <f>SUMIFS(_CALC_ALLOC!$AR$1:$AR$420,_CALC_ALLOC!$AS$1:$AS$420,"2027|"&amp;$P$1,_CALC_ALLOC!$B$1:$B$420,$U52,_CALC_ALLOC!$D$1:$D$420,$W52,_CALC_ALLOC!$E$1:$E$420,$X52,_CALC_ALLOC!$F$1:$F$420,$Y52)</f>
        <v>0</v>
      </c>
      <c r="J52" s="32">
        <f>SUMIFS(_CALC_ALLOC!$AM$1:$AM$420,_CALC_ALLOC!$AS$1:$AS$420,"2027|"&amp;$P$1,_CALC_ALLOC!$B$1:$B$420,$U52,_CALC_ALLOC!$D$1:$D$420,$W52,_CALC_ALLOC!$E$1:$E$420,$X52,_CALC_ALLOC!$F$1:$F$420,$Y52)</f>
        <v>0</v>
      </c>
      <c r="K52" s="33">
        <f t="shared" si="0"/>
        <v>0</v>
      </c>
      <c r="L52" s="34">
        <f>SUMIFS(_CALC_ALLOC!$AN$1:$AN$420,_CALC_ALLOC!$AS$1:$AS$420,"2027|"&amp;$P$1,_CALC_ALLOC!$B$1:$B$420,$U52,_CALC_ALLOC!$D$1:$D$420,$W52,_CALC_ALLOC!$E$1:$E$420,$X52,_CALC_ALLOC!$F$1:$F$420,$Y52)</f>
        <v>0</v>
      </c>
      <c r="M52" s="35">
        <f t="shared" si="1"/>
        <v>0</v>
      </c>
      <c r="T52" t="inlineStr">
        <is>
          <t>ISCOM_LIL|BAC_COM|B2|ALT</t>
        </is>
      </c>
      <c r="U52" t="inlineStr">
        <is>
          <t>ISCOM_LIL</t>
        </is>
      </c>
      <c r="V52" t="inlineStr">
        <is>
          <t>ISCOM</t>
        </is>
      </c>
      <c r="W52" t="inlineStr">
        <is>
          <t>BAC_COM</t>
        </is>
      </c>
      <c r="X52" t="inlineStr">
        <is>
          <t>B2</t>
        </is>
      </c>
      <c r="Y52" t="inlineStr">
        <is>
          <t>ALT</t>
        </is>
      </c>
      <c r="Z52">
        <v>3</v>
      </c>
    </row>
    <row r="53" spans="2:26" x14ac:dyDescent="0.45" outlineLevel="2" hidden="1">
      <c r="B53" s="30" t="s">
        <v>103</v>
      </c>
      <c r="C53" s="31">
        <f>SUMIFS(_CALC_ALLOC!$G$1:$G$420,_CALC_ALLOC!$AS$1:$AS$420,"2027|"&amp;$P$1,_CALC_ALLOC!$B$1:$B$420,$U53,_CALC_ALLOC!$D$1:$D$420,$W53,_CALC_ALLOC!$E$1:$E$420,$X53,_CALC_ALLOC!$F$1:$F$420,$Y53)</f>
        <v>0</v>
      </c>
      <c r="D53" s="32">
        <f>SUMIFS(_CALC_ALLOC!$I$1:$I$420,_CALC_ALLOC!$AS$1:$AS$420,"2027|"&amp;$P$1,_CALC_ALLOC!$B$1:$B$420,$U53,_CALC_ALLOC!$D$1:$D$420,$W53,_CALC_ALLOC!$E$1:$E$420,$X53,_CALC_ALLOC!$F$1:$F$420,$Y53)</f>
        <v>0</v>
      </c>
      <c r="E53" s="32">
        <f>SUMIFS(_CALC_ALLOC!$AI$1:$AI$420,_CALC_ALLOC!$AS$1:$AS$420,"2027|"&amp;$P$1,_CALC_ALLOC!$B$1:$B$420,$U53,_CALC_ALLOC!$D$1:$D$420,$W53,_CALC_ALLOC!$E$1:$E$420,$X53,_CALC_ALLOC!$F$1:$F$420,$Y53)</f>
        <v>0</v>
      </c>
      <c r="F53" s="32">
        <f>SUMIFS(_CALC_ALLOC!$AJ$1:$AJ$420,_CALC_ALLOC!$AS$1:$AS$420,"2027|"&amp;$P$1,_CALC_ALLOC!$B$1:$B$420,$U53,_CALC_ALLOC!$D$1:$D$420,$W53,_CALC_ALLOC!$E$1:$E$420,$X53,_CALC_ALLOC!$F$1:$F$420,$Y53)</f>
        <v>0</v>
      </c>
      <c r="G53" s="32">
        <f>SUMIFS(_CALC_ALLOC!$AK$1:$AK$420,_CALC_ALLOC!$AS$1:$AS$420,"2027|"&amp;$P$1,_CALC_ALLOC!$B$1:$B$420,$U53,_CALC_ALLOC!$D$1:$D$420,$W53,_CALC_ALLOC!$E$1:$E$420,$X53,_CALC_ALLOC!$F$1:$F$420,$Y53)</f>
        <v>0</v>
      </c>
      <c r="H53" s="32">
        <f>SUMIFS(_CALC_ALLOC!$AL$1:$AL$420,_CALC_ALLOC!$AS$1:$AS$420,"2027|"&amp;$P$1,_CALC_ALLOC!$B$1:$B$420,$U53,_CALC_ALLOC!$D$1:$D$420,$W53,_CALC_ALLOC!$E$1:$E$420,$X53,_CALC_ALLOC!$F$1:$F$420,$Y53)</f>
        <v>0</v>
      </c>
      <c r="I53" s="32">
        <f>SUMIFS(_CALC_ALLOC!$AR$1:$AR$420,_CALC_ALLOC!$AS$1:$AS$420,"2027|"&amp;$P$1,_CALC_ALLOC!$B$1:$B$420,$U53,_CALC_ALLOC!$D$1:$D$420,$W53,_CALC_ALLOC!$E$1:$E$420,$X53,_CALC_ALLOC!$F$1:$F$420,$Y53)</f>
        <v>0</v>
      </c>
      <c r="J53" s="32">
        <f>SUMIFS(_CALC_ALLOC!$AM$1:$AM$420,_CALC_ALLOC!$AS$1:$AS$420,"2027|"&amp;$P$1,_CALC_ALLOC!$B$1:$B$420,$U53,_CALC_ALLOC!$D$1:$D$420,$W53,_CALC_ALLOC!$E$1:$E$420,$X53,_CALC_ALLOC!$F$1:$F$420,$Y53)</f>
        <v>0</v>
      </c>
      <c r="K53" s="33">
        <f t="shared" si="0"/>
        <v>0</v>
      </c>
      <c r="L53" s="34">
        <f>SUMIFS(_CALC_ALLOC!$AN$1:$AN$420,_CALC_ALLOC!$AS$1:$AS$420,"2027|"&amp;$P$1,_CALC_ALLOC!$B$1:$B$420,$U53,_CALC_ALLOC!$D$1:$D$420,$W53,_CALC_ALLOC!$E$1:$E$420,$X53,_CALC_ALLOC!$F$1:$F$420,$Y53)</f>
        <v>0</v>
      </c>
      <c r="M53" s="35">
        <f t="shared" si="1"/>
        <v>0</v>
      </c>
      <c r="T53" t="inlineStr">
        <is>
          <t>ISCOM_LIL|BAC_COM|B3|ALT</t>
        </is>
      </c>
      <c r="U53" t="inlineStr">
        <is>
          <t>ISCOM_LIL</t>
        </is>
      </c>
      <c r="V53" t="inlineStr">
        <is>
          <t>ISCOM</t>
        </is>
      </c>
      <c r="W53" t="inlineStr">
        <is>
          <t>BAC_COM</t>
        </is>
      </c>
      <c r="X53" t="inlineStr">
        <is>
          <t>B3</t>
        </is>
      </c>
      <c r="Y53" t="inlineStr">
        <is>
          <t>ALT</t>
        </is>
      </c>
      <c r="Z53">
        <v>3</v>
      </c>
    </row>
    <row r="54" spans="2:26" x14ac:dyDescent="0.45" outlineLevel="2" hidden="1">
      <c r="B54" s="30" t="s">
        <v>104</v>
      </c>
      <c r="C54" s="31">
        <f>SUMIFS(_CALC_ALLOC!$G$1:$G$420,_CALC_ALLOC!$AS$1:$AS$420,"2027|"&amp;$P$1,_CALC_ALLOC!$B$1:$B$420,$U54,_CALC_ALLOC!$D$1:$D$420,$W54,_CALC_ALLOC!$E$1:$E$420,$X54,_CALC_ALLOC!$F$1:$F$420,$Y54)</f>
        <v>0</v>
      </c>
      <c r="D54" s="32">
        <f>SUMIFS(_CALC_ALLOC!$I$1:$I$420,_CALC_ALLOC!$AS$1:$AS$420,"2027|"&amp;$P$1,_CALC_ALLOC!$B$1:$B$420,$U54,_CALC_ALLOC!$D$1:$D$420,$W54,_CALC_ALLOC!$E$1:$E$420,$X54,_CALC_ALLOC!$F$1:$F$420,$Y54)</f>
        <v>0</v>
      </c>
      <c r="E54" s="32">
        <f>SUMIFS(_CALC_ALLOC!$AI$1:$AI$420,_CALC_ALLOC!$AS$1:$AS$420,"2027|"&amp;$P$1,_CALC_ALLOC!$B$1:$B$420,$U54,_CALC_ALLOC!$D$1:$D$420,$W54,_CALC_ALLOC!$E$1:$E$420,$X54,_CALC_ALLOC!$F$1:$F$420,$Y54)</f>
        <v>0</v>
      </c>
      <c r="F54" s="32">
        <f>SUMIFS(_CALC_ALLOC!$AJ$1:$AJ$420,_CALC_ALLOC!$AS$1:$AS$420,"2027|"&amp;$P$1,_CALC_ALLOC!$B$1:$B$420,$U54,_CALC_ALLOC!$D$1:$D$420,$W54,_CALC_ALLOC!$E$1:$E$420,$X54,_CALC_ALLOC!$F$1:$F$420,$Y54)</f>
        <v>0</v>
      </c>
      <c r="G54" s="32">
        <f>SUMIFS(_CALC_ALLOC!$AK$1:$AK$420,_CALC_ALLOC!$AS$1:$AS$420,"2027|"&amp;$P$1,_CALC_ALLOC!$B$1:$B$420,$U54,_CALC_ALLOC!$D$1:$D$420,$W54,_CALC_ALLOC!$E$1:$E$420,$X54,_CALC_ALLOC!$F$1:$F$420,$Y54)</f>
        <v>0</v>
      </c>
      <c r="H54" s="32">
        <f>SUMIFS(_CALC_ALLOC!$AL$1:$AL$420,_CALC_ALLOC!$AS$1:$AS$420,"2027|"&amp;$P$1,_CALC_ALLOC!$B$1:$B$420,$U54,_CALC_ALLOC!$D$1:$D$420,$W54,_CALC_ALLOC!$E$1:$E$420,$X54,_CALC_ALLOC!$F$1:$F$420,$Y54)</f>
        <v>0</v>
      </c>
      <c r="I54" s="32">
        <f>SUMIFS(_CALC_ALLOC!$AR$1:$AR$420,_CALC_ALLOC!$AS$1:$AS$420,"2027|"&amp;$P$1,_CALC_ALLOC!$B$1:$B$420,$U54,_CALC_ALLOC!$D$1:$D$420,$W54,_CALC_ALLOC!$E$1:$E$420,$X54,_CALC_ALLOC!$F$1:$F$420,$Y54)</f>
        <v>0</v>
      </c>
      <c r="J54" s="32">
        <f>SUMIFS(_CALC_ALLOC!$AM$1:$AM$420,_CALC_ALLOC!$AS$1:$AS$420,"2027|"&amp;$P$1,_CALC_ALLOC!$B$1:$B$420,$U54,_CALC_ALLOC!$D$1:$D$420,$W54,_CALC_ALLOC!$E$1:$E$420,$X54,_CALC_ALLOC!$F$1:$F$420,$Y54)</f>
        <v>0</v>
      </c>
      <c r="K54" s="33">
        <f t="shared" si="0"/>
        <v>0</v>
      </c>
      <c r="L54" s="34">
        <f>SUMIFS(_CALC_ALLOC!$AN$1:$AN$420,_CALC_ALLOC!$AS$1:$AS$420,"2027|"&amp;$P$1,_CALC_ALLOC!$B$1:$B$420,$U54,_CALC_ALLOC!$D$1:$D$420,$W54,_CALC_ALLOC!$E$1:$E$420,$X54,_CALC_ALLOC!$F$1:$F$420,$Y54)</f>
        <v>0</v>
      </c>
      <c r="M54" s="35">
        <f t="shared" si="1"/>
        <v>0</v>
      </c>
      <c r="T54" t="inlineStr">
        <is>
          <t>ISCOM_LIL|MAS_COM|M1|ALT</t>
        </is>
      </c>
      <c r="U54" t="inlineStr">
        <is>
          <t>ISCOM_LIL</t>
        </is>
      </c>
      <c r="V54" t="inlineStr">
        <is>
          <t>ISCOM</t>
        </is>
      </c>
      <c r="W54" t="inlineStr">
        <is>
          <t>MAS_COM</t>
        </is>
      </c>
      <c r="X54" t="inlineStr">
        <is>
          <t>M1</t>
        </is>
      </c>
      <c r="Y54" t="inlineStr">
        <is>
          <t>ALT</t>
        </is>
      </c>
      <c r="Z54">
        <v>3</v>
      </c>
    </row>
    <row r="55" spans="2:26" x14ac:dyDescent="0.45" outlineLevel="2" hidden="1">
      <c r="B55" s="30" t="s">
        <v>105</v>
      </c>
      <c r="C55" s="31">
        <f>SUMIFS(_CALC_ALLOC!$G$1:$G$420,_CALC_ALLOC!$AS$1:$AS$420,"2027|"&amp;$P$1,_CALC_ALLOC!$B$1:$B$420,$U55,_CALC_ALLOC!$D$1:$D$420,$W55,_CALC_ALLOC!$E$1:$E$420,$X55,_CALC_ALLOC!$F$1:$F$420,$Y55)</f>
        <v>0</v>
      </c>
      <c r="D55" s="32">
        <f>SUMIFS(_CALC_ALLOC!$I$1:$I$420,_CALC_ALLOC!$AS$1:$AS$420,"2027|"&amp;$P$1,_CALC_ALLOC!$B$1:$B$420,$U55,_CALC_ALLOC!$D$1:$D$420,$W55,_CALC_ALLOC!$E$1:$E$420,$X55,_CALC_ALLOC!$F$1:$F$420,$Y55)</f>
        <v>0</v>
      </c>
      <c r="E55" s="32">
        <f>SUMIFS(_CALC_ALLOC!$AI$1:$AI$420,_CALC_ALLOC!$AS$1:$AS$420,"2027|"&amp;$P$1,_CALC_ALLOC!$B$1:$B$420,$U55,_CALC_ALLOC!$D$1:$D$420,$W55,_CALC_ALLOC!$E$1:$E$420,$X55,_CALC_ALLOC!$F$1:$F$420,$Y55)</f>
        <v>0</v>
      </c>
      <c r="F55" s="32">
        <f>SUMIFS(_CALC_ALLOC!$AJ$1:$AJ$420,_CALC_ALLOC!$AS$1:$AS$420,"2027|"&amp;$P$1,_CALC_ALLOC!$B$1:$B$420,$U55,_CALC_ALLOC!$D$1:$D$420,$W55,_CALC_ALLOC!$E$1:$E$420,$X55,_CALC_ALLOC!$F$1:$F$420,$Y55)</f>
        <v>0</v>
      </c>
      <c r="G55" s="32">
        <f>SUMIFS(_CALC_ALLOC!$AK$1:$AK$420,_CALC_ALLOC!$AS$1:$AS$420,"2027|"&amp;$P$1,_CALC_ALLOC!$B$1:$B$420,$U55,_CALC_ALLOC!$D$1:$D$420,$W55,_CALC_ALLOC!$E$1:$E$420,$X55,_CALC_ALLOC!$F$1:$F$420,$Y55)</f>
        <v>0</v>
      </c>
      <c r="H55" s="32">
        <f>SUMIFS(_CALC_ALLOC!$AL$1:$AL$420,_CALC_ALLOC!$AS$1:$AS$420,"2027|"&amp;$P$1,_CALC_ALLOC!$B$1:$B$420,$U55,_CALC_ALLOC!$D$1:$D$420,$W55,_CALC_ALLOC!$E$1:$E$420,$X55,_CALC_ALLOC!$F$1:$F$420,$Y55)</f>
        <v>0</v>
      </c>
      <c r="I55" s="32">
        <f>SUMIFS(_CALC_ALLOC!$AR$1:$AR$420,_CALC_ALLOC!$AS$1:$AS$420,"2027|"&amp;$P$1,_CALC_ALLOC!$B$1:$B$420,$U55,_CALC_ALLOC!$D$1:$D$420,$W55,_CALC_ALLOC!$E$1:$E$420,$X55,_CALC_ALLOC!$F$1:$F$420,$Y55)</f>
        <v>0</v>
      </c>
      <c r="J55" s="32">
        <f>SUMIFS(_CALC_ALLOC!$AM$1:$AM$420,_CALC_ALLOC!$AS$1:$AS$420,"2027|"&amp;$P$1,_CALC_ALLOC!$B$1:$B$420,$U55,_CALC_ALLOC!$D$1:$D$420,$W55,_CALC_ALLOC!$E$1:$E$420,$X55,_CALC_ALLOC!$F$1:$F$420,$Y55)</f>
        <v>0</v>
      </c>
      <c r="K55" s="33">
        <f t="shared" si="0"/>
        <v>0</v>
      </c>
      <c r="L55" s="34">
        <f>SUMIFS(_CALC_ALLOC!$AN$1:$AN$420,_CALC_ALLOC!$AS$1:$AS$420,"2027|"&amp;$P$1,_CALC_ALLOC!$B$1:$B$420,$U55,_CALC_ALLOC!$D$1:$D$420,$W55,_CALC_ALLOC!$E$1:$E$420,$X55,_CALC_ALLOC!$F$1:$F$420,$Y55)</f>
        <v>0</v>
      </c>
      <c r="M55" s="35">
        <f t="shared" si="1"/>
        <v>0</v>
      </c>
      <c r="T55" t="inlineStr">
        <is>
          <t>ISCOM_LIL|MAS_COM|M2|ALT</t>
        </is>
      </c>
      <c r="U55" t="inlineStr">
        <is>
          <t>ISCOM_LIL</t>
        </is>
      </c>
      <c r="V55" t="inlineStr">
        <is>
          <t>ISCOM</t>
        </is>
      </c>
      <c r="W55" t="inlineStr">
        <is>
          <t>MAS_COM</t>
        </is>
      </c>
      <c r="X55" t="inlineStr">
        <is>
          <t>M2</t>
        </is>
      </c>
      <c r="Y55" t="inlineStr">
        <is>
          <t>ALT</t>
        </is>
      </c>
      <c r="Z55">
        <v>3</v>
      </c>
    </row>
    <row r="56" spans="2:26" x14ac:dyDescent="0.45" outlineLevel="1">
      <c r="B56" s="25" t="s">
        <v>107</v>
      </c>
      <c r="C56" s="26">
        <f>SUMIFS(_CALC_ALLOC!$G$1:$G$420,_CALC_ALLOC!$AS$1:$AS$420,"2027|"&amp;$P$1,_CALC_ALLOC!$B$1:$B$420,$U56)</f>
        <v>0</v>
      </c>
      <c r="D56" s="27">
        <f>SUMIFS(_CALC_ALLOC!$I$1:$I$420,_CALC_ALLOC!$AS$1:$AS$420,"2027|"&amp;$P$1,_CALC_ALLOC!$B$1:$B$420,$U56)</f>
        <v>0</v>
      </c>
      <c r="E56" s="27">
        <f>SUMIFS(_CALC_ALLOC!$AI$1:$AI$420,_CALC_ALLOC!$AS$1:$AS$420,"2027|"&amp;$P$1,_CALC_ALLOC!$B$1:$B$420,$U56)</f>
        <v>0</v>
      </c>
      <c r="F56" s="27">
        <f>SUMIFS(_CALC_ALLOC!$AJ$1:$AJ$420,_CALC_ALLOC!$AS$1:$AS$420,"2027|"&amp;$P$1,_CALC_ALLOC!$B$1:$B$420,$U56)</f>
        <v>0</v>
      </c>
      <c r="G56" s="27">
        <f>SUMIFS(_CALC_ALLOC!$AK$1:$AK$420,_CALC_ALLOC!$AS$1:$AS$420,"2027|"&amp;$P$1,_CALC_ALLOC!$B$1:$B$420,$U56)</f>
        <v>0</v>
      </c>
      <c r="H56" s="27">
        <f>SUMIFS(_CALC_ALLOC!$AL$1:$AL$420,_CALC_ALLOC!$AS$1:$AS$420,"2027|"&amp;$P$1,_CALC_ALLOC!$B$1:$B$420,$U56)</f>
        <v>0</v>
      </c>
      <c r="I56" s="27">
        <f>SUMIFS(_CALC_ALLOC!$AR$1:$AR$420,_CALC_ALLOC!$AS$1:$AS$420,"2027|"&amp;$P$1,_CALC_ALLOC!$B$1:$B$420,$U56)</f>
        <v>0</v>
      </c>
      <c r="J56" s="27">
        <f>SUMIFS(_CALC_ALLOC!$AM$1:$AM$420,_CALC_ALLOC!$AS$1:$AS$420,"2027|"&amp;$P$1,_CALC_ALLOC!$B$1:$B$420,$U56)</f>
        <v>0</v>
      </c>
      <c r="K56" s="27">
        <f t="shared" si="0"/>
        <v>0</v>
      </c>
      <c r="L56" s="28">
        <f>SUMIFS(_CALC_ALLOC!$AN$1:$AN$420,_CALC_ALLOC!$AS$1:$AS$420,"2027|"&amp;$P$1,_CALC_ALLOC!$B$1:$B$420,$U56)</f>
        <v>0</v>
      </c>
      <c r="M56" s="29">
        <f t="shared" si="1"/>
        <v>0</v>
      </c>
      <c r="T56" t="inlineStr">
        <is>
          <t>ISCOM_TLS</t>
        </is>
      </c>
      <c r="U56" t="inlineStr">
        <is>
          <t>ISCOM_TLS</t>
        </is>
      </c>
      <c r="V56" t="inlineStr">
        <is>
          <t>ISCOM</t>
        </is>
      </c>
      <c r="Z56">
        <v>2</v>
      </c>
    </row>
    <row r="57" spans="2:26" x14ac:dyDescent="0.45" outlineLevel="2" hidden="1">
      <c r="B57" s="30" t="s">
        <v>101</v>
      </c>
      <c r="C57" s="31">
        <f>SUMIFS(_CALC_ALLOC!$G$1:$G$420,_CALC_ALLOC!$AS$1:$AS$420,"2027|"&amp;$P$1,_CALC_ALLOC!$B$1:$B$420,$U57,_CALC_ALLOC!$D$1:$D$420,$W57,_CALC_ALLOC!$E$1:$E$420,$X57,_CALC_ALLOC!$F$1:$F$420,$Y57)</f>
        <v>0</v>
      </c>
      <c r="D57" s="32">
        <f>SUMIFS(_CALC_ALLOC!$I$1:$I$420,_CALC_ALLOC!$AS$1:$AS$420,"2027|"&amp;$P$1,_CALC_ALLOC!$B$1:$B$420,$U57,_CALC_ALLOC!$D$1:$D$420,$W57,_CALC_ALLOC!$E$1:$E$420,$X57,_CALC_ALLOC!$F$1:$F$420,$Y57)</f>
        <v>0</v>
      </c>
      <c r="E57" s="32">
        <f>SUMIFS(_CALC_ALLOC!$AI$1:$AI$420,_CALC_ALLOC!$AS$1:$AS$420,"2027|"&amp;$P$1,_CALC_ALLOC!$B$1:$B$420,$U57,_CALC_ALLOC!$D$1:$D$420,$W57,_CALC_ALLOC!$E$1:$E$420,$X57,_CALC_ALLOC!$F$1:$F$420,$Y57)</f>
        <v>0</v>
      </c>
      <c r="F57" s="32">
        <f>SUMIFS(_CALC_ALLOC!$AJ$1:$AJ$420,_CALC_ALLOC!$AS$1:$AS$420,"2027|"&amp;$P$1,_CALC_ALLOC!$B$1:$B$420,$U57,_CALC_ALLOC!$D$1:$D$420,$W57,_CALC_ALLOC!$E$1:$E$420,$X57,_CALC_ALLOC!$F$1:$F$420,$Y57)</f>
        <v>0</v>
      </c>
      <c r="G57" s="32">
        <f>SUMIFS(_CALC_ALLOC!$AK$1:$AK$420,_CALC_ALLOC!$AS$1:$AS$420,"2027|"&amp;$P$1,_CALC_ALLOC!$B$1:$B$420,$U57,_CALC_ALLOC!$D$1:$D$420,$W57,_CALC_ALLOC!$E$1:$E$420,$X57,_CALC_ALLOC!$F$1:$F$420,$Y57)</f>
        <v>0</v>
      </c>
      <c r="H57" s="32">
        <f>SUMIFS(_CALC_ALLOC!$AL$1:$AL$420,_CALC_ALLOC!$AS$1:$AS$420,"2027|"&amp;$P$1,_CALC_ALLOC!$B$1:$B$420,$U57,_CALC_ALLOC!$D$1:$D$420,$W57,_CALC_ALLOC!$E$1:$E$420,$X57,_CALC_ALLOC!$F$1:$F$420,$Y57)</f>
        <v>0</v>
      </c>
      <c r="I57" s="32">
        <f>SUMIFS(_CALC_ALLOC!$AR$1:$AR$420,_CALC_ALLOC!$AS$1:$AS$420,"2027|"&amp;$P$1,_CALC_ALLOC!$B$1:$B$420,$U57,_CALC_ALLOC!$D$1:$D$420,$W57,_CALC_ALLOC!$E$1:$E$420,$X57,_CALC_ALLOC!$F$1:$F$420,$Y57)</f>
        <v>0</v>
      </c>
      <c r="J57" s="32">
        <f>SUMIFS(_CALC_ALLOC!$AM$1:$AM$420,_CALC_ALLOC!$AS$1:$AS$420,"2027|"&amp;$P$1,_CALC_ALLOC!$B$1:$B$420,$U57,_CALC_ALLOC!$D$1:$D$420,$W57,_CALC_ALLOC!$E$1:$E$420,$X57,_CALC_ALLOC!$F$1:$F$420,$Y57)</f>
        <v>0</v>
      </c>
      <c r="K57" s="33">
        <f t="shared" si="0"/>
        <v>0</v>
      </c>
      <c r="L57" s="34">
        <f>SUMIFS(_CALC_ALLOC!$AN$1:$AN$420,_CALC_ALLOC!$AS$1:$AS$420,"2027|"&amp;$P$1,_CALC_ALLOC!$B$1:$B$420,$U57,_CALC_ALLOC!$D$1:$D$420,$W57,_CALC_ALLOC!$E$1:$E$420,$X57,_CALC_ALLOC!$F$1:$F$420,$Y57)</f>
        <v>0</v>
      </c>
      <c r="M57" s="35">
        <f t="shared" si="1"/>
        <v>0</v>
      </c>
      <c r="T57" t="inlineStr">
        <is>
          <t>ISCOM_TLS|BAC_COM|B1|INIT</t>
        </is>
      </c>
      <c r="U57" t="inlineStr">
        <is>
          <t>ISCOM_TLS</t>
        </is>
      </c>
      <c r="V57" t="inlineStr">
        <is>
          <t>ISCOM</t>
        </is>
      </c>
      <c r="W57" t="inlineStr">
        <is>
          <t>BAC_COM</t>
        </is>
      </c>
      <c r="X57" t="inlineStr">
        <is>
          <t>B1</t>
        </is>
      </c>
      <c r="Y57" t="inlineStr">
        <is>
          <t>INIT</t>
        </is>
      </c>
      <c r="Z57">
        <v>3</v>
      </c>
    </row>
    <row r="58" spans="2:26" x14ac:dyDescent="0.45" outlineLevel="2" hidden="1">
      <c r="B58" s="30" t="s">
        <v>102</v>
      </c>
      <c r="C58" s="31">
        <f>SUMIFS(_CALC_ALLOC!$G$1:$G$420,_CALC_ALLOC!$AS$1:$AS$420,"2027|"&amp;$P$1,_CALC_ALLOC!$B$1:$B$420,$U58,_CALC_ALLOC!$D$1:$D$420,$W58,_CALC_ALLOC!$E$1:$E$420,$X58,_CALC_ALLOC!$F$1:$F$420,$Y58)</f>
        <v>0</v>
      </c>
      <c r="D58" s="32">
        <f>SUMIFS(_CALC_ALLOC!$I$1:$I$420,_CALC_ALLOC!$AS$1:$AS$420,"2027|"&amp;$P$1,_CALC_ALLOC!$B$1:$B$420,$U58,_CALC_ALLOC!$D$1:$D$420,$W58,_CALC_ALLOC!$E$1:$E$420,$X58,_CALC_ALLOC!$F$1:$F$420,$Y58)</f>
        <v>0</v>
      </c>
      <c r="E58" s="32">
        <f>SUMIFS(_CALC_ALLOC!$AI$1:$AI$420,_CALC_ALLOC!$AS$1:$AS$420,"2027|"&amp;$P$1,_CALC_ALLOC!$B$1:$B$420,$U58,_CALC_ALLOC!$D$1:$D$420,$W58,_CALC_ALLOC!$E$1:$E$420,$X58,_CALC_ALLOC!$F$1:$F$420,$Y58)</f>
        <v>0</v>
      </c>
      <c r="F58" s="32">
        <f>SUMIFS(_CALC_ALLOC!$AJ$1:$AJ$420,_CALC_ALLOC!$AS$1:$AS$420,"2027|"&amp;$P$1,_CALC_ALLOC!$B$1:$B$420,$U58,_CALC_ALLOC!$D$1:$D$420,$W58,_CALC_ALLOC!$E$1:$E$420,$X58,_CALC_ALLOC!$F$1:$F$420,$Y58)</f>
        <v>0</v>
      </c>
      <c r="G58" s="32">
        <f>SUMIFS(_CALC_ALLOC!$AK$1:$AK$420,_CALC_ALLOC!$AS$1:$AS$420,"2027|"&amp;$P$1,_CALC_ALLOC!$B$1:$B$420,$U58,_CALC_ALLOC!$D$1:$D$420,$W58,_CALC_ALLOC!$E$1:$E$420,$X58,_CALC_ALLOC!$F$1:$F$420,$Y58)</f>
        <v>0</v>
      </c>
      <c r="H58" s="32">
        <f>SUMIFS(_CALC_ALLOC!$AL$1:$AL$420,_CALC_ALLOC!$AS$1:$AS$420,"2027|"&amp;$P$1,_CALC_ALLOC!$B$1:$B$420,$U58,_CALC_ALLOC!$D$1:$D$420,$W58,_CALC_ALLOC!$E$1:$E$420,$X58,_CALC_ALLOC!$F$1:$F$420,$Y58)</f>
        <v>0</v>
      </c>
      <c r="I58" s="32">
        <f>SUMIFS(_CALC_ALLOC!$AR$1:$AR$420,_CALC_ALLOC!$AS$1:$AS$420,"2027|"&amp;$P$1,_CALC_ALLOC!$B$1:$B$420,$U58,_CALC_ALLOC!$D$1:$D$420,$W58,_CALC_ALLOC!$E$1:$E$420,$X58,_CALC_ALLOC!$F$1:$F$420,$Y58)</f>
        <v>0</v>
      </c>
      <c r="J58" s="32">
        <f>SUMIFS(_CALC_ALLOC!$AM$1:$AM$420,_CALC_ALLOC!$AS$1:$AS$420,"2027|"&amp;$P$1,_CALC_ALLOC!$B$1:$B$420,$U58,_CALC_ALLOC!$D$1:$D$420,$W58,_CALC_ALLOC!$E$1:$E$420,$X58,_CALC_ALLOC!$F$1:$F$420,$Y58)</f>
        <v>0</v>
      </c>
      <c r="K58" s="33">
        <f t="shared" si="0"/>
        <v>0</v>
      </c>
      <c r="L58" s="34">
        <f>SUMIFS(_CALC_ALLOC!$AN$1:$AN$420,_CALC_ALLOC!$AS$1:$AS$420,"2027|"&amp;$P$1,_CALC_ALLOC!$B$1:$B$420,$U58,_CALC_ALLOC!$D$1:$D$420,$W58,_CALC_ALLOC!$E$1:$E$420,$X58,_CALC_ALLOC!$F$1:$F$420,$Y58)</f>
        <v>0</v>
      </c>
      <c r="M58" s="35">
        <f t="shared" si="1"/>
        <v>0</v>
      </c>
      <c r="T58" t="inlineStr">
        <is>
          <t>ISCOM_TLS|BAC_COM|B2|ALT</t>
        </is>
      </c>
      <c r="U58" t="inlineStr">
        <is>
          <t>ISCOM_TLS</t>
        </is>
      </c>
      <c r="V58" t="inlineStr">
        <is>
          <t>ISCOM</t>
        </is>
      </c>
      <c r="W58" t="inlineStr">
        <is>
          <t>BAC_COM</t>
        </is>
      </c>
      <c r="X58" t="inlineStr">
        <is>
          <t>B2</t>
        </is>
      </c>
      <c r="Y58" t="inlineStr">
        <is>
          <t>ALT</t>
        </is>
      </c>
      <c r="Z58">
        <v>3</v>
      </c>
    </row>
    <row r="59" spans="2:26" x14ac:dyDescent="0.45" outlineLevel="2" hidden="1">
      <c r="B59" s="30" t="s">
        <v>103</v>
      </c>
      <c r="C59" s="31">
        <f>SUMIFS(_CALC_ALLOC!$G$1:$G$420,_CALC_ALLOC!$AS$1:$AS$420,"2027|"&amp;$P$1,_CALC_ALLOC!$B$1:$B$420,$U59,_CALC_ALLOC!$D$1:$D$420,$W59,_CALC_ALLOC!$E$1:$E$420,$X59,_CALC_ALLOC!$F$1:$F$420,$Y59)</f>
        <v>0</v>
      </c>
      <c r="D59" s="32">
        <f>SUMIFS(_CALC_ALLOC!$I$1:$I$420,_CALC_ALLOC!$AS$1:$AS$420,"2027|"&amp;$P$1,_CALC_ALLOC!$B$1:$B$420,$U59,_CALC_ALLOC!$D$1:$D$420,$W59,_CALC_ALLOC!$E$1:$E$420,$X59,_CALC_ALLOC!$F$1:$F$420,$Y59)</f>
        <v>0</v>
      </c>
      <c r="E59" s="32">
        <f>SUMIFS(_CALC_ALLOC!$AI$1:$AI$420,_CALC_ALLOC!$AS$1:$AS$420,"2027|"&amp;$P$1,_CALC_ALLOC!$B$1:$B$420,$U59,_CALC_ALLOC!$D$1:$D$420,$W59,_CALC_ALLOC!$E$1:$E$420,$X59,_CALC_ALLOC!$F$1:$F$420,$Y59)</f>
        <v>0</v>
      </c>
      <c r="F59" s="32">
        <f>SUMIFS(_CALC_ALLOC!$AJ$1:$AJ$420,_CALC_ALLOC!$AS$1:$AS$420,"2027|"&amp;$P$1,_CALC_ALLOC!$B$1:$B$420,$U59,_CALC_ALLOC!$D$1:$D$420,$W59,_CALC_ALLOC!$E$1:$E$420,$X59,_CALC_ALLOC!$F$1:$F$420,$Y59)</f>
        <v>0</v>
      </c>
      <c r="G59" s="32">
        <f>SUMIFS(_CALC_ALLOC!$AK$1:$AK$420,_CALC_ALLOC!$AS$1:$AS$420,"2027|"&amp;$P$1,_CALC_ALLOC!$B$1:$B$420,$U59,_CALC_ALLOC!$D$1:$D$420,$W59,_CALC_ALLOC!$E$1:$E$420,$X59,_CALC_ALLOC!$F$1:$F$420,$Y59)</f>
        <v>0</v>
      </c>
      <c r="H59" s="32">
        <f>SUMIFS(_CALC_ALLOC!$AL$1:$AL$420,_CALC_ALLOC!$AS$1:$AS$420,"2027|"&amp;$P$1,_CALC_ALLOC!$B$1:$B$420,$U59,_CALC_ALLOC!$D$1:$D$420,$W59,_CALC_ALLOC!$E$1:$E$420,$X59,_CALC_ALLOC!$F$1:$F$420,$Y59)</f>
        <v>0</v>
      </c>
      <c r="I59" s="32">
        <f>SUMIFS(_CALC_ALLOC!$AR$1:$AR$420,_CALC_ALLOC!$AS$1:$AS$420,"2027|"&amp;$P$1,_CALC_ALLOC!$B$1:$B$420,$U59,_CALC_ALLOC!$D$1:$D$420,$W59,_CALC_ALLOC!$E$1:$E$420,$X59,_CALC_ALLOC!$F$1:$F$420,$Y59)</f>
        <v>0</v>
      </c>
      <c r="J59" s="32">
        <f>SUMIFS(_CALC_ALLOC!$AM$1:$AM$420,_CALC_ALLOC!$AS$1:$AS$420,"2027|"&amp;$P$1,_CALC_ALLOC!$B$1:$B$420,$U59,_CALC_ALLOC!$D$1:$D$420,$W59,_CALC_ALLOC!$E$1:$E$420,$X59,_CALC_ALLOC!$F$1:$F$420,$Y59)</f>
        <v>0</v>
      </c>
      <c r="K59" s="33">
        <f t="shared" si="0"/>
        <v>0</v>
      </c>
      <c r="L59" s="34">
        <f>SUMIFS(_CALC_ALLOC!$AN$1:$AN$420,_CALC_ALLOC!$AS$1:$AS$420,"2027|"&amp;$P$1,_CALC_ALLOC!$B$1:$B$420,$U59,_CALC_ALLOC!$D$1:$D$420,$W59,_CALC_ALLOC!$E$1:$E$420,$X59,_CALC_ALLOC!$F$1:$F$420,$Y59)</f>
        <v>0</v>
      </c>
      <c r="M59" s="35">
        <f t="shared" si="1"/>
        <v>0</v>
      </c>
      <c r="T59" t="inlineStr">
        <is>
          <t>ISCOM_TLS|BAC_COM|B3|ALT</t>
        </is>
      </c>
      <c r="U59" t="inlineStr">
        <is>
          <t>ISCOM_TLS</t>
        </is>
      </c>
      <c r="V59" t="inlineStr">
        <is>
          <t>ISCOM</t>
        </is>
      </c>
      <c r="W59" t="inlineStr">
        <is>
          <t>BAC_COM</t>
        </is>
      </c>
      <c r="X59" t="inlineStr">
        <is>
          <t>B3</t>
        </is>
      </c>
      <c r="Y59" t="inlineStr">
        <is>
          <t>ALT</t>
        </is>
      </c>
      <c r="Z59">
        <v>3</v>
      </c>
    </row>
    <row r="60" spans="2:26" x14ac:dyDescent="0.45" outlineLevel="2" hidden="1">
      <c r="B60" s="30" t="s">
        <v>104</v>
      </c>
      <c r="C60" s="31">
        <f>SUMIFS(_CALC_ALLOC!$G$1:$G$420,_CALC_ALLOC!$AS$1:$AS$420,"2027|"&amp;$P$1,_CALC_ALLOC!$B$1:$B$420,$U60,_CALC_ALLOC!$D$1:$D$420,$W60,_CALC_ALLOC!$E$1:$E$420,$X60,_CALC_ALLOC!$F$1:$F$420,$Y60)</f>
        <v>0</v>
      </c>
      <c r="D60" s="32">
        <f>SUMIFS(_CALC_ALLOC!$I$1:$I$420,_CALC_ALLOC!$AS$1:$AS$420,"2027|"&amp;$P$1,_CALC_ALLOC!$B$1:$B$420,$U60,_CALC_ALLOC!$D$1:$D$420,$W60,_CALC_ALLOC!$E$1:$E$420,$X60,_CALC_ALLOC!$F$1:$F$420,$Y60)</f>
        <v>0</v>
      </c>
      <c r="E60" s="32">
        <f>SUMIFS(_CALC_ALLOC!$AI$1:$AI$420,_CALC_ALLOC!$AS$1:$AS$420,"2027|"&amp;$P$1,_CALC_ALLOC!$B$1:$B$420,$U60,_CALC_ALLOC!$D$1:$D$420,$W60,_CALC_ALLOC!$E$1:$E$420,$X60,_CALC_ALLOC!$F$1:$F$420,$Y60)</f>
        <v>0</v>
      </c>
      <c r="F60" s="32">
        <f>SUMIFS(_CALC_ALLOC!$AJ$1:$AJ$420,_CALC_ALLOC!$AS$1:$AS$420,"2027|"&amp;$P$1,_CALC_ALLOC!$B$1:$B$420,$U60,_CALC_ALLOC!$D$1:$D$420,$W60,_CALC_ALLOC!$E$1:$E$420,$X60,_CALC_ALLOC!$F$1:$F$420,$Y60)</f>
        <v>0</v>
      </c>
      <c r="G60" s="32">
        <f>SUMIFS(_CALC_ALLOC!$AK$1:$AK$420,_CALC_ALLOC!$AS$1:$AS$420,"2027|"&amp;$P$1,_CALC_ALLOC!$B$1:$B$420,$U60,_CALC_ALLOC!$D$1:$D$420,$W60,_CALC_ALLOC!$E$1:$E$420,$X60,_CALC_ALLOC!$F$1:$F$420,$Y60)</f>
        <v>0</v>
      </c>
      <c r="H60" s="32">
        <f>SUMIFS(_CALC_ALLOC!$AL$1:$AL$420,_CALC_ALLOC!$AS$1:$AS$420,"2027|"&amp;$P$1,_CALC_ALLOC!$B$1:$B$420,$U60,_CALC_ALLOC!$D$1:$D$420,$W60,_CALC_ALLOC!$E$1:$E$420,$X60,_CALC_ALLOC!$F$1:$F$420,$Y60)</f>
        <v>0</v>
      </c>
      <c r="I60" s="32">
        <f>SUMIFS(_CALC_ALLOC!$AR$1:$AR$420,_CALC_ALLOC!$AS$1:$AS$420,"2027|"&amp;$P$1,_CALC_ALLOC!$B$1:$B$420,$U60,_CALC_ALLOC!$D$1:$D$420,$W60,_CALC_ALLOC!$E$1:$E$420,$X60,_CALC_ALLOC!$F$1:$F$420,$Y60)</f>
        <v>0</v>
      </c>
      <c r="J60" s="32">
        <f>SUMIFS(_CALC_ALLOC!$AM$1:$AM$420,_CALC_ALLOC!$AS$1:$AS$420,"2027|"&amp;$P$1,_CALC_ALLOC!$B$1:$B$420,$U60,_CALC_ALLOC!$D$1:$D$420,$W60,_CALC_ALLOC!$E$1:$E$420,$X60,_CALC_ALLOC!$F$1:$F$420,$Y60)</f>
        <v>0</v>
      </c>
      <c r="K60" s="33">
        <f t="shared" si="0"/>
        <v>0</v>
      </c>
      <c r="L60" s="34">
        <f>SUMIFS(_CALC_ALLOC!$AN$1:$AN$420,_CALC_ALLOC!$AS$1:$AS$420,"2027|"&amp;$P$1,_CALC_ALLOC!$B$1:$B$420,$U60,_CALC_ALLOC!$D$1:$D$420,$W60,_CALC_ALLOC!$E$1:$E$420,$X60,_CALC_ALLOC!$F$1:$F$420,$Y60)</f>
        <v>0</v>
      </c>
      <c r="M60" s="35">
        <f t="shared" si="1"/>
        <v>0</v>
      </c>
      <c r="T60" t="inlineStr">
        <is>
          <t>ISCOM_TLS|MAS_COM|M1|ALT</t>
        </is>
      </c>
      <c r="U60" t="inlineStr">
        <is>
          <t>ISCOM_TLS</t>
        </is>
      </c>
      <c r="V60" t="inlineStr">
        <is>
          <t>ISCOM</t>
        </is>
      </c>
      <c r="W60" t="inlineStr">
        <is>
          <t>MAS_COM</t>
        </is>
      </c>
      <c r="X60" t="inlineStr">
        <is>
          <t>M1</t>
        </is>
      </c>
      <c r="Y60" t="inlineStr">
        <is>
          <t>ALT</t>
        </is>
      </c>
      <c r="Z60">
        <v>3</v>
      </c>
    </row>
    <row r="61" spans="2:26" x14ac:dyDescent="0.45" outlineLevel="2" hidden="1">
      <c r="B61" s="30" t="s">
        <v>105</v>
      </c>
      <c r="C61" s="31">
        <f>SUMIFS(_CALC_ALLOC!$G$1:$G$420,_CALC_ALLOC!$AS$1:$AS$420,"2027|"&amp;$P$1,_CALC_ALLOC!$B$1:$B$420,$U61,_CALC_ALLOC!$D$1:$D$420,$W61,_CALC_ALLOC!$E$1:$E$420,$X61,_CALC_ALLOC!$F$1:$F$420,$Y61)</f>
        <v>0</v>
      </c>
      <c r="D61" s="32">
        <f>SUMIFS(_CALC_ALLOC!$I$1:$I$420,_CALC_ALLOC!$AS$1:$AS$420,"2027|"&amp;$P$1,_CALC_ALLOC!$B$1:$B$420,$U61,_CALC_ALLOC!$D$1:$D$420,$W61,_CALC_ALLOC!$E$1:$E$420,$X61,_CALC_ALLOC!$F$1:$F$420,$Y61)</f>
        <v>0</v>
      </c>
      <c r="E61" s="32">
        <f>SUMIFS(_CALC_ALLOC!$AI$1:$AI$420,_CALC_ALLOC!$AS$1:$AS$420,"2027|"&amp;$P$1,_CALC_ALLOC!$B$1:$B$420,$U61,_CALC_ALLOC!$D$1:$D$420,$W61,_CALC_ALLOC!$E$1:$E$420,$X61,_CALC_ALLOC!$F$1:$F$420,$Y61)</f>
        <v>0</v>
      </c>
      <c r="F61" s="32">
        <f>SUMIFS(_CALC_ALLOC!$AJ$1:$AJ$420,_CALC_ALLOC!$AS$1:$AS$420,"2027|"&amp;$P$1,_CALC_ALLOC!$B$1:$B$420,$U61,_CALC_ALLOC!$D$1:$D$420,$W61,_CALC_ALLOC!$E$1:$E$420,$X61,_CALC_ALLOC!$F$1:$F$420,$Y61)</f>
        <v>0</v>
      </c>
      <c r="G61" s="32">
        <f>SUMIFS(_CALC_ALLOC!$AK$1:$AK$420,_CALC_ALLOC!$AS$1:$AS$420,"2027|"&amp;$P$1,_CALC_ALLOC!$B$1:$B$420,$U61,_CALC_ALLOC!$D$1:$D$420,$W61,_CALC_ALLOC!$E$1:$E$420,$X61,_CALC_ALLOC!$F$1:$F$420,$Y61)</f>
        <v>0</v>
      </c>
      <c r="H61" s="32">
        <f>SUMIFS(_CALC_ALLOC!$AL$1:$AL$420,_CALC_ALLOC!$AS$1:$AS$420,"2027|"&amp;$P$1,_CALC_ALLOC!$B$1:$B$420,$U61,_CALC_ALLOC!$D$1:$D$420,$W61,_CALC_ALLOC!$E$1:$E$420,$X61,_CALC_ALLOC!$F$1:$F$420,$Y61)</f>
        <v>0</v>
      </c>
      <c r="I61" s="32">
        <f>SUMIFS(_CALC_ALLOC!$AR$1:$AR$420,_CALC_ALLOC!$AS$1:$AS$420,"2027|"&amp;$P$1,_CALC_ALLOC!$B$1:$B$420,$U61,_CALC_ALLOC!$D$1:$D$420,$W61,_CALC_ALLOC!$E$1:$E$420,$X61,_CALC_ALLOC!$F$1:$F$420,$Y61)</f>
        <v>0</v>
      </c>
      <c r="J61" s="32">
        <f>SUMIFS(_CALC_ALLOC!$AM$1:$AM$420,_CALC_ALLOC!$AS$1:$AS$420,"2027|"&amp;$P$1,_CALC_ALLOC!$B$1:$B$420,$U61,_CALC_ALLOC!$D$1:$D$420,$W61,_CALC_ALLOC!$E$1:$E$420,$X61,_CALC_ALLOC!$F$1:$F$420,$Y61)</f>
        <v>0</v>
      </c>
      <c r="K61" s="33">
        <f t="shared" si="0"/>
        <v>0</v>
      </c>
      <c r="L61" s="34">
        <f>SUMIFS(_CALC_ALLOC!$AN$1:$AN$420,_CALC_ALLOC!$AS$1:$AS$420,"2027|"&amp;$P$1,_CALC_ALLOC!$B$1:$B$420,$U61,_CALC_ALLOC!$D$1:$D$420,$W61,_CALC_ALLOC!$E$1:$E$420,$X61,_CALC_ALLOC!$F$1:$F$420,$Y61)</f>
        <v>0</v>
      </c>
      <c r="M61" s="35">
        <f t="shared" si="1"/>
        <v>0</v>
      </c>
      <c r="T61" t="inlineStr">
        <is>
          <t>ISCOM_TLS|MAS_COM|M2|ALT</t>
        </is>
      </c>
      <c r="U61" t="inlineStr">
        <is>
          <t>ISCOM_TLS</t>
        </is>
      </c>
      <c r="V61" t="inlineStr">
        <is>
          <t>ISCOM</t>
        </is>
      </c>
      <c r="W61" t="inlineStr">
        <is>
          <t>MAS_COM</t>
        </is>
      </c>
      <c r="X61" t="inlineStr">
        <is>
          <t>M2</t>
        </is>
      </c>
      <c r="Y61" t="inlineStr">
        <is>
          <t>ALT</t>
        </is>
      </c>
      <c r="Z61">
        <v>3</v>
      </c>
    </row>
    <row r="62" spans="2:26" collapsed="1" x14ac:dyDescent="0.45">
      <c r="B62" s="20" t="s">
        <v>108</v>
      </c>
      <c r="C62" s="21">
        <f>SUMIFS(_CALC_ALLOC!$G$1:$G$420,_CALC_ALLOC!$AS$1:$AS$420,"2027|"&amp;$P$1,_CALC_ALLOC!$C$1:$C$420,$V62)</f>
        <v>0</v>
      </c>
      <c r="D62" s="22">
        <f>SUMIFS(_CALC_ALLOC!$I$1:$I$420,_CALC_ALLOC!$AS$1:$AS$420,"2027|"&amp;$P$1,_CALC_ALLOC!$C$1:$C$420,$V62)</f>
        <v>0</v>
      </c>
      <c r="E62" s="22">
        <f>SUMIFS(_CALC_ALLOC!$AI$1:$AI$420,_CALC_ALLOC!$AS$1:$AS$420,"2027|"&amp;$P$1,_CALC_ALLOC!$C$1:$C$420,$V62)</f>
        <v>0</v>
      </c>
      <c r="F62" s="22">
        <f>SUMIFS(_CALC_ALLOC!$AJ$1:$AJ$420,_CALC_ALLOC!$AS$1:$AS$420,"2027|"&amp;$P$1,_CALC_ALLOC!$C$1:$C$420,$V62)</f>
        <v>0</v>
      </c>
      <c r="G62" s="22">
        <f>SUMIFS(_CALC_ALLOC!$AK$1:$AK$420,_CALC_ALLOC!$AS$1:$AS$420,"2027|"&amp;$P$1,_CALC_ALLOC!$C$1:$C$420,$V62)</f>
        <v>0</v>
      </c>
      <c r="H62" s="22">
        <f>SUMIFS(_CALC_ALLOC!$AL$1:$AL$420,_CALC_ALLOC!$AS$1:$AS$420,"2027|"&amp;$P$1,_CALC_ALLOC!$C$1:$C$420,$V62)</f>
        <v>0</v>
      </c>
      <c r="I62" s="22">
        <f>SUMIFS(_CALC_ALLOC!$AR$1:$AR$420,_CALC_ALLOC!$AS$1:$AS$420,"2027|"&amp;$P$1,_CALC_ALLOC!$C$1:$C$420,$V62)</f>
        <v>0</v>
      </c>
      <c r="J62" s="22">
        <f>SUMIFS(_CALC_ALLOC!$AM$1:$AM$420,_CALC_ALLOC!$AS$1:$AS$420,"2027|"&amp;$P$1,_CALC_ALLOC!$C$1:$C$420,$V62)</f>
        <v>0</v>
      </c>
      <c r="K62" s="22">
        <f t="shared" si="0"/>
        <v>0</v>
      </c>
      <c r="L62" s="23">
        <f>SUMIFS(_CALC_ALLOC!$AN$1:$AN$420,_CALC_ALLOC!$AS$1:$AS$420,"2027|"&amp;$P$1,_CALC_ALLOC!$C$1:$C$420,$V62)</f>
        <v>0</v>
      </c>
      <c r="M62" s="24">
        <f t="shared" si="1"/>
        <v>0</v>
      </c>
      <c r="T62" t="inlineStr">
        <is>
          <t>IPAC</t>
        </is>
      </c>
      <c r="V62" t="inlineStr">
        <is>
          <t>IPAC</t>
        </is>
      </c>
      <c r="Z62">
        <v>1</v>
      </c>
    </row>
    <row r="63" spans="2:26" collapsed="1" x14ac:dyDescent="0.45" outlineLevel="1">
      <c r="B63" s="25" t="s">
        <v>99</v>
      </c>
      <c r="C63" s="26">
        <f>SUMIFS(_CALC_ALLOC!$G$1:$G$420,_CALC_ALLOC!$AS$1:$AS$420,"2027|"&amp;$P$1,_CALC_ALLOC!$B$1:$B$420,$U63)</f>
        <v>0</v>
      </c>
      <c r="D63" s="27">
        <f>SUMIFS(_CALC_ALLOC!$I$1:$I$420,_CALC_ALLOC!$AS$1:$AS$420,"2027|"&amp;$P$1,_CALC_ALLOC!$B$1:$B$420,$U63)</f>
        <v>0</v>
      </c>
      <c r="E63" s="27">
        <f>SUMIFS(_CALC_ALLOC!$AI$1:$AI$420,_CALC_ALLOC!$AS$1:$AS$420,"2027|"&amp;$P$1,_CALC_ALLOC!$B$1:$B$420,$U63)</f>
        <v>0</v>
      </c>
      <c r="F63" s="27">
        <f>SUMIFS(_CALC_ALLOC!$AJ$1:$AJ$420,_CALC_ALLOC!$AS$1:$AS$420,"2027|"&amp;$P$1,_CALC_ALLOC!$B$1:$B$420,$U63)</f>
        <v>0</v>
      </c>
      <c r="G63" s="27">
        <f>SUMIFS(_CALC_ALLOC!$AK$1:$AK$420,_CALC_ALLOC!$AS$1:$AS$420,"2027|"&amp;$P$1,_CALC_ALLOC!$B$1:$B$420,$U63)</f>
        <v>0</v>
      </c>
      <c r="H63" s="27">
        <f>SUMIFS(_CALC_ALLOC!$AL$1:$AL$420,_CALC_ALLOC!$AS$1:$AS$420,"2027|"&amp;$P$1,_CALC_ALLOC!$B$1:$B$420,$U63)</f>
        <v>0</v>
      </c>
      <c r="I63" s="27">
        <f>SUMIFS(_CALC_ALLOC!$AR$1:$AR$420,_CALC_ALLOC!$AS$1:$AS$420,"2027|"&amp;$P$1,_CALC_ALLOC!$B$1:$B$420,$U63)</f>
        <v>0</v>
      </c>
      <c r="J63" s="27">
        <f>SUMIFS(_CALC_ALLOC!$AM$1:$AM$420,_CALC_ALLOC!$AS$1:$AS$420,"2027|"&amp;$P$1,_CALC_ALLOC!$B$1:$B$420,$U63)</f>
        <v>0</v>
      </c>
      <c r="K63" s="27">
        <f t="shared" si="0"/>
        <v>0</v>
      </c>
      <c r="L63" s="28">
        <f>SUMIFS(_CALC_ALLOC!$AN$1:$AN$420,_CALC_ALLOC!$AS$1:$AS$420,"2027|"&amp;$P$1,_CALC_ALLOC!$B$1:$B$420,$U63)</f>
        <v>0</v>
      </c>
      <c r="M63" s="29">
        <f t="shared" si="1"/>
        <v>0</v>
      </c>
      <c r="T63" t="inlineStr">
        <is>
          <t>IPAC_NAN</t>
        </is>
      </c>
      <c r="U63" t="inlineStr">
        <is>
          <t>IPAC_NAN</t>
        </is>
      </c>
      <c r="V63" t="inlineStr">
        <is>
          <t>IPAC</t>
        </is>
      </c>
      <c r="Z63">
        <v>2</v>
      </c>
    </row>
    <row r="64" spans="2:26" x14ac:dyDescent="0.45" outlineLevel="2" hidden="1">
      <c r="B64" s="30" t="s">
        <v>109</v>
      </c>
      <c r="C64" s="31">
        <f>SUMIFS(_CALC_ALLOC!$G$1:$G$420,_CALC_ALLOC!$AS$1:$AS$420,"2027|"&amp;$P$1,_CALC_ALLOC!$B$1:$B$420,$U64,_CALC_ALLOC!$D$1:$D$420,$W64,_CALC_ALLOC!$E$1:$E$420,$X64,_CALC_ALLOC!$F$1:$F$420,$Y64)</f>
        <v>0</v>
      </c>
      <c r="D64" s="32">
        <f>SUMIFS(_CALC_ALLOC!$I$1:$I$420,_CALC_ALLOC!$AS$1:$AS$420,"2027|"&amp;$P$1,_CALC_ALLOC!$B$1:$B$420,$U64,_CALC_ALLOC!$D$1:$D$420,$W64,_CALC_ALLOC!$E$1:$E$420,$X64,_CALC_ALLOC!$F$1:$F$420,$Y64)</f>
        <v>0</v>
      </c>
      <c r="E64" s="32">
        <f>SUMIFS(_CALC_ALLOC!$AI$1:$AI$420,_CALC_ALLOC!$AS$1:$AS$420,"2027|"&amp;$P$1,_CALC_ALLOC!$B$1:$B$420,$U64,_CALC_ALLOC!$D$1:$D$420,$W64,_CALC_ALLOC!$E$1:$E$420,$X64,_CALC_ALLOC!$F$1:$F$420,$Y64)</f>
        <v>0</v>
      </c>
      <c r="F64" s="32">
        <f>SUMIFS(_CALC_ALLOC!$AJ$1:$AJ$420,_CALC_ALLOC!$AS$1:$AS$420,"2027|"&amp;$P$1,_CALC_ALLOC!$B$1:$B$420,$U64,_CALC_ALLOC!$D$1:$D$420,$W64,_CALC_ALLOC!$E$1:$E$420,$X64,_CALC_ALLOC!$F$1:$F$420,$Y64)</f>
        <v>0</v>
      </c>
      <c r="G64" s="32">
        <f>SUMIFS(_CALC_ALLOC!$AK$1:$AK$420,_CALC_ALLOC!$AS$1:$AS$420,"2027|"&amp;$P$1,_CALC_ALLOC!$B$1:$B$420,$U64,_CALC_ALLOC!$D$1:$D$420,$W64,_CALC_ALLOC!$E$1:$E$420,$X64,_CALC_ALLOC!$F$1:$F$420,$Y64)</f>
        <v>0</v>
      </c>
      <c r="H64" s="32">
        <f>SUMIFS(_CALC_ALLOC!$AL$1:$AL$420,_CALC_ALLOC!$AS$1:$AS$420,"2027|"&amp;$P$1,_CALC_ALLOC!$B$1:$B$420,$U64,_CALC_ALLOC!$D$1:$D$420,$W64,_CALC_ALLOC!$E$1:$E$420,$X64,_CALC_ALLOC!$F$1:$F$420,$Y64)</f>
        <v>0</v>
      </c>
      <c r="I64" s="32">
        <f>SUMIFS(_CALC_ALLOC!$AR$1:$AR$420,_CALC_ALLOC!$AS$1:$AS$420,"2027|"&amp;$P$1,_CALC_ALLOC!$B$1:$B$420,$U64,_CALC_ALLOC!$D$1:$D$420,$W64,_CALC_ALLOC!$E$1:$E$420,$X64,_CALC_ALLOC!$F$1:$F$420,$Y64)</f>
        <v>0</v>
      </c>
      <c r="J64" s="32">
        <f>SUMIFS(_CALC_ALLOC!$AM$1:$AM$420,_CALC_ALLOC!$AS$1:$AS$420,"2027|"&amp;$P$1,_CALC_ALLOC!$B$1:$B$420,$U64,_CALC_ALLOC!$D$1:$D$420,$W64,_CALC_ALLOC!$E$1:$E$420,$X64,_CALC_ALLOC!$F$1:$F$420,$Y64)</f>
        <v>0</v>
      </c>
      <c r="K64" s="33">
        <f t="shared" si="0"/>
        <v>0</v>
      </c>
      <c r="L64" s="34">
        <f>SUMIFS(_CALC_ALLOC!$AN$1:$AN$420,_CALC_ALLOC!$AS$1:$AS$420,"2027|"&amp;$P$1,_CALC_ALLOC!$B$1:$B$420,$U64,_CALC_ALLOC!$D$1:$D$420,$W64,_CALC_ALLOC!$E$1:$E$420,$X64,_CALC_ALLOC!$F$1:$F$420,$Y64)</f>
        <v>0</v>
      </c>
      <c r="M64" s="35">
        <f t="shared" si="1"/>
        <v>0</v>
      </c>
      <c r="T64" t="inlineStr">
        <is>
          <t>IPAC_NAN|BAC_CCE|B1|ALT</t>
        </is>
      </c>
      <c r="U64" t="inlineStr">
        <is>
          <t>IPAC_NAN</t>
        </is>
      </c>
      <c r="V64" t="inlineStr">
        <is>
          <t>IPAC</t>
        </is>
      </c>
      <c r="W64" t="inlineStr">
        <is>
          <t>BAC_CCE</t>
        </is>
      </c>
      <c r="X64" t="inlineStr">
        <is>
          <t>B1</t>
        </is>
      </c>
      <c r="Y64" t="inlineStr">
        <is>
          <t>ALT</t>
        </is>
      </c>
      <c r="Z64">
        <v>3</v>
      </c>
    </row>
    <row r="65" spans="2:26" x14ac:dyDescent="0.45" outlineLevel="2" hidden="1">
      <c r="B65" s="30" t="s">
        <v>110</v>
      </c>
      <c r="C65" s="31">
        <f>SUMIFS(_CALC_ALLOC!$G$1:$G$420,_CALC_ALLOC!$AS$1:$AS$420,"2027|"&amp;$P$1,_CALC_ALLOC!$B$1:$B$420,$U65,_CALC_ALLOC!$D$1:$D$420,$W65,_CALC_ALLOC!$E$1:$E$420,$X65,_CALC_ALLOC!$F$1:$F$420,$Y65)</f>
        <v>0</v>
      </c>
      <c r="D65" s="32">
        <f>SUMIFS(_CALC_ALLOC!$I$1:$I$420,_CALC_ALLOC!$AS$1:$AS$420,"2027|"&amp;$P$1,_CALC_ALLOC!$B$1:$B$420,$U65,_CALC_ALLOC!$D$1:$D$420,$W65,_CALC_ALLOC!$E$1:$E$420,$X65,_CALC_ALLOC!$F$1:$F$420,$Y65)</f>
        <v>0</v>
      </c>
      <c r="E65" s="32">
        <f>SUMIFS(_CALC_ALLOC!$AI$1:$AI$420,_CALC_ALLOC!$AS$1:$AS$420,"2027|"&amp;$P$1,_CALC_ALLOC!$B$1:$B$420,$U65,_CALC_ALLOC!$D$1:$D$420,$W65,_CALC_ALLOC!$E$1:$E$420,$X65,_CALC_ALLOC!$F$1:$F$420,$Y65)</f>
        <v>0</v>
      </c>
      <c r="F65" s="32">
        <f>SUMIFS(_CALC_ALLOC!$AJ$1:$AJ$420,_CALC_ALLOC!$AS$1:$AS$420,"2027|"&amp;$P$1,_CALC_ALLOC!$B$1:$B$420,$U65,_CALC_ALLOC!$D$1:$D$420,$W65,_CALC_ALLOC!$E$1:$E$420,$X65,_CALC_ALLOC!$F$1:$F$420,$Y65)</f>
        <v>0</v>
      </c>
      <c r="G65" s="32">
        <f>SUMIFS(_CALC_ALLOC!$AK$1:$AK$420,_CALC_ALLOC!$AS$1:$AS$420,"2027|"&amp;$P$1,_CALC_ALLOC!$B$1:$B$420,$U65,_CALC_ALLOC!$D$1:$D$420,$W65,_CALC_ALLOC!$E$1:$E$420,$X65,_CALC_ALLOC!$F$1:$F$420,$Y65)</f>
        <v>0</v>
      </c>
      <c r="H65" s="32">
        <f>SUMIFS(_CALC_ALLOC!$AL$1:$AL$420,_CALC_ALLOC!$AS$1:$AS$420,"2027|"&amp;$P$1,_CALC_ALLOC!$B$1:$B$420,$U65,_CALC_ALLOC!$D$1:$D$420,$W65,_CALC_ALLOC!$E$1:$E$420,$X65,_CALC_ALLOC!$F$1:$F$420,$Y65)</f>
        <v>0</v>
      </c>
      <c r="I65" s="32">
        <f>SUMIFS(_CALC_ALLOC!$AR$1:$AR$420,_CALC_ALLOC!$AS$1:$AS$420,"2027|"&amp;$P$1,_CALC_ALLOC!$B$1:$B$420,$U65,_CALC_ALLOC!$D$1:$D$420,$W65,_CALC_ALLOC!$E$1:$E$420,$X65,_CALC_ALLOC!$F$1:$F$420,$Y65)</f>
        <v>0</v>
      </c>
      <c r="J65" s="32">
        <f>SUMIFS(_CALC_ALLOC!$AM$1:$AM$420,_CALC_ALLOC!$AS$1:$AS$420,"2027|"&amp;$P$1,_CALC_ALLOC!$B$1:$B$420,$U65,_CALC_ALLOC!$D$1:$D$420,$W65,_CALC_ALLOC!$E$1:$E$420,$X65,_CALC_ALLOC!$F$1:$F$420,$Y65)</f>
        <v>0</v>
      </c>
      <c r="K65" s="33">
        <f t="shared" si="0"/>
        <v>0</v>
      </c>
      <c r="L65" s="34">
        <f>SUMIFS(_CALC_ALLOC!$AN$1:$AN$420,_CALC_ALLOC!$AS$1:$AS$420,"2027|"&amp;$P$1,_CALC_ALLOC!$B$1:$B$420,$U65,_CALC_ALLOC!$D$1:$D$420,$W65,_CALC_ALLOC!$E$1:$E$420,$X65,_CALC_ALLOC!$F$1:$F$420,$Y65)</f>
        <v>0</v>
      </c>
      <c r="M65" s="35">
        <f t="shared" si="1"/>
        <v>0</v>
      </c>
      <c r="T65" t="inlineStr">
        <is>
          <t>IPAC_NAN|BAC_CCE|B2|ALT</t>
        </is>
      </c>
      <c r="U65" t="inlineStr">
        <is>
          <t>IPAC_NAN</t>
        </is>
      </c>
      <c r="V65" t="inlineStr">
        <is>
          <t>IPAC</t>
        </is>
      </c>
      <c r="W65" t="inlineStr">
        <is>
          <t>BAC_CCE</t>
        </is>
      </c>
      <c r="X65" t="inlineStr">
        <is>
          <t>B2</t>
        </is>
      </c>
      <c r="Y65" t="inlineStr">
        <is>
          <t>ALT</t>
        </is>
      </c>
      <c r="Z65">
        <v>3</v>
      </c>
    </row>
    <row r="66" spans="2:26" x14ac:dyDescent="0.45" outlineLevel="2" hidden="1">
      <c r="B66" s="30" t="s">
        <v>111</v>
      </c>
      <c r="C66" s="31">
        <f>SUMIFS(_CALC_ALLOC!$G$1:$G$420,_CALC_ALLOC!$AS$1:$AS$420,"2027|"&amp;$P$1,_CALC_ALLOC!$B$1:$B$420,$U66,_CALC_ALLOC!$D$1:$D$420,$W66,_CALC_ALLOC!$E$1:$E$420,$X66,_CALC_ALLOC!$F$1:$F$420,$Y66)</f>
        <v>0</v>
      </c>
      <c r="D66" s="32">
        <f>SUMIFS(_CALC_ALLOC!$I$1:$I$420,_CALC_ALLOC!$AS$1:$AS$420,"2027|"&amp;$P$1,_CALC_ALLOC!$B$1:$B$420,$U66,_CALC_ALLOC!$D$1:$D$420,$W66,_CALC_ALLOC!$E$1:$E$420,$X66,_CALC_ALLOC!$F$1:$F$420,$Y66)</f>
        <v>0</v>
      </c>
      <c r="E66" s="32">
        <f>SUMIFS(_CALC_ALLOC!$AI$1:$AI$420,_CALC_ALLOC!$AS$1:$AS$420,"2027|"&amp;$P$1,_CALC_ALLOC!$B$1:$B$420,$U66,_CALC_ALLOC!$D$1:$D$420,$W66,_CALC_ALLOC!$E$1:$E$420,$X66,_CALC_ALLOC!$F$1:$F$420,$Y66)</f>
        <v>0</v>
      </c>
      <c r="F66" s="32">
        <f>SUMIFS(_CALC_ALLOC!$AJ$1:$AJ$420,_CALC_ALLOC!$AS$1:$AS$420,"2027|"&amp;$P$1,_CALC_ALLOC!$B$1:$B$420,$U66,_CALC_ALLOC!$D$1:$D$420,$W66,_CALC_ALLOC!$E$1:$E$420,$X66,_CALC_ALLOC!$F$1:$F$420,$Y66)</f>
        <v>0</v>
      </c>
      <c r="G66" s="32">
        <f>SUMIFS(_CALC_ALLOC!$AK$1:$AK$420,_CALC_ALLOC!$AS$1:$AS$420,"2027|"&amp;$P$1,_CALC_ALLOC!$B$1:$B$420,$U66,_CALC_ALLOC!$D$1:$D$420,$W66,_CALC_ALLOC!$E$1:$E$420,$X66,_CALC_ALLOC!$F$1:$F$420,$Y66)</f>
        <v>0</v>
      </c>
      <c r="H66" s="32">
        <f>SUMIFS(_CALC_ALLOC!$AL$1:$AL$420,_CALC_ALLOC!$AS$1:$AS$420,"2027|"&amp;$P$1,_CALC_ALLOC!$B$1:$B$420,$U66,_CALC_ALLOC!$D$1:$D$420,$W66,_CALC_ALLOC!$E$1:$E$420,$X66,_CALC_ALLOC!$F$1:$F$420,$Y66)</f>
        <v>0</v>
      </c>
      <c r="I66" s="32">
        <f>SUMIFS(_CALC_ALLOC!$AR$1:$AR$420,_CALC_ALLOC!$AS$1:$AS$420,"2027|"&amp;$P$1,_CALC_ALLOC!$B$1:$B$420,$U66,_CALC_ALLOC!$D$1:$D$420,$W66,_CALC_ALLOC!$E$1:$E$420,$X66,_CALC_ALLOC!$F$1:$F$420,$Y66)</f>
        <v>0</v>
      </c>
      <c r="J66" s="32">
        <f>SUMIFS(_CALC_ALLOC!$AM$1:$AM$420,_CALC_ALLOC!$AS$1:$AS$420,"2027|"&amp;$P$1,_CALC_ALLOC!$B$1:$B$420,$U66,_CALC_ALLOC!$D$1:$D$420,$W66,_CALC_ALLOC!$E$1:$E$420,$X66,_CALC_ALLOC!$F$1:$F$420,$Y66)</f>
        <v>0</v>
      </c>
      <c r="K66" s="33">
        <f t="shared" si="0"/>
        <v>0</v>
      </c>
      <c r="L66" s="34">
        <f>SUMIFS(_CALC_ALLOC!$AN$1:$AN$420,_CALC_ALLOC!$AS$1:$AS$420,"2027|"&amp;$P$1,_CALC_ALLOC!$B$1:$B$420,$U66,_CALC_ALLOC!$D$1:$D$420,$W66,_CALC_ALLOC!$E$1:$E$420,$X66,_CALC_ALLOC!$F$1:$F$420,$Y66)</f>
        <v>0</v>
      </c>
      <c r="M66" s="35">
        <f t="shared" si="1"/>
        <v>0</v>
      </c>
      <c r="T66" t="inlineStr">
        <is>
          <t>IPAC_NAN|BAC_CCE|B3|ALT</t>
        </is>
      </c>
      <c r="U66" t="inlineStr">
        <is>
          <t>IPAC_NAN</t>
        </is>
      </c>
      <c r="V66" t="inlineStr">
        <is>
          <t>IPAC</t>
        </is>
      </c>
      <c r="W66" t="inlineStr">
        <is>
          <t>BAC_CCE</t>
        </is>
      </c>
      <c r="X66" t="inlineStr">
        <is>
          <t>B3</t>
        </is>
      </c>
      <c r="Y66" t="inlineStr">
        <is>
          <t>ALT</t>
        </is>
      </c>
      <c r="Z66">
        <v>3</v>
      </c>
    </row>
    <row r="67" spans="2:26" x14ac:dyDescent="0.45" outlineLevel="1">
      <c r="B67" s="25" t="s">
        <v>112</v>
      </c>
      <c r="C67" s="26">
        <f>SUMIFS(_CALC_ALLOC!$G$1:$G$420,_CALC_ALLOC!$AS$1:$AS$420,"2027|"&amp;$P$1,_CALC_ALLOC!$B$1:$B$420,$U67)</f>
        <v>0</v>
      </c>
      <c r="D67" s="27">
        <f>SUMIFS(_CALC_ALLOC!$I$1:$I$420,_CALC_ALLOC!$AS$1:$AS$420,"2027|"&amp;$P$1,_CALC_ALLOC!$B$1:$B$420,$U67)</f>
        <v>0</v>
      </c>
      <c r="E67" s="27">
        <f>SUMIFS(_CALC_ALLOC!$AI$1:$AI$420,_CALC_ALLOC!$AS$1:$AS$420,"2027|"&amp;$P$1,_CALC_ALLOC!$B$1:$B$420,$U67)</f>
        <v>0</v>
      </c>
      <c r="F67" s="27">
        <f>SUMIFS(_CALC_ALLOC!$AJ$1:$AJ$420,_CALC_ALLOC!$AS$1:$AS$420,"2027|"&amp;$P$1,_CALC_ALLOC!$B$1:$B$420,$U67)</f>
        <v>0</v>
      </c>
      <c r="G67" s="27">
        <f>SUMIFS(_CALC_ALLOC!$AK$1:$AK$420,_CALC_ALLOC!$AS$1:$AS$420,"2027|"&amp;$P$1,_CALC_ALLOC!$B$1:$B$420,$U67)</f>
        <v>0</v>
      </c>
      <c r="H67" s="27">
        <f>SUMIFS(_CALC_ALLOC!$AL$1:$AL$420,_CALC_ALLOC!$AS$1:$AS$420,"2027|"&amp;$P$1,_CALC_ALLOC!$B$1:$B$420,$U67)</f>
        <v>0</v>
      </c>
      <c r="I67" s="27">
        <f>SUMIFS(_CALC_ALLOC!$AR$1:$AR$420,_CALC_ALLOC!$AS$1:$AS$420,"2027|"&amp;$P$1,_CALC_ALLOC!$B$1:$B$420,$U67)</f>
        <v>0</v>
      </c>
      <c r="J67" s="27">
        <f>SUMIFS(_CALC_ALLOC!$AM$1:$AM$420,_CALC_ALLOC!$AS$1:$AS$420,"2027|"&amp;$P$1,_CALC_ALLOC!$B$1:$B$420,$U67)</f>
        <v>0</v>
      </c>
      <c r="K67" s="27">
        <f t="shared" si="0"/>
        <v>0</v>
      </c>
      <c r="L67" s="28">
        <f>SUMIFS(_CALC_ALLOC!$AN$1:$AN$420,_CALC_ALLOC!$AS$1:$AS$420,"2027|"&amp;$P$1,_CALC_ALLOC!$B$1:$B$420,$U67)</f>
        <v>0</v>
      </c>
      <c r="M67" s="29">
        <f t="shared" si="1"/>
        <v>0</v>
      </c>
      <c r="T67" t="inlineStr">
        <is>
          <t>IPAC_REN</t>
        </is>
      </c>
      <c r="U67" t="inlineStr">
        <is>
          <t>IPAC_REN</t>
        </is>
      </c>
      <c r="V67" t="inlineStr">
        <is>
          <t>IPAC</t>
        </is>
      </c>
      <c r="Z67">
        <v>2</v>
      </c>
    </row>
    <row r="68" spans="2:26" x14ac:dyDescent="0.45" outlineLevel="2" hidden="1">
      <c r="B68" s="30" t="s">
        <v>109</v>
      </c>
      <c r="C68" s="31">
        <f>SUMIFS(_CALC_ALLOC!$G$1:$G$420,_CALC_ALLOC!$AS$1:$AS$420,"2027|"&amp;$P$1,_CALC_ALLOC!$B$1:$B$420,$U68,_CALC_ALLOC!$D$1:$D$420,$W68,_CALC_ALLOC!$E$1:$E$420,$X68,_CALC_ALLOC!$F$1:$F$420,$Y68)</f>
        <v>0</v>
      </c>
      <c r="D68" s="32">
        <f>SUMIFS(_CALC_ALLOC!$I$1:$I$420,_CALC_ALLOC!$AS$1:$AS$420,"2027|"&amp;$P$1,_CALC_ALLOC!$B$1:$B$420,$U68,_CALC_ALLOC!$D$1:$D$420,$W68,_CALC_ALLOC!$E$1:$E$420,$X68,_CALC_ALLOC!$F$1:$F$420,$Y68)</f>
        <v>0</v>
      </c>
      <c r="E68" s="32">
        <f>SUMIFS(_CALC_ALLOC!$AI$1:$AI$420,_CALC_ALLOC!$AS$1:$AS$420,"2027|"&amp;$P$1,_CALC_ALLOC!$B$1:$B$420,$U68,_CALC_ALLOC!$D$1:$D$420,$W68,_CALC_ALLOC!$E$1:$E$420,$X68,_CALC_ALLOC!$F$1:$F$420,$Y68)</f>
        <v>0</v>
      </c>
      <c r="F68" s="32">
        <f>SUMIFS(_CALC_ALLOC!$AJ$1:$AJ$420,_CALC_ALLOC!$AS$1:$AS$420,"2027|"&amp;$P$1,_CALC_ALLOC!$B$1:$B$420,$U68,_CALC_ALLOC!$D$1:$D$420,$W68,_CALC_ALLOC!$E$1:$E$420,$X68,_CALC_ALLOC!$F$1:$F$420,$Y68)</f>
        <v>0</v>
      </c>
      <c r="G68" s="32">
        <f>SUMIFS(_CALC_ALLOC!$AK$1:$AK$420,_CALC_ALLOC!$AS$1:$AS$420,"2027|"&amp;$P$1,_CALC_ALLOC!$B$1:$B$420,$U68,_CALC_ALLOC!$D$1:$D$420,$W68,_CALC_ALLOC!$E$1:$E$420,$X68,_CALC_ALLOC!$F$1:$F$420,$Y68)</f>
        <v>0</v>
      </c>
      <c r="H68" s="32">
        <f>SUMIFS(_CALC_ALLOC!$AL$1:$AL$420,_CALC_ALLOC!$AS$1:$AS$420,"2027|"&amp;$P$1,_CALC_ALLOC!$B$1:$B$420,$U68,_CALC_ALLOC!$D$1:$D$420,$W68,_CALC_ALLOC!$E$1:$E$420,$X68,_CALC_ALLOC!$F$1:$F$420,$Y68)</f>
        <v>0</v>
      </c>
      <c r="I68" s="32">
        <f>SUMIFS(_CALC_ALLOC!$AR$1:$AR$420,_CALC_ALLOC!$AS$1:$AS$420,"2027|"&amp;$P$1,_CALC_ALLOC!$B$1:$B$420,$U68,_CALC_ALLOC!$D$1:$D$420,$W68,_CALC_ALLOC!$E$1:$E$420,$X68,_CALC_ALLOC!$F$1:$F$420,$Y68)</f>
        <v>0</v>
      </c>
      <c r="J68" s="32">
        <f>SUMIFS(_CALC_ALLOC!$AM$1:$AM$420,_CALC_ALLOC!$AS$1:$AS$420,"2027|"&amp;$P$1,_CALC_ALLOC!$B$1:$B$420,$U68,_CALC_ALLOC!$D$1:$D$420,$W68,_CALC_ALLOC!$E$1:$E$420,$X68,_CALC_ALLOC!$F$1:$F$420,$Y68)</f>
        <v>0</v>
      </c>
      <c r="K68" s="33">
        <f t="shared" si="0"/>
        <v>0</v>
      </c>
      <c r="L68" s="34">
        <f>SUMIFS(_CALC_ALLOC!$AN$1:$AN$420,_CALC_ALLOC!$AS$1:$AS$420,"2027|"&amp;$P$1,_CALC_ALLOC!$B$1:$B$420,$U68,_CALC_ALLOC!$D$1:$D$420,$W68,_CALC_ALLOC!$E$1:$E$420,$X68,_CALC_ALLOC!$F$1:$F$420,$Y68)</f>
        <v>0</v>
      </c>
      <c r="M68" s="35">
        <f t="shared" si="1"/>
        <v>0</v>
      </c>
      <c r="T68" t="inlineStr">
        <is>
          <t>IPAC_REN|BAC_CCE|B1|ALT</t>
        </is>
      </c>
      <c r="U68" t="inlineStr">
        <is>
          <t>IPAC_REN</t>
        </is>
      </c>
      <c r="V68" t="inlineStr">
        <is>
          <t>IPAC</t>
        </is>
      </c>
      <c r="W68" t="inlineStr">
        <is>
          <t>BAC_CCE</t>
        </is>
      </c>
      <c r="X68" t="inlineStr">
        <is>
          <t>B1</t>
        </is>
      </c>
      <c r="Y68" t="inlineStr">
        <is>
          <t>ALT</t>
        </is>
      </c>
      <c r="Z68">
        <v>3</v>
      </c>
    </row>
    <row r="69" spans="2:26" x14ac:dyDescent="0.45" outlineLevel="2" hidden="1">
      <c r="B69" s="30" t="s">
        <v>110</v>
      </c>
      <c r="C69" s="31">
        <f>SUMIFS(_CALC_ALLOC!$G$1:$G$420,_CALC_ALLOC!$AS$1:$AS$420,"2027|"&amp;$P$1,_CALC_ALLOC!$B$1:$B$420,$U69,_CALC_ALLOC!$D$1:$D$420,$W69,_CALC_ALLOC!$E$1:$E$420,$X69,_CALC_ALLOC!$F$1:$F$420,$Y69)</f>
        <v>0</v>
      </c>
      <c r="D69" s="32">
        <f>SUMIFS(_CALC_ALLOC!$I$1:$I$420,_CALC_ALLOC!$AS$1:$AS$420,"2027|"&amp;$P$1,_CALC_ALLOC!$B$1:$B$420,$U69,_CALC_ALLOC!$D$1:$D$420,$W69,_CALC_ALLOC!$E$1:$E$420,$X69,_CALC_ALLOC!$F$1:$F$420,$Y69)</f>
        <v>0</v>
      </c>
      <c r="E69" s="32">
        <f>SUMIFS(_CALC_ALLOC!$AI$1:$AI$420,_CALC_ALLOC!$AS$1:$AS$420,"2027|"&amp;$P$1,_CALC_ALLOC!$B$1:$B$420,$U69,_CALC_ALLOC!$D$1:$D$420,$W69,_CALC_ALLOC!$E$1:$E$420,$X69,_CALC_ALLOC!$F$1:$F$420,$Y69)</f>
        <v>0</v>
      </c>
      <c r="F69" s="32">
        <f>SUMIFS(_CALC_ALLOC!$AJ$1:$AJ$420,_CALC_ALLOC!$AS$1:$AS$420,"2027|"&amp;$P$1,_CALC_ALLOC!$B$1:$B$420,$U69,_CALC_ALLOC!$D$1:$D$420,$W69,_CALC_ALLOC!$E$1:$E$420,$X69,_CALC_ALLOC!$F$1:$F$420,$Y69)</f>
        <v>0</v>
      </c>
      <c r="G69" s="32">
        <f>SUMIFS(_CALC_ALLOC!$AK$1:$AK$420,_CALC_ALLOC!$AS$1:$AS$420,"2027|"&amp;$P$1,_CALC_ALLOC!$B$1:$B$420,$U69,_CALC_ALLOC!$D$1:$D$420,$W69,_CALC_ALLOC!$E$1:$E$420,$X69,_CALC_ALLOC!$F$1:$F$420,$Y69)</f>
        <v>0</v>
      </c>
      <c r="H69" s="32">
        <f>SUMIFS(_CALC_ALLOC!$AL$1:$AL$420,_CALC_ALLOC!$AS$1:$AS$420,"2027|"&amp;$P$1,_CALC_ALLOC!$B$1:$B$420,$U69,_CALC_ALLOC!$D$1:$D$420,$W69,_CALC_ALLOC!$E$1:$E$420,$X69,_CALC_ALLOC!$F$1:$F$420,$Y69)</f>
        <v>0</v>
      </c>
      <c r="I69" s="32">
        <f>SUMIFS(_CALC_ALLOC!$AR$1:$AR$420,_CALC_ALLOC!$AS$1:$AS$420,"2027|"&amp;$P$1,_CALC_ALLOC!$B$1:$B$420,$U69,_CALC_ALLOC!$D$1:$D$420,$W69,_CALC_ALLOC!$E$1:$E$420,$X69,_CALC_ALLOC!$F$1:$F$420,$Y69)</f>
        <v>0</v>
      </c>
      <c r="J69" s="32">
        <f>SUMIFS(_CALC_ALLOC!$AM$1:$AM$420,_CALC_ALLOC!$AS$1:$AS$420,"2027|"&amp;$P$1,_CALC_ALLOC!$B$1:$B$420,$U69,_CALC_ALLOC!$D$1:$D$420,$W69,_CALC_ALLOC!$E$1:$E$420,$X69,_CALC_ALLOC!$F$1:$F$420,$Y69)</f>
        <v>0</v>
      </c>
      <c r="K69" s="33">
        <f t="shared" si="0"/>
        <v>0</v>
      </c>
      <c r="L69" s="34">
        <f>SUMIFS(_CALC_ALLOC!$AN$1:$AN$420,_CALC_ALLOC!$AS$1:$AS$420,"2027|"&amp;$P$1,_CALC_ALLOC!$B$1:$B$420,$U69,_CALC_ALLOC!$D$1:$D$420,$W69,_CALC_ALLOC!$E$1:$E$420,$X69,_CALC_ALLOC!$F$1:$F$420,$Y69)</f>
        <v>0</v>
      </c>
      <c r="M69" s="35">
        <f t="shared" si="1"/>
        <v>0</v>
      </c>
      <c r="T69" t="inlineStr">
        <is>
          <t>IPAC_REN|BAC_CCE|B2|ALT</t>
        </is>
      </c>
      <c r="U69" t="inlineStr">
        <is>
          <t>IPAC_REN</t>
        </is>
      </c>
      <c r="V69" t="inlineStr">
        <is>
          <t>IPAC</t>
        </is>
      </c>
      <c r="W69" t="inlineStr">
        <is>
          <t>BAC_CCE</t>
        </is>
      </c>
      <c r="X69" t="inlineStr">
        <is>
          <t>B2</t>
        </is>
      </c>
      <c r="Y69" t="inlineStr">
        <is>
          <t>ALT</t>
        </is>
      </c>
      <c r="Z69">
        <v>3</v>
      </c>
    </row>
    <row r="70" spans="2:26" x14ac:dyDescent="0.45" outlineLevel="2" hidden="1">
      <c r="B70" s="30" t="s">
        <v>111</v>
      </c>
      <c r="C70" s="31">
        <f>SUMIFS(_CALC_ALLOC!$G$1:$G$420,_CALC_ALLOC!$AS$1:$AS$420,"2027|"&amp;$P$1,_CALC_ALLOC!$B$1:$B$420,$U70,_CALC_ALLOC!$D$1:$D$420,$W70,_CALC_ALLOC!$E$1:$E$420,$X70,_CALC_ALLOC!$F$1:$F$420,$Y70)</f>
        <v>0</v>
      </c>
      <c r="D70" s="32">
        <f>SUMIFS(_CALC_ALLOC!$I$1:$I$420,_CALC_ALLOC!$AS$1:$AS$420,"2027|"&amp;$P$1,_CALC_ALLOC!$B$1:$B$420,$U70,_CALC_ALLOC!$D$1:$D$420,$W70,_CALC_ALLOC!$E$1:$E$420,$X70,_CALC_ALLOC!$F$1:$F$420,$Y70)</f>
        <v>0</v>
      </c>
      <c r="E70" s="32">
        <f>SUMIFS(_CALC_ALLOC!$AI$1:$AI$420,_CALC_ALLOC!$AS$1:$AS$420,"2027|"&amp;$P$1,_CALC_ALLOC!$B$1:$B$420,$U70,_CALC_ALLOC!$D$1:$D$420,$W70,_CALC_ALLOC!$E$1:$E$420,$X70,_CALC_ALLOC!$F$1:$F$420,$Y70)</f>
        <v>0</v>
      </c>
      <c r="F70" s="32">
        <f>SUMIFS(_CALC_ALLOC!$AJ$1:$AJ$420,_CALC_ALLOC!$AS$1:$AS$420,"2027|"&amp;$P$1,_CALC_ALLOC!$B$1:$B$420,$U70,_CALC_ALLOC!$D$1:$D$420,$W70,_CALC_ALLOC!$E$1:$E$420,$X70,_CALC_ALLOC!$F$1:$F$420,$Y70)</f>
        <v>0</v>
      </c>
      <c r="G70" s="32">
        <f>SUMIFS(_CALC_ALLOC!$AK$1:$AK$420,_CALC_ALLOC!$AS$1:$AS$420,"2027|"&amp;$P$1,_CALC_ALLOC!$B$1:$B$420,$U70,_CALC_ALLOC!$D$1:$D$420,$W70,_CALC_ALLOC!$E$1:$E$420,$X70,_CALC_ALLOC!$F$1:$F$420,$Y70)</f>
        <v>0</v>
      </c>
      <c r="H70" s="32">
        <f>SUMIFS(_CALC_ALLOC!$AL$1:$AL$420,_CALC_ALLOC!$AS$1:$AS$420,"2027|"&amp;$P$1,_CALC_ALLOC!$B$1:$B$420,$U70,_CALC_ALLOC!$D$1:$D$420,$W70,_CALC_ALLOC!$E$1:$E$420,$X70,_CALC_ALLOC!$F$1:$F$420,$Y70)</f>
        <v>0</v>
      </c>
      <c r="I70" s="32">
        <f>SUMIFS(_CALC_ALLOC!$AR$1:$AR$420,_CALC_ALLOC!$AS$1:$AS$420,"2027|"&amp;$P$1,_CALC_ALLOC!$B$1:$B$420,$U70,_CALC_ALLOC!$D$1:$D$420,$W70,_CALC_ALLOC!$E$1:$E$420,$X70,_CALC_ALLOC!$F$1:$F$420,$Y70)</f>
        <v>0</v>
      </c>
      <c r="J70" s="32">
        <f>SUMIFS(_CALC_ALLOC!$AM$1:$AM$420,_CALC_ALLOC!$AS$1:$AS$420,"2027|"&amp;$P$1,_CALC_ALLOC!$B$1:$B$420,$U70,_CALC_ALLOC!$D$1:$D$420,$W70,_CALC_ALLOC!$E$1:$E$420,$X70,_CALC_ALLOC!$F$1:$F$420,$Y70)</f>
        <v>0</v>
      </c>
      <c r="K70" s="33">
        <f t="shared" si="0"/>
        <v>0</v>
      </c>
      <c r="L70" s="34">
        <f>SUMIFS(_CALC_ALLOC!$AN$1:$AN$420,_CALC_ALLOC!$AS$1:$AS$420,"2027|"&amp;$P$1,_CALC_ALLOC!$B$1:$B$420,$U70,_CALC_ALLOC!$D$1:$D$420,$W70,_CALC_ALLOC!$E$1:$E$420,$X70,_CALC_ALLOC!$F$1:$F$420,$Y70)</f>
        <v>0</v>
      </c>
      <c r="M70" s="35">
        <f t="shared" si="1"/>
        <v>0</v>
      </c>
      <c r="T70" t="inlineStr">
        <is>
          <t>IPAC_REN|BAC_CCE|B3|ALT</t>
        </is>
      </c>
      <c r="U70" t="inlineStr">
        <is>
          <t>IPAC_REN</t>
        </is>
      </c>
      <c r="V70" t="inlineStr">
        <is>
          <t>IPAC</t>
        </is>
      </c>
      <c r="W70" t="inlineStr">
        <is>
          <t>BAC_CCE</t>
        </is>
      </c>
      <c r="X70" t="inlineStr">
        <is>
          <t>B3</t>
        </is>
      </c>
      <c r="Y70" t="inlineStr">
        <is>
          <t>ALT</t>
        </is>
      </c>
      <c r="Z70">
        <v>3</v>
      </c>
    </row>
    <row r="71" spans="2:26" x14ac:dyDescent="0.45" outlineLevel="1">
      <c r="B71" s="25" t="s">
        <v>113</v>
      </c>
      <c r="C71" s="26">
        <f>SUMIFS(_CALC_ALLOC!$G$1:$G$420,_CALC_ALLOC!$AS$1:$AS$420,"2027|"&amp;$P$1,_CALC_ALLOC!$B$1:$B$420,$U71)</f>
        <v>0</v>
      </c>
      <c r="D71" s="27">
        <f>SUMIFS(_CALC_ALLOC!$I$1:$I$420,_CALC_ALLOC!$AS$1:$AS$420,"2027|"&amp;$P$1,_CALC_ALLOC!$B$1:$B$420,$U71)</f>
        <v>0</v>
      </c>
      <c r="E71" s="27">
        <f>SUMIFS(_CALC_ALLOC!$AI$1:$AI$420,_CALC_ALLOC!$AS$1:$AS$420,"2027|"&amp;$P$1,_CALC_ALLOC!$B$1:$B$420,$U71)</f>
        <v>0</v>
      </c>
      <c r="F71" s="27">
        <f>SUMIFS(_CALC_ALLOC!$AJ$1:$AJ$420,_CALC_ALLOC!$AS$1:$AS$420,"2027|"&amp;$P$1,_CALC_ALLOC!$B$1:$B$420,$U71)</f>
        <v>0</v>
      </c>
      <c r="G71" s="27">
        <f>SUMIFS(_CALC_ALLOC!$AK$1:$AK$420,_CALC_ALLOC!$AS$1:$AS$420,"2027|"&amp;$P$1,_CALC_ALLOC!$B$1:$B$420,$U71)</f>
        <v>0</v>
      </c>
      <c r="H71" s="27">
        <f>SUMIFS(_CALC_ALLOC!$AL$1:$AL$420,_CALC_ALLOC!$AS$1:$AS$420,"2027|"&amp;$P$1,_CALC_ALLOC!$B$1:$B$420,$U71)</f>
        <v>0</v>
      </c>
      <c r="I71" s="27">
        <f>SUMIFS(_CALC_ALLOC!$AR$1:$AR$420,_CALC_ALLOC!$AS$1:$AS$420,"2027|"&amp;$P$1,_CALC_ALLOC!$B$1:$B$420,$U71)</f>
        <v>0</v>
      </c>
      <c r="J71" s="27">
        <f>SUMIFS(_CALC_ALLOC!$AM$1:$AM$420,_CALC_ALLOC!$AS$1:$AS$420,"2027|"&amp;$P$1,_CALC_ALLOC!$B$1:$B$420,$U71)</f>
        <v>0</v>
      </c>
      <c r="K71" s="27">
        <f t="shared" si="0"/>
        <v>0</v>
      </c>
      <c r="L71" s="28">
        <f>SUMIFS(_CALC_ALLOC!$AN$1:$AN$420,_CALC_ALLOC!$AS$1:$AS$420,"2027|"&amp;$P$1,_CALC_ALLOC!$B$1:$B$420,$U71)</f>
        <v>0</v>
      </c>
      <c r="M71" s="29">
        <f t="shared" si="1"/>
        <v>0</v>
      </c>
      <c r="T71" t="inlineStr">
        <is>
          <t>IPAC_MTP</t>
        </is>
      </c>
      <c r="U71" t="inlineStr">
        <is>
          <t>IPAC_MTP</t>
        </is>
      </c>
      <c r="V71" t="inlineStr">
        <is>
          <t>IPAC</t>
        </is>
      </c>
      <c r="Z71">
        <v>2</v>
      </c>
    </row>
    <row r="72" spans="2:26" x14ac:dyDescent="0.45" outlineLevel="2" hidden="1">
      <c r="B72" s="30" t="s">
        <v>109</v>
      </c>
      <c r="C72" s="31">
        <f>SUMIFS(_CALC_ALLOC!$G$1:$G$420,_CALC_ALLOC!$AS$1:$AS$420,"2027|"&amp;$P$1,_CALC_ALLOC!$B$1:$B$420,$U72,_CALC_ALLOC!$D$1:$D$420,$W72,_CALC_ALLOC!$E$1:$E$420,$X72,_CALC_ALLOC!$F$1:$F$420,$Y72)</f>
        <v>0</v>
      </c>
      <c r="D72" s="32">
        <f>SUMIFS(_CALC_ALLOC!$I$1:$I$420,_CALC_ALLOC!$AS$1:$AS$420,"2027|"&amp;$P$1,_CALC_ALLOC!$B$1:$B$420,$U72,_CALC_ALLOC!$D$1:$D$420,$W72,_CALC_ALLOC!$E$1:$E$420,$X72,_CALC_ALLOC!$F$1:$F$420,$Y72)</f>
        <v>0</v>
      </c>
      <c r="E72" s="32">
        <f>SUMIFS(_CALC_ALLOC!$AI$1:$AI$420,_CALC_ALLOC!$AS$1:$AS$420,"2027|"&amp;$P$1,_CALC_ALLOC!$B$1:$B$420,$U72,_CALC_ALLOC!$D$1:$D$420,$W72,_CALC_ALLOC!$E$1:$E$420,$X72,_CALC_ALLOC!$F$1:$F$420,$Y72)</f>
        <v>0</v>
      </c>
      <c r="F72" s="32">
        <f>SUMIFS(_CALC_ALLOC!$AJ$1:$AJ$420,_CALC_ALLOC!$AS$1:$AS$420,"2027|"&amp;$P$1,_CALC_ALLOC!$B$1:$B$420,$U72,_CALC_ALLOC!$D$1:$D$420,$W72,_CALC_ALLOC!$E$1:$E$420,$X72,_CALC_ALLOC!$F$1:$F$420,$Y72)</f>
        <v>0</v>
      </c>
      <c r="G72" s="32">
        <f>SUMIFS(_CALC_ALLOC!$AK$1:$AK$420,_CALC_ALLOC!$AS$1:$AS$420,"2027|"&amp;$P$1,_CALC_ALLOC!$B$1:$B$420,$U72,_CALC_ALLOC!$D$1:$D$420,$W72,_CALC_ALLOC!$E$1:$E$420,$X72,_CALC_ALLOC!$F$1:$F$420,$Y72)</f>
        <v>0</v>
      </c>
      <c r="H72" s="32">
        <f>SUMIFS(_CALC_ALLOC!$AL$1:$AL$420,_CALC_ALLOC!$AS$1:$AS$420,"2027|"&amp;$P$1,_CALC_ALLOC!$B$1:$B$420,$U72,_CALC_ALLOC!$D$1:$D$420,$W72,_CALC_ALLOC!$E$1:$E$420,$X72,_CALC_ALLOC!$F$1:$F$420,$Y72)</f>
        <v>0</v>
      </c>
      <c r="I72" s="32">
        <f>SUMIFS(_CALC_ALLOC!$AR$1:$AR$420,_CALC_ALLOC!$AS$1:$AS$420,"2027|"&amp;$P$1,_CALC_ALLOC!$B$1:$B$420,$U72,_CALC_ALLOC!$D$1:$D$420,$W72,_CALC_ALLOC!$E$1:$E$420,$X72,_CALC_ALLOC!$F$1:$F$420,$Y72)</f>
        <v>0</v>
      </c>
      <c r="J72" s="32">
        <f>SUMIFS(_CALC_ALLOC!$AM$1:$AM$420,_CALC_ALLOC!$AS$1:$AS$420,"2027|"&amp;$P$1,_CALC_ALLOC!$B$1:$B$420,$U72,_CALC_ALLOC!$D$1:$D$420,$W72,_CALC_ALLOC!$E$1:$E$420,$X72,_CALC_ALLOC!$F$1:$F$420,$Y72)</f>
        <v>0</v>
      </c>
      <c r="K72" s="33">
        <f t="shared" si="0"/>
        <v>0</v>
      </c>
      <c r="L72" s="34">
        <f>SUMIFS(_CALC_ALLOC!$AN$1:$AN$420,_CALC_ALLOC!$AS$1:$AS$420,"2027|"&amp;$P$1,_CALC_ALLOC!$B$1:$B$420,$U72,_CALC_ALLOC!$D$1:$D$420,$W72,_CALC_ALLOC!$E$1:$E$420,$X72,_CALC_ALLOC!$F$1:$F$420,$Y72)</f>
        <v>0</v>
      </c>
      <c r="M72" s="35">
        <f t="shared" si="1"/>
        <v>0</v>
      </c>
      <c r="T72" t="inlineStr">
        <is>
          <t>IPAC_MTP|BAC_CCE|B1|ALT</t>
        </is>
      </c>
      <c r="U72" t="inlineStr">
        <is>
          <t>IPAC_MTP</t>
        </is>
      </c>
      <c r="V72" t="inlineStr">
        <is>
          <t>IPAC</t>
        </is>
      </c>
      <c r="W72" t="inlineStr">
        <is>
          <t>BAC_CCE</t>
        </is>
      </c>
      <c r="X72" t="inlineStr">
        <is>
          <t>B1</t>
        </is>
      </c>
      <c r="Y72" t="inlineStr">
        <is>
          <t>ALT</t>
        </is>
      </c>
      <c r="Z72">
        <v>3</v>
      </c>
    </row>
    <row r="73" spans="2:26" x14ac:dyDescent="0.45" outlineLevel="2" hidden="1">
      <c r="B73" s="30" t="s">
        <v>110</v>
      </c>
      <c r="C73" s="31">
        <f>SUMIFS(_CALC_ALLOC!$G$1:$G$420,_CALC_ALLOC!$AS$1:$AS$420,"2027|"&amp;$P$1,_CALC_ALLOC!$B$1:$B$420,$U73,_CALC_ALLOC!$D$1:$D$420,$W73,_CALC_ALLOC!$E$1:$E$420,$X73,_CALC_ALLOC!$F$1:$F$420,$Y73)</f>
        <v>0</v>
      </c>
      <c r="D73" s="32">
        <f>SUMIFS(_CALC_ALLOC!$I$1:$I$420,_CALC_ALLOC!$AS$1:$AS$420,"2027|"&amp;$P$1,_CALC_ALLOC!$B$1:$B$420,$U73,_CALC_ALLOC!$D$1:$D$420,$W73,_CALC_ALLOC!$E$1:$E$420,$X73,_CALC_ALLOC!$F$1:$F$420,$Y73)</f>
        <v>0</v>
      </c>
      <c r="E73" s="32">
        <f>SUMIFS(_CALC_ALLOC!$AI$1:$AI$420,_CALC_ALLOC!$AS$1:$AS$420,"2027|"&amp;$P$1,_CALC_ALLOC!$B$1:$B$420,$U73,_CALC_ALLOC!$D$1:$D$420,$W73,_CALC_ALLOC!$E$1:$E$420,$X73,_CALC_ALLOC!$F$1:$F$420,$Y73)</f>
        <v>0</v>
      </c>
      <c r="F73" s="32">
        <f>SUMIFS(_CALC_ALLOC!$AJ$1:$AJ$420,_CALC_ALLOC!$AS$1:$AS$420,"2027|"&amp;$P$1,_CALC_ALLOC!$B$1:$B$420,$U73,_CALC_ALLOC!$D$1:$D$420,$W73,_CALC_ALLOC!$E$1:$E$420,$X73,_CALC_ALLOC!$F$1:$F$420,$Y73)</f>
        <v>0</v>
      </c>
      <c r="G73" s="32">
        <f>SUMIFS(_CALC_ALLOC!$AK$1:$AK$420,_CALC_ALLOC!$AS$1:$AS$420,"2027|"&amp;$P$1,_CALC_ALLOC!$B$1:$B$420,$U73,_CALC_ALLOC!$D$1:$D$420,$W73,_CALC_ALLOC!$E$1:$E$420,$X73,_CALC_ALLOC!$F$1:$F$420,$Y73)</f>
        <v>0</v>
      </c>
      <c r="H73" s="32">
        <f>SUMIFS(_CALC_ALLOC!$AL$1:$AL$420,_CALC_ALLOC!$AS$1:$AS$420,"2027|"&amp;$P$1,_CALC_ALLOC!$B$1:$B$420,$U73,_CALC_ALLOC!$D$1:$D$420,$W73,_CALC_ALLOC!$E$1:$E$420,$X73,_CALC_ALLOC!$F$1:$F$420,$Y73)</f>
        <v>0</v>
      </c>
      <c r="I73" s="32">
        <f>SUMIFS(_CALC_ALLOC!$AR$1:$AR$420,_CALC_ALLOC!$AS$1:$AS$420,"2027|"&amp;$P$1,_CALC_ALLOC!$B$1:$B$420,$U73,_CALC_ALLOC!$D$1:$D$420,$W73,_CALC_ALLOC!$E$1:$E$420,$X73,_CALC_ALLOC!$F$1:$F$420,$Y73)</f>
        <v>0</v>
      </c>
      <c r="J73" s="32">
        <f>SUMIFS(_CALC_ALLOC!$AM$1:$AM$420,_CALC_ALLOC!$AS$1:$AS$420,"2027|"&amp;$P$1,_CALC_ALLOC!$B$1:$B$420,$U73,_CALC_ALLOC!$D$1:$D$420,$W73,_CALC_ALLOC!$E$1:$E$420,$X73,_CALC_ALLOC!$F$1:$F$420,$Y73)</f>
        <v>0</v>
      </c>
      <c r="K73" s="33">
        <f t="shared" si="0"/>
        <v>0</v>
      </c>
      <c r="L73" s="34">
        <f>SUMIFS(_CALC_ALLOC!$AN$1:$AN$420,_CALC_ALLOC!$AS$1:$AS$420,"2027|"&amp;$P$1,_CALC_ALLOC!$B$1:$B$420,$U73,_CALC_ALLOC!$D$1:$D$420,$W73,_CALC_ALLOC!$E$1:$E$420,$X73,_CALC_ALLOC!$F$1:$F$420,$Y73)</f>
        <v>0</v>
      </c>
      <c r="M73" s="35">
        <f t="shared" si="1"/>
        <v>0</v>
      </c>
      <c r="T73" t="inlineStr">
        <is>
          <t>IPAC_MTP|BAC_CCE|B2|ALT</t>
        </is>
      </c>
      <c r="U73" t="inlineStr">
        <is>
          <t>IPAC_MTP</t>
        </is>
      </c>
      <c r="V73" t="inlineStr">
        <is>
          <t>IPAC</t>
        </is>
      </c>
      <c r="W73" t="inlineStr">
        <is>
          <t>BAC_CCE</t>
        </is>
      </c>
      <c r="X73" t="inlineStr">
        <is>
          <t>B2</t>
        </is>
      </c>
      <c r="Y73" t="inlineStr">
        <is>
          <t>ALT</t>
        </is>
      </c>
      <c r="Z73">
        <v>3</v>
      </c>
    </row>
    <row r="74" spans="2:26" x14ac:dyDescent="0.45" outlineLevel="2" hidden="1">
      <c r="B74" s="30" t="s">
        <v>111</v>
      </c>
      <c r="C74" s="31">
        <f>SUMIFS(_CALC_ALLOC!$G$1:$G$420,_CALC_ALLOC!$AS$1:$AS$420,"2027|"&amp;$P$1,_CALC_ALLOC!$B$1:$B$420,$U74,_CALC_ALLOC!$D$1:$D$420,$W74,_CALC_ALLOC!$E$1:$E$420,$X74,_CALC_ALLOC!$F$1:$F$420,$Y74)</f>
        <v>0</v>
      </c>
      <c r="D74" s="32">
        <f>SUMIFS(_CALC_ALLOC!$I$1:$I$420,_CALC_ALLOC!$AS$1:$AS$420,"2027|"&amp;$P$1,_CALC_ALLOC!$B$1:$B$420,$U74,_CALC_ALLOC!$D$1:$D$420,$W74,_CALC_ALLOC!$E$1:$E$420,$X74,_CALC_ALLOC!$F$1:$F$420,$Y74)</f>
        <v>0</v>
      </c>
      <c r="E74" s="32">
        <f>SUMIFS(_CALC_ALLOC!$AI$1:$AI$420,_CALC_ALLOC!$AS$1:$AS$420,"2027|"&amp;$P$1,_CALC_ALLOC!$B$1:$B$420,$U74,_CALC_ALLOC!$D$1:$D$420,$W74,_CALC_ALLOC!$E$1:$E$420,$X74,_CALC_ALLOC!$F$1:$F$420,$Y74)</f>
        <v>0</v>
      </c>
      <c r="F74" s="32">
        <f>SUMIFS(_CALC_ALLOC!$AJ$1:$AJ$420,_CALC_ALLOC!$AS$1:$AS$420,"2027|"&amp;$P$1,_CALC_ALLOC!$B$1:$B$420,$U74,_CALC_ALLOC!$D$1:$D$420,$W74,_CALC_ALLOC!$E$1:$E$420,$X74,_CALC_ALLOC!$F$1:$F$420,$Y74)</f>
        <v>0</v>
      </c>
      <c r="G74" s="32">
        <f>SUMIFS(_CALC_ALLOC!$AK$1:$AK$420,_CALC_ALLOC!$AS$1:$AS$420,"2027|"&amp;$P$1,_CALC_ALLOC!$B$1:$B$420,$U74,_CALC_ALLOC!$D$1:$D$420,$W74,_CALC_ALLOC!$E$1:$E$420,$X74,_CALC_ALLOC!$F$1:$F$420,$Y74)</f>
        <v>0</v>
      </c>
      <c r="H74" s="32">
        <f>SUMIFS(_CALC_ALLOC!$AL$1:$AL$420,_CALC_ALLOC!$AS$1:$AS$420,"2027|"&amp;$P$1,_CALC_ALLOC!$B$1:$B$420,$U74,_CALC_ALLOC!$D$1:$D$420,$W74,_CALC_ALLOC!$E$1:$E$420,$X74,_CALC_ALLOC!$F$1:$F$420,$Y74)</f>
        <v>0</v>
      </c>
      <c r="I74" s="32">
        <f>SUMIFS(_CALC_ALLOC!$AR$1:$AR$420,_CALC_ALLOC!$AS$1:$AS$420,"2027|"&amp;$P$1,_CALC_ALLOC!$B$1:$B$420,$U74,_CALC_ALLOC!$D$1:$D$420,$W74,_CALC_ALLOC!$E$1:$E$420,$X74,_CALC_ALLOC!$F$1:$F$420,$Y74)</f>
        <v>0</v>
      </c>
      <c r="J74" s="32">
        <f>SUMIFS(_CALC_ALLOC!$AM$1:$AM$420,_CALC_ALLOC!$AS$1:$AS$420,"2027|"&amp;$P$1,_CALC_ALLOC!$B$1:$B$420,$U74,_CALC_ALLOC!$D$1:$D$420,$W74,_CALC_ALLOC!$E$1:$E$420,$X74,_CALC_ALLOC!$F$1:$F$420,$Y74)</f>
        <v>0</v>
      </c>
      <c r="K74" s="33">
        <f t="shared" si="0"/>
        <v>0</v>
      </c>
      <c r="L74" s="34">
        <f>SUMIFS(_CALC_ALLOC!$AN$1:$AN$420,_CALC_ALLOC!$AS$1:$AS$420,"2027|"&amp;$P$1,_CALC_ALLOC!$B$1:$B$420,$U74,_CALC_ALLOC!$D$1:$D$420,$W74,_CALC_ALLOC!$E$1:$E$420,$X74,_CALC_ALLOC!$F$1:$F$420,$Y74)</f>
        <v>0</v>
      </c>
      <c r="M74" s="35">
        <f t="shared" si="1"/>
        <v>0</v>
      </c>
      <c r="T74" t="inlineStr">
        <is>
          <t>IPAC_MTP|BAC_CCE|B3|ALT</t>
        </is>
      </c>
      <c r="U74" t="inlineStr">
        <is>
          <t>IPAC_MTP</t>
        </is>
      </c>
      <c r="V74" t="inlineStr">
        <is>
          <t>IPAC</t>
        </is>
      </c>
      <c r="W74" t="inlineStr">
        <is>
          <t>BAC_CCE</t>
        </is>
      </c>
      <c r="X74" t="inlineStr">
        <is>
          <t>B3</t>
        </is>
      </c>
      <c r="Y74" t="inlineStr">
        <is>
          <t>ALT</t>
        </is>
      </c>
      <c r="Z74">
        <v>3</v>
      </c>
    </row>
    <row r="75" spans="2:26" collapsed="1" x14ac:dyDescent="0.45">
      <c r="B75" s="20" t="s">
        <v>1</v>
      </c>
      <c r="C75" s="21">
        <f>SUMIFS(_CALC_ALLOC!$G$1:$G$420,_CALC_ALLOC!$AS$1:$AS$420,"2027|"&amp;$P$1,_CALC_ALLOC!$C$1:$C$420,$V75)</f>
        <v>0</v>
      </c>
      <c r="D75" s="22">
        <f>SUMIFS(_CALC_ALLOC!$I$1:$I$420,_CALC_ALLOC!$AS$1:$AS$420,"2027|"&amp;$P$1,_CALC_ALLOC!$C$1:$C$420,$V75)</f>
        <v>0</v>
      </c>
      <c r="E75" s="22">
        <f>SUMIFS(_CALC_ALLOC!$AI$1:$AI$420,_CALC_ALLOC!$AS$1:$AS$420,"2027|"&amp;$P$1,_CALC_ALLOC!$C$1:$C$420,$V75)</f>
        <v>0</v>
      </c>
      <c r="F75" s="22">
        <f>SUMIFS(_CALC_ALLOC!$AJ$1:$AJ$420,_CALC_ALLOC!$AS$1:$AS$420,"2027|"&amp;$P$1,_CALC_ALLOC!$C$1:$C$420,$V75)</f>
        <v>0</v>
      </c>
      <c r="G75" s="22">
        <f>SUMIFS(_CALC_ALLOC!$AK$1:$AK$420,_CALC_ALLOC!$AS$1:$AS$420,"2027|"&amp;$P$1,_CALC_ALLOC!$C$1:$C$420,$V75)</f>
        <v>0</v>
      </c>
      <c r="H75" s="22">
        <f>SUMIFS(_CALC_ALLOC!$AL$1:$AL$420,_CALC_ALLOC!$AS$1:$AS$420,"2027|"&amp;$P$1,_CALC_ALLOC!$C$1:$C$420,$V75)</f>
        <v>0</v>
      </c>
      <c r="I75" s="22">
        <f>SUMIFS(_CALC_ALLOC!$AR$1:$AR$420,_CALC_ALLOC!$AS$1:$AS$420,"2027|"&amp;$P$1,_CALC_ALLOC!$C$1:$C$420,$V75)</f>
        <v>0</v>
      </c>
      <c r="J75" s="22">
        <f>SUMIFS(_CALC_ALLOC!$AM$1:$AM$420,_CALC_ALLOC!$AS$1:$AS$420,"2027|"&amp;$P$1,_CALC_ALLOC!$C$1:$C$420,$V75)</f>
        <v>0</v>
      </c>
      <c r="K75" s="22">
        <f t="shared" si="0"/>
        <v>0</v>
      </c>
      <c r="L75" s="23">
        <f>SUMIFS(_CALC_ALLOC!$AN$1:$AN$420,_CALC_ALLOC!$AS$1:$AS$420,"2027|"&amp;$P$1,_CALC_ALLOC!$C$1:$C$420,$V75)</f>
        <v>0</v>
      </c>
      <c r="M75" s="24">
        <f t="shared" si="1"/>
        <v>0</v>
      </c>
      <c r="T75" t="inlineStr">
        <is>
          <t>PIGIER</t>
        </is>
      </c>
      <c r="V75" t="inlineStr">
        <is>
          <t>PIGIER</t>
        </is>
      </c>
      <c r="Z75">
        <v>1</v>
      </c>
    </row>
    <row r="76" spans="2:26" collapsed="1" x14ac:dyDescent="0.45" outlineLevel="1">
      <c r="B76" s="25" t="s">
        <v>98</v>
      </c>
      <c r="C76" s="26">
        <f>SUMIFS(_CALC_ALLOC!$G$1:$G$420,_CALC_ALLOC!$AS$1:$AS$420,"2027|"&amp;$P$1,_CALC_ALLOC!$B$1:$B$420,$U76)</f>
        <v>0</v>
      </c>
      <c r="D76" s="27">
        <f>SUMIFS(_CALC_ALLOC!$I$1:$I$420,_CALC_ALLOC!$AS$1:$AS$420,"2027|"&amp;$P$1,_CALC_ALLOC!$B$1:$B$420,$U76)</f>
        <v>0</v>
      </c>
      <c r="E76" s="27">
        <f>SUMIFS(_CALC_ALLOC!$AI$1:$AI$420,_CALC_ALLOC!$AS$1:$AS$420,"2027|"&amp;$P$1,_CALC_ALLOC!$B$1:$B$420,$U76)</f>
        <v>0</v>
      </c>
      <c r="F76" s="27">
        <f>SUMIFS(_CALC_ALLOC!$AJ$1:$AJ$420,_CALC_ALLOC!$AS$1:$AS$420,"2027|"&amp;$P$1,_CALC_ALLOC!$B$1:$B$420,$U76)</f>
        <v>0</v>
      </c>
      <c r="G76" s="27">
        <f>SUMIFS(_CALC_ALLOC!$AK$1:$AK$420,_CALC_ALLOC!$AS$1:$AS$420,"2027|"&amp;$P$1,_CALC_ALLOC!$B$1:$B$420,$U76)</f>
        <v>0</v>
      </c>
      <c r="H76" s="27">
        <f>SUMIFS(_CALC_ALLOC!$AL$1:$AL$420,_CALC_ALLOC!$AS$1:$AS$420,"2027|"&amp;$P$1,_CALC_ALLOC!$B$1:$B$420,$U76)</f>
        <v>0</v>
      </c>
      <c r="I76" s="27">
        <f>SUMIFS(_CALC_ALLOC!$AR$1:$AR$420,_CALC_ALLOC!$AS$1:$AS$420,"2027|"&amp;$P$1,_CALC_ALLOC!$B$1:$B$420,$U76)</f>
        <v>0</v>
      </c>
      <c r="J76" s="27">
        <f>SUMIFS(_CALC_ALLOC!$AM$1:$AM$420,_CALC_ALLOC!$AS$1:$AS$420,"2027|"&amp;$P$1,_CALC_ALLOC!$B$1:$B$420,$U76)</f>
        <v>0</v>
      </c>
      <c r="K76" s="27">
        <f t="shared" si="0"/>
        <v>0</v>
      </c>
      <c r="L76" s="28">
        <f>SUMIFS(_CALC_ALLOC!$AN$1:$AN$420,_CALC_ALLOC!$AS$1:$AS$420,"2027|"&amp;$P$1,_CALC_ALLOC!$B$1:$B$420,$U76)</f>
        <v>0</v>
      </c>
      <c r="M76" s="29">
        <f t="shared" si="1"/>
        <v>0</v>
      </c>
      <c r="T76" t="inlineStr">
        <is>
          <t>PIGIER_LYO</t>
        </is>
      </c>
      <c r="U76" t="inlineStr">
        <is>
          <t>PIGIER_LYO</t>
        </is>
      </c>
      <c r="V76" t="inlineStr">
        <is>
          <t>PIGIER</t>
        </is>
      </c>
      <c r="Z76">
        <v>2</v>
      </c>
    </row>
    <row r="77" spans="2:26" x14ac:dyDescent="0.45" outlineLevel="2" hidden="1">
      <c r="B77" s="30" t="s">
        <v>114</v>
      </c>
      <c r="C77" s="31">
        <f>SUMIFS(_CALC_ALLOC!$G$1:$G$420,_CALC_ALLOC!$AS$1:$AS$420,"2027|"&amp;$P$1,_CALC_ALLOC!$B$1:$B$420,$U77,_CALC_ALLOC!$D$1:$D$420,$W77,_CALC_ALLOC!$E$1:$E$420,$X77,_CALC_ALLOC!$F$1:$F$420,$Y77)</f>
        <v>0</v>
      </c>
      <c r="D77" s="32">
        <f>SUMIFS(_CALC_ALLOC!$I$1:$I$420,_CALC_ALLOC!$AS$1:$AS$420,"2027|"&amp;$P$1,_CALC_ALLOC!$B$1:$B$420,$U77,_CALC_ALLOC!$D$1:$D$420,$W77,_CALC_ALLOC!$E$1:$E$420,$X77,_CALC_ALLOC!$F$1:$F$420,$Y77)</f>
        <v>0</v>
      </c>
      <c r="E77" s="32">
        <f>SUMIFS(_CALC_ALLOC!$AI$1:$AI$420,_CALC_ALLOC!$AS$1:$AS$420,"2027|"&amp;$P$1,_CALC_ALLOC!$B$1:$B$420,$U77,_CALC_ALLOC!$D$1:$D$420,$W77,_CALC_ALLOC!$E$1:$E$420,$X77,_CALC_ALLOC!$F$1:$F$420,$Y77)</f>
        <v>0</v>
      </c>
      <c r="F77" s="32">
        <f>SUMIFS(_CALC_ALLOC!$AJ$1:$AJ$420,_CALC_ALLOC!$AS$1:$AS$420,"2027|"&amp;$P$1,_CALC_ALLOC!$B$1:$B$420,$U77,_CALC_ALLOC!$D$1:$D$420,$W77,_CALC_ALLOC!$E$1:$E$420,$X77,_CALC_ALLOC!$F$1:$F$420,$Y77)</f>
        <v>0</v>
      </c>
      <c r="G77" s="32">
        <f>SUMIFS(_CALC_ALLOC!$AK$1:$AK$420,_CALC_ALLOC!$AS$1:$AS$420,"2027|"&amp;$P$1,_CALC_ALLOC!$B$1:$B$420,$U77,_CALC_ALLOC!$D$1:$D$420,$W77,_CALC_ALLOC!$E$1:$E$420,$X77,_CALC_ALLOC!$F$1:$F$420,$Y77)</f>
        <v>0</v>
      </c>
      <c r="H77" s="32">
        <f>SUMIFS(_CALC_ALLOC!$AL$1:$AL$420,_CALC_ALLOC!$AS$1:$AS$420,"2027|"&amp;$P$1,_CALC_ALLOC!$B$1:$B$420,$U77,_CALC_ALLOC!$D$1:$D$420,$W77,_CALC_ALLOC!$E$1:$E$420,$X77,_CALC_ALLOC!$F$1:$F$420,$Y77)</f>
        <v>0</v>
      </c>
      <c r="I77" s="32">
        <f>SUMIFS(_CALC_ALLOC!$AR$1:$AR$420,_CALC_ALLOC!$AS$1:$AS$420,"2027|"&amp;$P$1,_CALC_ALLOC!$B$1:$B$420,$U77,_CALC_ALLOC!$D$1:$D$420,$W77,_CALC_ALLOC!$E$1:$E$420,$X77,_CALC_ALLOC!$F$1:$F$420,$Y77)</f>
        <v>0</v>
      </c>
      <c r="J77" s="32">
        <f>SUMIFS(_CALC_ALLOC!$AM$1:$AM$420,_CALC_ALLOC!$AS$1:$AS$420,"2027|"&amp;$P$1,_CALC_ALLOC!$B$1:$B$420,$U77,_CALC_ALLOC!$D$1:$D$420,$W77,_CALC_ALLOC!$E$1:$E$420,$X77,_CALC_ALLOC!$F$1:$F$420,$Y77)</f>
        <v>0</v>
      </c>
      <c r="K77" s="33">
        <f t="shared" si="0"/>
        <v>0</v>
      </c>
      <c r="L77" s="34">
        <f>SUMIFS(_CALC_ALLOC!$AN$1:$AN$420,_CALC_ALLOC!$AS$1:$AS$420,"2027|"&amp;$P$1,_CALC_ALLOC!$B$1:$B$420,$U77,_CALC_ALLOC!$D$1:$D$420,$W77,_CALC_ALLOC!$E$1:$E$420,$X77,_CALC_ALLOC!$F$1:$F$420,$Y77)</f>
        <v>0</v>
      </c>
      <c r="M77" s="35">
        <f t="shared" si="1"/>
        <v>0</v>
      </c>
      <c r="T77" t="inlineStr">
        <is>
          <t>PIGIER_LYO|BAC_RH|B1|ALT</t>
        </is>
      </c>
      <c r="U77" t="inlineStr">
        <is>
          <t>PIGIER_LYO</t>
        </is>
      </c>
      <c r="V77" t="inlineStr">
        <is>
          <t>PIGIER</t>
        </is>
      </c>
      <c r="W77" t="inlineStr">
        <is>
          <t>BAC_RH</t>
        </is>
      </c>
      <c r="X77" t="inlineStr">
        <is>
          <t>B1</t>
        </is>
      </c>
      <c r="Y77" t="inlineStr">
        <is>
          <t>ALT</t>
        </is>
      </c>
      <c r="Z77">
        <v>3</v>
      </c>
    </row>
    <row r="78" spans="2:26" x14ac:dyDescent="0.45" outlineLevel="2" hidden="1">
      <c r="B78" s="30" t="s">
        <v>115</v>
      </c>
      <c r="C78" s="31">
        <f>SUMIFS(_CALC_ALLOC!$G$1:$G$420,_CALC_ALLOC!$AS$1:$AS$420,"2027|"&amp;$P$1,_CALC_ALLOC!$B$1:$B$420,$U78,_CALC_ALLOC!$D$1:$D$420,$W78,_CALC_ALLOC!$E$1:$E$420,$X78,_CALC_ALLOC!$F$1:$F$420,$Y78)</f>
        <v>0</v>
      </c>
      <c r="D78" s="32">
        <f>SUMIFS(_CALC_ALLOC!$I$1:$I$420,_CALC_ALLOC!$AS$1:$AS$420,"2027|"&amp;$P$1,_CALC_ALLOC!$B$1:$B$420,$U78,_CALC_ALLOC!$D$1:$D$420,$W78,_CALC_ALLOC!$E$1:$E$420,$X78,_CALC_ALLOC!$F$1:$F$420,$Y78)</f>
        <v>0</v>
      </c>
      <c r="E78" s="32">
        <f>SUMIFS(_CALC_ALLOC!$AI$1:$AI$420,_CALC_ALLOC!$AS$1:$AS$420,"2027|"&amp;$P$1,_CALC_ALLOC!$B$1:$B$420,$U78,_CALC_ALLOC!$D$1:$D$420,$W78,_CALC_ALLOC!$E$1:$E$420,$X78,_CALC_ALLOC!$F$1:$F$420,$Y78)</f>
        <v>0</v>
      </c>
      <c r="F78" s="32">
        <f>SUMIFS(_CALC_ALLOC!$AJ$1:$AJ$420,_CALC_ALLOC!$AS$1:$AS$420,"2027|"&amp;$P$1,_CALC_ALLOC!$B$1:$B$420,$U78,_CALC_ALLOC!$D$1:$D$420,$W78,_CALC_ALLOC!$E$1:$E$420,$X78,_CALC_ALLOC!$F$1:$F$420,$Y78)</f>
        <v>0</v>
      </c>
      <c r="G78" s="32">
        <f>SUMIFS(_CALC_ALLOC!$AK$1:$AK$420,_CALC_ALLOC!$AS$1:$AS$420,"2027|"&amp;$P$1,_CALC_ALLOC!$B$1:$B$420,$U78,_CALC_ALLOC!$D$1:$D$420,$W78,_CALC_ALLOC!$E$1:$E$420,$X78,_CALC_ALLOC!$F$1:$F$420,$Y78)</f>
        <v>0</v>
      </c>
      <c r="H78" s="32">
        <f>SUMIFS(_CALC_ALLOC!$AL$1:$AL$420,_CALC_ALLOC!$AS$1:$AS$420,"2027|"&amp;$P$1,_CALC_ALLOC!$B$1:$B$420,$U78,_CALC_ALLOC!$D$1:$D$420,$W78,_CALC_ALLOC!$E$1:$E$420,$X78,_CALC_ALLOC!$F$1:$F$420,$Y78)</f>
        <v>0</v>
      </c>
      <c r="I78" s="32">
        <f>SUMIFS(_CALC_ALLOC!$AR$1:$AR$420,_CALC_ALLOC!$AS$1:$AS$420,"2027|"&amp;$P$1,_CALC_ALLOC!$B$1:$B$420,$U78,_CALC_ALLOC!$D$1:$D$420,$W78,_CALC_ALLOC!$E$1:$E$420,$X78,_CALC_ALLOC!$F$1:$F$420,$Y78)</f>
        <v>0</v>
      </c>
      <c r="J78" s="32">
        <f>SUMIFS(_CALC_ALLOC!$AM$1:$AM$420,_CALC_ALLOC!$AS$1:$AS$420,"2027|"&amp;$P$1,_CALC_ALLOC!$B$1:$B$420,$U78,_CALC_ALLOC!$D$1:$D$420,$W78,_CALC_ALLOC!$E$1:$E$420,$X78,_CALC_ALLOC!$F$1:$F$420,$Y78)</f>
        <v>0</v>
      </c>
      <c r="K78" s="33">
        <f t="shared" si="0"/>
        <v>0</v>
      </c>
      <c r="L78" s="34">
        <f>SUMIFS(_CALC_ALLOC!$AN$1:$AN$420,_CALC_ALLOC!$AS$1:$AS$420,"2027|"&amp;$P$1,_CALC_ALLOC!$B$1:$B$420,$U78,_CALC_ALLOC!$D$1:$D$420,$W78,_CALC_ALLOC!$E$1:$E$420,$X78,_CALC_ALLOC!$F$1:$F$420,$Y78)</f>
        <v>0</v>
      </c>
      <c r="M78" s="35">
        <f t="shared" si="1"/>
        <v>0</v>
      </c>
      <c r="T78" t="inlineStr">
        <is>
          <t>PIGIER_LYO|BAC_RH|B2|ALT</t>
        </is>
      </c>
      <c r="U78" t="inlineStr">
        <is>
          <t>PIGIER_LYO</t>
        </is>
      </c>
      <c r="V78" t="inlineStr">
        <is>
          <t>PIGIER</t>
        </is>
      </c>
      <c r="W78" t="inlineStr">
        <is>
          <t>BAC_RH</t>
        </is>
      </c>
      <c r="X78" t="inlineStr">
        <is>
          <t>B2</t>
        </is>
      </c>
      <c r="Y78" t="inlineStr">
        <is>
          <t>ALT</t>
        </is>
      </c>
      <c r="Z78">
        <v>3</v>
      </c>
    </row>
    <row r="79" spans="2:26" x14ac:dyDescent="0.45" outlineLevel="2" hidden="1">
      <c r="B79" s="30" t="s">
        <v>116</v>
      </c>
      <c r="C79" s="31">
        <f>SUMIFS(_CALC_ALLOC!$G$1:$G$420,_CALC_ALLOC!$AS$1:$AS$420,"2027|"&amp;$P$1,_CALC_ALLOC!$B$1:$B$420,$U79,_CALC_ALLOC!$D$1:$D$420,$W79,_CALC_ALLOC!$E$1:$E$420,$X79,_CALC_ALLOC!$F$1:$F$420,$Y79)</f>
        <v>0</v>
      </c>
      <c r="D79" s="32">
        <f>SUMIFS(_CALC_ALLOC!$I$1:$I$420,_CALC_ALLOC!$AS$1:$AS$420,"2027|"&amp;$P$1,_CALC_ALLOC!$B$1:$B$420,$U79,_CALC_ALLOC!$D$1:$D$420,$W79,_CALC_ALLOC!$E$1:$E$420,$X79,_CALC_ALLOC!$F$1:$F$420,$Y79)</f>
        <v>0</v>
      </c>
      <c r="E79" s="32">
        <f>SUMIFS(_CALC_ALLOC!$AI$1:$AI$420,_CALC_ALLOC!$AS$1:$AS$420,"2027|"&amp;$P$1,_CALC_ALLOC!$B$1:$B$420,$U79,_CALC_ALLOC!$D$1:$D$420,$W79,_CALC_ALLOC!$E$1:$E$420,$X79,_CALC_ALLOC!$F$1:$F$420,$Y79)</f>
        <v>0</v>
      </c>
      <c r="F79" s="32">
        <f>SUMIFS(_CALC_ALLOC!$AJ$1:$AJ$420,_CALC_ALLOC!$AS$1:$AS$420,"2027|"&amp;$P$1,_CALC_ALLOC!$B$1:$B$420,$U79,_CALC_ALLOC!$D$1:$D$420,$W79,_CALC_ALLOC!$E$1:$E$420,$X79,_CALC_ALLOC!$F$1:$F$420,$Y79)</f>
        <v>0</v>
      </c>
      <c r="G79" s="32">
        <f>SUMIFS(_CALC_ALLOC!$AK$1:$AK$420,_CALC_ALLOC!$AS$1:$AS$420,"2027|"&amp;$P$1,_CALC_ALLOC!$B$1:$B$420,$U79,_CALC_ALLOC!$D$1:$D$420,$W79,_CALC_ALLOC!$E$1:$E$420,$X79,_CALC_ALLOC!$F$1:$F$420,$Y79)</f>
        <v>0</v>
      </c>
      <c r="H79" s="32">
        <f>SUMIFS(_CALC_ALLOC!$AL$1:$AL$420,_CALC_ALLOC!$AS$1:$AS$420,"2027|"&amp;$P$1,_CALC_ALLOC!$B$1:$B$420,$U79,_CALC_ALLOC!$D$1:$D$420,$W79,_CALC_ALLOC!$E$1:$E$420,$X79,_CALC_ALLOC!$F$1:$F$420,$Y79)</f>
        <v>0</v>
      </c>
      <c r="I79" s="32">
        <f>SUMIFS(_CALC_ALLOC!$AR$1:$AR$420,_CALC_ALLOC!$AS$1:$AS$420,"2027|"&amp;$P$1,_CALC_ALLOC!$B$1:$B$420,$U79,_CALC_ALLOC!$D$1:$D$420,$W79,_CALC_ALLOC!$E$1:$E$420,$X79,_CALC_ALLOC!$F$1:$F$420,$Y79)</f>
        <v>0</v>
      </c>
      <c r="J79" s="32">
        <f>SUMIFS(_CALC_ALLOC!$AM$1:$AM$420,_CALC_ALLOC!$AS$1:$AS$420,"2027|"&amp;$P$1,_CALC_ALLOC!$B$1:$B$420,$U79,_CALC_ALLOC!$D$1:$D$420,$W79,_CALC_ALLOC!$E$1:$E$420,$X79,_CALC_ALLOC!$F$1:$F$420,$Y79)</f>
        <v>0</v>
      </c>
      <c r="K79" s="33">
        <f t="shared" si="0"/>
        <v>0</v>
      </c>
      <c r="L79" s="34">
        <f>SUMIFS(_CALC_ALLOC!$AN$1:$AN$420,_CALC_ALLOC!$AS$1:$AS$420,"2027|"&amp;$P$1,_CALC_ALLOC!$B$1:$B$420,$U79,_CALC_ALLOC!$D$1:$D$420,$W79,_CALC_ALLOC!$E$1:$E$420,$X79,_CALC_ALLOC!$F$1:$F$420,$Y79)</f>
        <v>0</v>
      </c>
      <c r="M79" s="35">
        <f t="shared" si="1"/>
        <v>0</v>
      </c>
      <c r="T79" t="inlineStr">
        <is>
          <t>PIGIER_LYO|BAC_RH|B3|ALT</t>
        </is>
      </c>
      <c r="U79" t="inlineStr">
        <is>
          <t>PIGIER_LYO</t>
        </is>
      </c>
      <c r="V79" t="inlineStr">
        <is>
          <t>PIGIER</t>
        </is>
      </c>
      <c r="W79" t="inlineStr">
        <is>
          <t>BAC_RH</t>
        </is>
      </c>
      <c r="X79" t="inlineStr">
        <is>
          <t>B3</t>
        </is>
      </c>
      <c r="Y79" t="inlineStr">
        <is>
          <t>ALT</t>
        </is>
      </c>
      <c r="Z79">
        <v>3</v>
      </c>
    </row>
    <row r="80" spans="2:26" x14ac:dyDescent="0.45" outlineLevel="2" hidden="1">
      <c r="B80" s="30" t="s">
        <v>117</v>
      </c>
      <c r="C80" s="31">
        <f>SUMIFS(_CALC_ALLOC!$G$1:$G$420,_CALC_ALLOC!$AS$1:$AS$420,"2027|"&amp;$P$1,_CALC_ALLOC!$B$1:$B$420,$U80,_CALC_ALLOC!$D$1:$D$420,$W80,_CALC_ALLOC!$E$1:$E$420,$X80,_CALC_ALLOC!$F$1:$F$420,$Y80)</f>
        <v>0</v>
      </c>
      <c r="D80" s="32">
        <f>SUMIFS(_CALC_ALLOC!$I$1:$I$420,_CALC_ALLOC!$AS$1:$AS$420,"2027|"&amp;$P$1,_CALC_ALLOC!$B$1:$B$420,$U80,_CALC_ALLOC!$D$1:$D$420,$W80,_CALC_ALLOC!$E$1:$E$420,$X80,_CALC_ALLOC!$F$1:$F$420,$Y80)</f>
        <v>0</v>
      </c>
      <c r="E80" s="32">
        <f>SUMIFS(_CALC_ALLOC!$AI$1:$AI$420,_CALC_ALLOC!$AS$1:$AS$420,"2027|"&amp;$P$1,_CALC_ALLOC!$B$1:$B$420,$U80,_CALC_ALLOC!$D$1:$D$420,$W80,_CALC_ALLOC!$E$1:$E$420,$X80,_CALC_ALLOC!$F$1:$F$420,$Y80)</f>
        <v>0</v>
      </c>
      <c r="F80" s="32">
        <f>SUMIFS(_CALC_ALLOC!$AJ$1:$AJ$420,_CALC_ALLOC!$AS$1:$AS$420,"2027|"&amp;$P$1,_CALC_ALLOC!$B$1:$B$420,$U80,_CALC_ALLOC!$D$1:$D$420,$W80,_CALC_ALLOC!$E$1:$E$420,$X80,_CALC_ALLOC!$F$1:$F$420,$Y80)</f>
        <v>0</v>
      </c>
      <c r="G80" s="32">
        <f>SUMIFS(_CALC_ALLOC!$AK$1:$AK$420,_CALC_ALLOC!$AS$1:$AS$420,"2027|"&amp;$P$1,_CALC_ALLOC!$B$1:$B$420,$U80,_CALC_ALLOC!$D$1:$D$420,$W80,_CALC_ALLOC!$E$1:$E$420,$X80,_CALC_ALLOC!$F$1:$F$420,$Y80)</f>
        <v>0</v>
      </c>
      <c r="H80" s="32">
        <f>SUMIFS(_CALC_ALLOC!$AL$1:$AL$420,_CALC_ALLOC!$AS$1:$AS$420,"2027|"&amp;$P$1,_CALC_ALLOC!$B$1:$B$420,$U80,_CALC_ALLOC!$D$1:$D$420,$W80,_CALC_ALLOC!$E$1:$E$420,$X80,_CALC_ALLOC!$F$1:$F$420,$Y80)</f>
        <v>0</v>
      </c>
      <c r="I80" s="32">
        <f>SUMIFS(_CALC_ALLOC!$AR$1:$AR$420,_CALC_ALLOC!$AS$1:$AS$420,"2027|"&amp;$P$1,_CALC_ALLOC!$B$1:$B$420,$U80,_CALC_ALLOC!$D$1:$D$420,$W80,_CALC_ALLOC!$E$1:$E$420,$X80,_CALC_ALLOC!$F$1:$F$420,$Y80)</f>
        <v>0</v>
      </c>
      <c r="J80" s="32">
        <f>SUMIFS(_CALC_ALLOC!$AM$1:$AM$420,_CALC_ALLOC!$AS$1:$AS$420,"2027|"&amp;$P$1,_CALC_ALLOC!$B$1:$B$420,$U80,_CALC_ALLOC!$D$1:$D$420,$W80,_CALC_ALLOC!$E$1:$E$420,$X80,_CALC_ALLOC!$F$1:$F$420,$Y80)</f>
        <v>0</v>
      </c>
      <c r="K80" s="33">
        <f t="shared" si="0"/>
        <v>0</v>
      </c>
      <c r="L80" s="34">
        <f>SUMIFS(_CALC_ALLOC!$AN$1:$AN$420,_CALC_ALLOC!$AS$1:$AS$420,"2027|"&amp;$P$1,_CALC_ALLOC!$B$1:$B$420,$U80,_CALC_ALLOC!$D$1:$D$420,$W80,_CALC_ALLOC!$E$1:$E$420,$X80,_CALC_ALLOC!$F$1:$F$420,$Y80)</f>
        <v>0</v>
      </c>
      <c r="M80" s="35">
        <f t="shared" si="1"/>
        <v>0</v>
      </c>
      <c r="T80" t="inlineStr">
        <is>
          <t>PIGIER_LYO|BTS_GES|BTS1|ALT</t>
        </is>
      </c>
      <c r="U80" t="inlineStr">
        <is>
          <t>PIGIER_LYO</t>
        </is>
      </c>
      <c r="V80" t="inlineStr">
        <is>
          <t>PIGIER</t>
        </is>
      </c>
      <c r="W80" t="inlineStr">
        <is>
          <t>BTS_GES</t>
        </is>
      </c>
      <c r="X80" t="inlineStr">
        <is>
          <t>BTS1</t>
        </is>
      </c>
      <c r="Y80" t="inlineStr">
        <is>
          <t>ALT</t>
        </is>
      </c>
      <c r="Z80">
        <v>3</v>
      </c>
    </row>
    <row r="81" spans="2:26" x14ac:dyDescent="0.45" outlineLevel="2" hidden="1">
      <c r="B81" s="30" t="s">
        <v>118</v>
      </c>
      <c r="C81" s="31">
        <f>SUMIFS(_CALC_ALLOC!$G$1:$G$420,_CALC_ALLOC!$AS$1:$AS$420,"2027|"&amp;$P$1,_CALC_ALLOC!$B$1:$B$420,$U81,_CALC_ALLOC!$D$1:$D$420,$W81,_CALC_ALLOC!$E$1:$E$420,$X81,_CALC_ALLOC!$F$1:$F$420,$Y81)</f>
        <v>0</v>
      </c>
      <c r="D81" s="32">
        <f>SUMIFS(_CALC_ALLOC!$I$1:$I$420,_CALC_ALLOC!$AS$1:$AS$420,"2027|"&amp;$P$1,_CALC_ALLOC!$B$1:$B$420,$U81,_CALC_ALLOC!$D$1:$D$420,$W81,_CALC_ALLOC!$E$1:$E$420,$X81,_CALC_ALLOC!$F$1:$F$420,$Y81)</f>
        <v>0</v>
      </c>
      <c r="E81" s="32">
        <f>SUMIFS(_CALC_ALLOC!$AI$1:$AI$420,_CALC_ALLOC!$AS$1:$AS$420,"2027|"&amp;$P$1,_CALC_ALLOC!$B$1:$B$420,$U81,_CALC_ALLOC!$D$1:$D$420,$W81,_CALC_ALLOC!$E$1:$E$420,$X81,_CALC_ALLOC!$F$1:$F$420,$Y81)</f>
        <v>0</v>
      </c>
      <c r="F81" s="32">
        <f>SUMIFS(_CALC_ALLOC!$AJ$1:$AJ$420,_CALC_ALLOC!$AS$1:$AS$420,"2027|"&amp;$P$1,_CALC_ALLOC!$B$1:$B$420,$U81,_CALC_ALLOC!$D$1:$D$420,$W81,_CALC_ALLOC!$E$1:$E$420,$X81,_CALC_ALLOC!$F$1:$F$420,$Y81)</f>
        <v>0</v>
      </c>
      <c r="G81" s="32">
        <f>SUMIFS(_CALC_ALLOC!$AK$1:$AK$420,_CALC_ALLOC!$AS$1:$AS$420,"2027|"&amp;$P$1,_CALC_ALLOC!$B$1:$B$420,$U81,_CALC_ALLOC!$D$1:$D$420,$W81,_CALC_ALLOC!$E$1:$E$420,$X81,_CALC_ALLOC!$F$1:$F$420,$Y81)</f>
        <v>0</v>
      </c>
      <c r="H81" s="32">
        <f>SUMIFS(_CALC_ALLOC!$AL$1:$AL$420,_CALC_ALLOC!$AS$1:$AS$420,"2027|"&amp;$P$1,_CALC_ALLOC!$B$1:$B$420,$U81,_CALC_ALLOC!$D$1:$D$420,$W81,_CALC_ALLOC!$E$1:$E$420,$X81,_CALC_ALLOC!$F$1:$F$420,$Y81)</f>
        <v>0</v>
      </c>
      <c r="I81" s="32">
        <f>SUMIFS(_CALC_ALLOC!$AR$1:$AR$420,_CALC_ALLOC!$AS$1:$AS$420,"2027|"&amp;$P$1,_CALC_ALLOC!$B$1:$B$420,$U81,_CALC_ALLOC!$D$1:$D$420,$W81,_CALC_ALLOC!$E$1:$E$420,$X81,_CALC_ALLOC!$F$1:$F$420,$Y81)</f>
        <v>0</v>
      </c>
      <c r="J81" s="32">
        <f>SUMIFS(_CALC_ALLOC!$AM$1:$AM$420,_CALC_ALLOC!$AS$1:$AS$420,"2027|"&amp;$P$1,_CALC_ALLOC!$B$1:$B$420,$U81,_CALC_ALLOC!$D$1:$D$420,$W81,_CALC_ALLOC!$E$1:$E$420,$X81,_CALC_ALLOC!$F$1:$F$420,$Y81)</f>
        <v>0</v>
      </c>
      <c r="K81" s="33">
        <f t="shared" si="0"/>
        <v>0</v>
      </c>
      <c r="L81" s="34">
        <f>SUMIFS(_CALC_ALLOC!$AN$1:$AN$420,_CALC_ALLOC!$AS$1:$AS$420,"2027|"&amp;$P$1,_CALC_ALLOC!$B$1:$B$420,$U81,_CALC_ALLOC!$D$1:$D$420,$W81,_CALC_ALLOC!$E$1:$E$420,$X81,_CALC_ALLOC!$F$1:$F$420,$Y81)</f>
        <v>0</v>
      </c>
      <c r="M81" s="35">
        <f t="shared" si="1"/>
        <v>0</v>
      </c>
      <c r="T81" t="inlineStr">
        <is>
          <t>PIGIER_LYO|BTS_GES|BTS2|ALT</t>
        </is>
      </c>
      <c r="U81" t="inlineStr">
        <is>
          <t>PIGIER_LYO</t>
        </is>
      </c>
      <c r="V81" t="inlineStr">
        <is>
          <t>PIGIER</t>
        </is>
      </c>
      <c r="W81" t="inlineStr">
        <is>
          <t>BTS_GES</t>
        </is>
      </c>
      <c r="X81" t="inlineStr">
        <is>
          <t>BTS2</t>
        </is>
      </c>
      <c r="Y81" t="inlineStr">
        <is>
          <t>ALT</t>
        </is>
      </c>
      <c r="Z81">
        <v>3</v>
      </c>
    </row>
    <row r="82" spans="2:26" x14ac:dyDescent="0.45" outlineLevel="1">
      <c r="B82" s="25" t="s">
        <v>100</v>
      </c>
      <c r="C82" s="26">
        <f>SUMIFS(_CALC_ALLOC!$G$1:$G$420,_CALC_ALLOC!$AS$1:$AS$420,"2027|"&amp;$P$1,_CALC_ALLOC!$B$1:$B$420,$U82)</f>
        <v>0</v>
      </c>
      <c r="D82" s="27">
        <f>SUMIFS(_CALC_ALLOC!$I$1:$I$420,_CALC_ALLOC!$AS$1:$AS$420,"2027|"&amp;$P$1,_CALC_ALLOC!$B$1:$B$420,$U82)</f>
        <v>0</v>
      </c>
      <c r="E82" s="27">
        <f>SUMIFS(_CALC_ALLOC!$AI$1:$AI$420,_CALC_ALLOC!$AS$1:$AS$420,"2027|"&amp;$P$1,_CALC_ALLOC!$B$1:$B$420,$U82)</f>
        <v>0</v>
      </c>
      <c r="F82" s="27">
        <f>SUMIFS(_CALC_ALLOC!$AJ$1:$AJ$420,_CALC_ALLOC!$AS$1:$AS$420,"2027|"&amp;$P$1,_CALC_ALLOC!$B$1:$B$420,$U82)</f>
        <v>0</v>
      </c>
      <c r="G82" s="27">
        <f>SUMIFS(_CALC_ALLOC!$AK$1:$AK$420,_CALC_ALLOC!$AS$1:$AS$420,"2027|"&amp;$P$1,_CALC_ALLOC!$B$1:$B$420,$U82)</f>
        <v>0</v>
      </c>
      <c r="H82" s="27">
        <f>SUMIFS(_CALC_ALLOC!$AL$1:$AL$420,_CALC_ALLOC!$AS$1:$AS$420,"2027|"&amp;$P$1,_CALC_ALLOC!$B$1:$B$420,$U82)</f>
        <v>0</v>
      </c>
      <c r="I82" s="27">
        <f>SUMIFS(_CALC_ALLOC!$AR$1:$AR$420,_CALC_ALLOC!$AS$1:$AS$420,"2027|"&amp;$P$1,_CALC_ALLOC!$B$1:$B$420,$U82)</f>
        <v>0</v>
      </c>
      <c r="J82" s="27">
        <f>SUMIFS(_CALC_ALLOC!$AM$1:$AM$420,_CALC_ALLOC!$AS$1:$AS$420,"2027|"&amp;$P$1,_CALC_ALLOC!$B$1:$B$420,$U82)</f>
        <v>0</v>
      </c>
      <c r="K82" s="27">
        <f t="shared" ref="K82:K97" si="2">E82+F82+G82+H82+I82+J82</f>
        <v>0</v>
      </c>
      <c r="L82" s="28">
        <f>SUMIFS(_CALC_ALLOC!$AN$1:$AN$420,_CALC_ALLOC!$AS$1:$AS$420,"2027|"&amp;$P$1,_CALC_ALLOC!$B$1:$B$420,$U82)</f>
        <v>0</v>
      </c>
      <c r="M82" s="29">
        <f t="shared" ref="M82:M97" si="3">IF(D82=0,0,L82/D82)</f>
        <v>0</v>
      </c>
      <c r="T82" t="inlineStr">
        <is>
          <t>PIGIER_BOR</t>
        </is>
      </c>
      <c r="U82" t="inlineStr">
        <is>
          <t>PIGIER_BOR</t>
        </is>
      </c>
      <c r="V82" t="inlineStr">
        <is>
          <t>PIGIER</t>
        </is>
      </c>
      <c r="Z82">
        <v>2</v>
      </c>
    </row>
    <row r="83" spans="2:26" x14ac:dyDescent="0.45" outlineLevel="2" hidden="1">
      <c r="B83" s="30" t="s">
        <v>114</v>
      </c>
      <c r="C83" s="31">
        <f>SUMIFS(_CALC_ALLOC!$G$1:$G$420,_CALC_ALLOC!$AS$1:$AS$420,"2027|"&amp;$P$1,_CALC_ALLOC!$B$1:$B$420,$U83,_CALC_ALLOC!$D$1:$D$420,$W83,_CALC_ALLOC!$E$1:$E$420,$X83,_CALC_ALLOC!$F$1:$F$420,$Y83)</f>
        <v>0</v>
      </c>
      <c r="D83" s="32">
        <f>SUMIFS(_CALC_ALLOC!$I$1:$I$420,_CALC_ALLOC!$AS$1:$AS$420,"2027|"&amp;$P$1,_CALC_ALLOC!$B$1:$B$420,$U83,_CALC_ALLOC!$D$1:$D$420,$W83,_CALC_ALLOC!$E$1:$E$420,$X83,_CALC_ALLOC!$F$1:$F$420,$Y83)</f>
        <v>0</v>
      </c>
      <c r="E83" s="32">
        <f>SUMIFS(_CALC_ALLOC!$AI$1:$AI$420,_CALC_ALLOC!$AS$1:$AS$420,"2027|"&amp;$P$1,_CALC_ALLOC!$B$1:$B$420,$U83,_CALC_ALLOC!$D$1:$D$420,$W83,_CALC_ALLOC!$E$1:$E$420,$X83,_CALC_ALLOC!$F$1:$F$420,$Y83)</f>
        <v>0</v>
      </c>
      <c r="F83" s="32">
        <f>SUMIFS(_CALC_ALLOC!$AJ$1:$AJ$420,_CALC_ALLOC!$AS$1:$AS$420,"2027|"&amp;$P$1,_CALC_ALLOC!$B$1:$B$420,$U83,_CALC_ALLOC!$D$1:$D$420,$W83,_CALC_ALLOC!$E$1:$E$420,$X83,_CALC_ALLOC!$F$1:$F$420,$Y83)</f>
        <v>0</v>
      </c>
      <c r="G83" s="32">
        <f>SUMIFS(_CALC_ALLOC!$AK$1:$AK$420,_CALC_ALLOC!$AS$1:$AS$420,"2027|"&amp;$P$1,_CALC_ALLOC!$B$1:$B$420,$U83,_CALC_ALLOC!$D$1:$D$420,$W83,_CALC_ALLOC!$E$1:$E$420,$X83,_CALC_ALLOC!$F$1:$F$420,$Y83)</f>
        <v>0</v>
      </c>
      <c r="H83" s="32">
        <f>SUMIFS(_CALC_ALLOC!$AL$1:$AL$420,_CALC_ALLOC!$AS$1:$AS$420,"2027|"&amp;$P$1,_CALC_ALLOC!$B$1:$B$420,$U83,_CALC_ALLOC!$D$1:$D$420,$W83,_CALC_ALLOC!$E$1:$E$420,$X83,_CALC_ALLOC!$F$1:$F$420,$Y83)</f>
        <v>0</v>
      </c>
      <c r="I83" s="32">
        <f>SUMIFS(_CALC_ALLOC!$AR$1:$AR$420,_CALC_ALLOC!$AS$1:$AS$420,"2027|"&amp;$P$1,_CALC_ALLOC!$B$1:$B$420,$U83,_CALC_ALLOC!$D$1:$D$420,$W83,_CALC_ALLOC!$E$1:$E$420,$X83,_CALC_ALLOC!$F$1:$F$420,$Y83)</f>
        <v>0</v>
      </c>
      <c r="J83" s="32">
        <f>SUMIFS(_CALC_ALLOC!$AM$1:$AM$420,_CALC_ALLOC!$AS$1:$AS$420,"2027|"&amp;$P$1,_CALC_ALLOC!$B$1:$B$420,$U83,_CALC_ALLOC!$D$1:$D$420,$W83,_CALC_ALLOC!$E$1:$E$420,$X83,_CALC_ALLOC!$F$1:$F$420,$Y83)</f>
        <v>0</v>
      </c>
      <c r="K83" s="33">
        <f t="shared" si="2"/>
        <v>0</v>
      </c>
      <c r="L83" s="34">
        <f>SUMIFS(_CALC_ALLOC!$AN$1:$AN$420,_CALC_ALLOC!$AS$1:$AS$420,"2027|"&amp;$P$1,_CALC_ALLOC!$B$1:$B$420,$U83,_CALC_ALLOC!$D$1:$D$420,$W83,_CALC_ALLOC!$E$1:$E$420,$X83,_CALC_ALLOC!$F$1:$F$420,$Y83)</f>
        <v>0</v>
      </c>
      <c r="M83" s="35">
        <f t="shared" si="3"/>
        <v>0</v>
      </c>
      <c r="T83" t="inlineStr">
        <is>
          <t>PIGIER_BOR|BAC_RH|B1|ALT</t>
        </is>
      </c>
      <c r="U83" t="inlineStr">
        <is>
          <t>PIGIER_BOR</t>
        </is>
      </c>
      <c r="V83" t="inlineStr">
        <is>
          <t>PIGIER</t>
        </is>
      </c>
      <c r="W83" t="inlineStr">
        <is>
          <t>BAC_RH</t>
        </is>
      </c>
      <c r="X83" t="inlineStr">
        <is>
          <t>B1</t>
        </is>
      </c>
      <c r="Y83" t="inlineStr">
        <is>
          <t>ALT</t>
        </is>
      </c>
      <c r="Z83">
        <v>3</v>
      </c>
    </row>
    <row r="84" spans="2:26" x14ac:dyDescent="0.45" outlineLevel="2" hidden="1">
      <c r="B84" s="30" t="s">
        <v>115</v>
      </c>
      <c r="C84" s="31">
        <f>SUMIFS(_CALC_ALLOC!$G$1:$G$420,_CALC_ALLOC!$AS$1:$AS$420,"2027|"&amp;$P$1,_CALC_ALLOC!$B$1:$B$420,$U84,_CALC_ALLOC!$D$1:$D$420,$W84,_CALC_ALLOC!$E$1:$E$420,$X84,_CALC_ALLOC!$F$1:$F$420,$Y84)</f>
        <v>0</v>
      </c>
      <c r="D84" s="32">
        <f>SUMIFS(_CALC_ALLOC!$I$1:$I$420,_CALC_ALLOC!$AS$1:$AS$420,"2027|"&amp;$P$1,_CALC_ALLOC!$B$1:$B$420,$U84,_CALC_ALLOC!$D$1:$D$420,$W84,_CALC_ALLOC!$E$1:$E$420,$X84,_CALC_ALLOC!$F$1:$F$420,$Y84)</f>
        <v>0</v>
      </c>
      <c r="E84" s="32">
        <f>SUMIFS(_CALC_ALLOC!$AI$1:$AI$420,_CALC_ALLOC!$AS$1:$AS$420,"2027|"&amp;$P$1,_CALC_ALLOC!$B$1:$B$420,$U84,_CALC_ALLOC!$D$1:$D$420,$W84,_CALC_ALLOC!$E$1:$E$420,$X84,_CALC_ALLOC!$F$1:$F$420,$Y84)</f>
        <v>0</v>
      </c>
      <c r="F84" s="32">
        <f>SUMIFS(_CALC_ALLOC!$AJ$1:$AJ$420,_CALC_ALLOC!$AS$1:$AS$420,"2027|"&amp;$P$1,_CALC_ALLOC!$B$1:$B$420,$U84,_CALC_ALLOC!$D$1:$D$420,$W84,_CALC_ALLOC!$E$1:$E$420,$X84,_CALC_ALLOC!$F$1:$F$420,$Y84)</f>
        <v>0</v>
      </c>
      <c r="G84" s="32">
        <f>SUMIFS(_CALC_ALLOC!$AK$1:$AK$420,_CALC_ALLOC!$AS$1:$AS$420,"2027|"&amp;$P$1,_CALC_ALLOC!$B$1:$B$420,$U84,_CALC_ALLOC!$D$1:$D$420,$W84,_CALC_ALLOC!$E$1:$E$420,$X84,_CALC_ALLOC!$F$1:$F$420,$Y84)</f>
        <v>0</v>
      </c>
      <c r="H84" s="32">
        <f>SUMIFS(_CALC_ALLOC!$AL$1:$AL$420,_CALC_ALLOC!$AS$1:$AS$420,"2027|"&amp;$P$1,_CALC_ALLOC!$B$1:$B$420,$U84,_CALC_ALLOC!$D$1:$D$420,$W84,_CALC_ALLOC!$E$1:$E$420,$X84,_CALC_ALLOC!$F$1:$F$420,$Y84)</f>
        <v>0</v>
      </c>
      <c r="I84" s="32">
        <f>SUMIFS(_CALC_ALLOC!$AR$1:$AR$420,_CALC_ALLOC!$AS$1:$AS$420,"2027|"&amp;$P$1,_CALC_ALLOC!$B$1:$B$420,$U84,_CALC_ALLOC!$D$1:$D$420,$W84,_CALC_ALLOC!$E$1:$E$420,$X84,_CALC_ALLOC!$F$1:$F$420,$Y84)</f>
        <v>0</v>
      </c>
      <c r="J84" s="32">
        <f>SUMIFS(_CALC_ALLOC!$AM$1:$AM$420,_CALC_ALLOC!$AS$1:$AS$420,"2027|"&amp;$P$1,_CALC_ALLOC!$B$1:$B$420,$U84,_CALC_ALLOC!$D$1:$D$420,$W84,_CALC_ALLOC!$E$1:$E$420,$X84,_CALC_ALLOC!$F$1:$F$420,$Y84)</f>
        <v>0</v>
      </c>
      <c r="K84" s="33">
        <f t="shared" si="2"/>
        <v>0</v>
      </c>
      <c r="L84" s="34">
        <f>SUMIFS(_CALC_ALLOC!$AN$1:$AN$420,_CALC_ALLOC!$AS$1:$AS$420,"2027|"&amp;$P$1,_CALC_ALLOC!$B$1:$B$420,$U84,_CALC_ALLOC!$D$1:$D$420,$W84,_CALC_ALLOC!$E$1:$E$420,$X84,_CALC_ALLOC!$F$1:$F$420,$Y84)</f>
        <v>0</v>
      </c>
      <c r="M84" s="35">
        <f t="shared" si="3"/>
        <v>0</v>
      </c>
      <c r="T84" t="inlineStr">
        <is>
          <t>PIGIER_BOR|BAC_RH|B2|ALT</t>
        </is>
      </c>
      <c r="U84" t="inlineStr">
        <is>
          <t>PIGIER_BOR</t>
        </is>
      </c>
      <c r="V84" t="inlineStr">
        <is>
          <t>PIGIER</t>
        </is>
      </c>
      <c r="W84" t="inlineStr">
        <is>
          <t>BAC_RH</t>
        </is>
      </c>
      <c r="X84" t="inlineStr">
        <is>
          <t>B2</t>
        </is>
      </c>
      <c r="Y84" t="inlineStr">
        <is>
          <t>ALT</t>
        </is>
      </c>
      <c r="Z84">
        <v>3</v>
      </c>
    </row>
    <row r="85" spans="2:26" x14ac:dyDescent="0.45" outlineLevel="2" hidden="1">
      <c r="B85" s="30" t="s">
        <v>116</v>
      </c>
      <c r="C85" s="31">
        <f>SUMIFS(_CALC_ALLOC!$G$1:$G$420,_CALC_ALLOC!$AS$1:$AS$420,"2027|"&amp;$P$1,_CALC_ALLOC!$B$1:$B$420,$U85,_CALC_ALLOC!$D$1:$D$420,$W85,_CALC_ALLOC!$E$1:$E$420,$X85,_CALC_ALLOC!$F$1:$F$420,$Y85)</f>
        <v>0</v>
      </c>
      <c r="D85" s="32">
        <f>SUMIFS(_CALC_ALLOC!$I$1:$I$420,_CALC_ALLOC!$AS$1:$AS$420,"2027|"&amp;$P$1,_CALC_ALLOC!$B$1:$B$420,$U85,_CALC_ALLOC!$D$1:$D$420,$W85,_CALC_ALLOC!$E$1:$E$420,$X85,_CALC_ALLOC!$F$1:$F$420,$Y85)</f>
        <v>0</v>
      </c>
      <c r="E85" s="32">
        <f>SUMIFS(_CALC_ALLOC!$AI$1:$AI$420,_CALC_ALLOC!$AS$1:$AS$420,"2027|"&amp;$P$1,_CALC_ALLOC!$B$1:$B$420,$U85,_CALC_ALLOC!$D$1:$D$420,$W85,_CALC_ALLOC!$E$1:$E$420,$X85,_CALC_ALLOC!$F$1:$F$420,$Y85)</f>
        <v>0</v>
      </c>
      <c r="F85" s="32">
        <f>SUMIFS(_CALC_ALLOC!$AJ$1:$AJ$420,_CALC_ALLOC!$AS$1:$AS$420,"2027|"&amp;$P$1,_CALC_ALLOC!$B$1:$B$420,$U85,_CALC_ALLOC!$D$1:$D$420,$W85,_CALC_ALLOC!$E$1:$E$420,$X85,_CALC_ALLOC!$F$1:$F$420,$Y85)</f>
        <v>0</v>
      </c>
      <c r="G85" s="32">
        <f>SUMIFS(_CALC_ALLOC!$AK$1:$AK$420,_CALC_ALLOC!$AS$1:$AS$420,"2027|"&amp;$P$1,_CALC_ALLOC!$B$1:$B$420,$U85,_CALC_ALLOC!$D$1:$D$420,$W85,_CALC_ALLOC!$E$1:$E$420,$X85,_CALC_ALLOC!$F$1:$F$420,$Y85)</f>
        <v>0</v>
      </c>
      <c r="H85" s="32">
        <f>SUMIFS(_CALC_ALLOC!$AL$1:$AL$420,_CALC_ALLOC!$AS$1:$AS$420,"2027|"&amp;$P$1,_CALC_ALLOC!$B$1:$B$420,$U85,_CALC_ALLOC!$D$1:$D$420,$W85,_CALC_ALLOC!$E$1:$E$420,$X85,_CALC_ALLOC!$F$1:$F$420,$Y85)</f>
        <v>0</v>
      </c>
      <c r="I85" s="32">
        <f>SUMIFS(_CALC_ALLOC!$AR$1:$AR$420,_CALC_ALLOC!$AS$1:$AS$420,"2027|"&amp;$P$1,_CALC_ALLOC!$B$1:$B$420,$U85,_CALC_ALLOC!$D$1:$D$420,$W85,_CALC_ALLOC!$E$1:$E$420,$X85,_CALC_ALLOC!$F$1:$F$420,$Y85)</f>
        <v>0</v>
      </c>
      <c r="J85" s="32">
        <f>SUMIFS(_CALC_ALLOC!$AM$1:$AM$420,_CALC_ALLOC!$AS$1:$AS$420,"2027|"&amp;$P$1,_CALC_ALLOC!$B$1:$B$420,$U85,_CALC_ALLOC!$D$1:$D$420,$W85,_CALC_ALLOC!$E$1:$E$420,$X85,_CALC_ALLOC!$F$1:$F$420,$Y85)</f>
        <v>0</v>
      </c>
      <c r="K85" s="33">
        <f t="shared" si="2"/>
        <v>0</v>
      </c>
      <c r="L85" s="34">
        <f>SUMIFS(_CALC_ALLOC!$AN$1:$AN$420,_CALC_ALLOC!$AS$1:$AS$420,"2027|"&amp;$P$1,_CALC_ALLOC!$B$1:$B$420,$U85,_CALC_ALLOC!$D$1:$D$420,$W85,_CALC_ALLOC!$E$1:$E$420,$X85,_CALC_ALLOC!$F$1:$F$420,$Y85)</f>
        <v>0</v>
      </c>
      <c r="M85" s="35">
        <f t="shared" si="3"/>
        <v>0</v>
      </c>
      <c r="T85" t="inlineStr">
        <is>
          <t>PIGIER_BOR|BAC_RH|B3|ALT</t>
        </is>
      </c>
      <c r="U85" t="inlineStr">
        <is>
          <t>PIGIER_BOR</t>
        </is>
      </c>
      <c r="V85" t="inlineStr">
        <is>
          <t>PIGIER</t>
        </is>
      </c>
      <c r="W85" t="inlineStr">
        <is>
          <t>BAC_RH</t>
        </is>
      </c>
      <c r="X85" t="inlineStr">
        <is>
          <t>B3</t>
        </is>
      </c>
      <c r="Y85" t="inlineStr">
        <is>
          <t>ALT</t>
        </is>
      </c>
      <c r="Z85">
        <v>3</v>
      </c>
    </row>
    <row r="86" spans="2:26" collapsed="1" x14ac:dyDescent="0.45" outlineLevel="2" hidden="1">
      <c r="B86" s="30" t="s">
        <v>117</v>
      </c>
      <c r="C86" s="31">
        <f>SUMIFS(_CALC_ALLOC!$G$1:$G$420,_CALC_ALLOC!$AS$1:$AS$420,"2027|"&amp;$P$1,_CALC_ALLOC!$B$1:$B$420,$U86,_CALC_ALLOC!$D$1:$D$420,$W86,_CALC_ALLOC!$E$1:$E$420,$X86,_CALC_ALLOC!$F$1:$F$420,$Y86)</f>
        <v>0</v>
      </c>
      <c r="D86" s="32">
        <f>SUMIFS(_CALC_ALLOC!$I$1:$I$420,_CALC_ALLOC!$AS$1:$AS$420,"2027|"&amp;$P$1,_CALC_ALLOC!$B$1:$B$420,$U86,_CALC_ALLOC!$D$1:$D$420,$W86,_CALC_ALLOC!$E$1:$E$420,$X86,_CALC_ALLOC!$F$1:$F$420,$Y86)</f>
        <v>0</v>
      </c>
      <c r="E86" s="32">
        <f>SUMIFS(_CALC_ALLOC!$AI$1:$AI$420,_CALC_ALLOC!$AS$1:$AS$420,"2027|"&amp;$P$1,_CALC_ALLOC!$B$1:$B$420,$U86,_CALC_ALLOC!$D$1:$D$420,$W86,_CALC_ALLOC!$E$1:$E$420,$X86,_CALC_ALLOC!$F$1:$F$420,$Y86)</f>
        <v>0</v>
      </c>
      <c r="F86" s="32">
        <f>SUMIFS(_CALC_ALLOC!$AJ$1:$AJ$420,_CALC_ALLOC!$AS$1:$AS$420,"2027|"&amp;$P$1,_CALC_ALLOC!$B$1:$B$420,$U86,_CALC_ALLOC!$D$1:$D$420,$W86,_CALC_ALLOC!$E$1:$E$420,$X86,_CALC_ALLOC!$F$1:$F$420,$Y86)</f>
        <v>0</v>
      </c>
      <c r="G86" s="32">
        <f>SUMIFS(_CALC_ALLOC!$AK$1:$AK$420,_CALC_ALLOC!$AS$1:$AS$420,"2027|"&amp;$P$1,_CALC_ALLOC!$B$1:$B$420,$U86,_CALC_ALLOC!$D$1:$D$420,$W86,_CALC_ALLOC!$E$1:$E$420,$X86,_CALC_ALLOC!$F$1:$F$420,$Y86)</f>
        <v>0</v>
      </c>
      <c r="H86" s="32">
        <f>SUMIFS(_CALC_ALLOC!$AL$1:$AL$420,_CALC_ALLOC!$AS$1:$AS$420,"2027|"&amp;$P$1,_CALC_ALLOC!$B$1:$B$420,$U86,_CALC_ALLOC!$D$1:$D$420,$W86,_CALC_ALLOC!$E$1:$E$420,$X86,_CALC_ALLOC!$F$1:$F$420,$Y86)</f>
        <v>0</v>
      </c>
      <c r="I86" s="32">
        <f>SUMIFS(_CALC_ALLOC!$AR$1:$AR$420,_CALC_ALLOC!$AS$1:$AS$420,"2027|"&amp;$P$1,_CALC_ALLOC!$B$1:$B$420,$U86,_CALC_ALLOC!$D$1:$D$420,$W86,_CALC_ALLOC!$E$1:$E$420,$X86,_CALC_ALLOC!$F$1:$F$420,$Y86)</f>
        <v>0</v>
      </c>
      <c r="J86" s="32">
        <f>SUMIFS(_CALC_ALLOC!$AM$1:$AM$420,_CALC_ALLOC!$AS$1:$AS$420,"2027|"&amp;$P$1,_CALC_ALLOC!$B$1:$B$420,$U86,_CALC_ALLOC!$D$1:$D$420,$W86,_CALC_ALLOC!$E$1:$E$420,$X86,_CALC_ALLOC!$F$1:$F$420,$Y86)</f>
        <v>0</v>
      </c>
      <c r="K86" s="33">
        <f t="shared" si="2"/>
        <v>0</v>
      </c>
      <c r="L86" s="34">
        <f>SUMIFS(_CALC_ALLOC!$AN$1:$AN$420,_CALC_ALLOC!$AS$1:$AS$420,"2027|"&amp;$P$1,_CALC_ALLOC!$B$1:$B$420,$U86,_CALC_ALLOC!$D$1:$D$420,$W86,_CALC_ALLOC!$E$1:$E$420,$X86,_CALC_ALLOC!$F$1:$F$420,$Y86)</f>
        <v>0</v>
      </c>
      <c r="M86" s="35">
        <f t="shared" si="3"/>
        <v>0</v>
      </c>
      <c r="T86" t="inlineStr">
        <is>
          <t>PIGIER_BOR|BTS_GES|BTS1|ALT</t>
        </is>
      </c>
      <c r="U86" t="inlineStr">
        <is>
          <t>PIGIER_BOR</t>
        </is>
      </c>
      <c r="V86" t="inlineStr">
        <is>
          <t>PIGIER</t>
        </is>
      </c>
      <c r="W86" t="inlineStr">
        <is>
          <t>BTS_GES</t>
        </is>
      </c>
      <c r="X86" t="inlineStr">
        <is>
          <t>BTS1</t>
        </is>
      </c>
      <c r="Y86" t="inlineStr">
        <is>
          <t>ALT</t>
        </is>
      </c>
      <c r="Z86">
        <v>3</v>
      </c>
    </row>
    <row r="87" spans="2:26" collapsed="1" x14ac:dyDescent="0.45" outlineLevel="2" hidden="1">
      <c r="B87" s="30" t="s">
        <v>118</v>
      </c>
      <c r="C87" s="31">
        <f>SUMIFS(_CALC_ALLOC!$G$1:$G$420,_CALC_ALLOC!$AS$1:$AS$420,"2027|"&amp;$P$1,_CALC_ALLOC!$B$1:$B$420,$U87,_CALC_ALLOC!$D$1:$D$420,$W87,_CALC_ALLOC!$E$1:$E$420,$X87,_CALC_ALLOC!$F$1:$F$420,$Y87)</f>
        <v>0</v>
      </c>
      <c r="D87" s="32">
        <f>SUMIFS(_CALC_ALLOC!$I$1:$I$420,_CALC_ALLOC!$AS$1:$AS$420,"2027|"&amp;$P$1,_CALC_ALLOC!$B$1:$B$420,$U87,_CALC_ALLOC!$D$1:$D$420,$W87,_CALC_ALLOC!$E$1:$E$420,$X87,_CALC_ALLOC!$F$1:$F$420,$Y87)</f>
        <v>0</v>
      </c>
      <c r="E87" s="32">
        <f>SUMIFS(_CALC_ALLOC!$AI$1:$AI$420,_CALC_ALLOC!$AS$1:$AS$420,"2027|"&amp;$P$1,_CALC_ALLOC!$B$1:$B$420,$U87,_CALC_ALLOC!$D$1:$D$420,$W87,_CALC_ALLOC!$E$1:$E$420,$X87,_CALC_ALLOC!$F$1:$F$420,$Y87)</f>
        <v>0</v>
      </c>
      <c r="F87" s="32">
        <f>SUMIFS(_CALC_ALLOC!$AJ$1:$AJ$420,_CALC_ALLOC!$AS$1:$AS$420,"2027|"&amp;$P$1,_CALC_ALLOC!$B$1:$B$420,$U87,_CALC_ALLOC!$D$1:$D$420,$W87,_CALC_ALLOC!$E$1:$E$420,$X87,_CALC_ALLOC!$F$1:$F$420,$Y87)</f>
        <v>0</v>
      </c>
      <c r="G87" s="32">
        <f>SUMIFS(_CALC_ALLOC!$AK$1:$AK$420,_CALC_ALLOC!$AS$1:$AS$420,"2027|"&amp;$P$1,_CALC_ALLOC!$B$1:$B$420,$U87,_CALC_ALLOC!$D$1:$D$420,$W87,_CALC_ALLOC!$E$1:$E$420,$X87,_CALC_ALLOC!$F$1:$F$420,$Y87)</f>
        <v>0</v>
      </c>
      <c r="H87" s="32">
        <f>SUMIFS(_CALC_ALLOC!$AL$1:$AL$420,_CALC_ALLOC!$AS$1:$AS$420,"2027|"&amp;$P$1,_CALC_ALLOC!$B$1:$B$420,$U87,_CALC_ALLOC!$D$1:$D$420,$W87,_CALC_ALLOC!$E$1:$E$420,$X87,_CALC_ALLOC!$F$1:$F$420,$Y87)</f>
        <v>0</v>
      </c>
      <c r="I87" s="32">
        <f>SUMIFS(_CALC_ALLOC!$AR$1:$AR$420,_CALC_ALLOC!$AS$1:$AS$420,"2027|"&amp;$P$1,_CALC_ALLOC!$B$1:$B$420,$U87,_CALC_ALLOC!$D$1:$D$420,$W87,_CALC_ALLOC!$E$1:$E$420,$X87,_CALC_ALLOC!$F$1:$F$420,$Y87)</f>
        <v>0</v>
      </c>
      <c r="J87" s="32">
        <f>SUMIFS(_CALC_ALLOC!$AM$1:$AM$420,_CALC_ALLOC!$AS$1:$AS$420,"2027|"&amp;$P$1,_CALC_ALLOC!$B$1:$B$420,$U87,_CALC_ALLOC!$D$1:$D$420,$W87,_CALC_ALLOC!$E$1:$E$420,$X87,_CALC_ALLOC!$F$1:$F$420,$Y87)</f>
        <v>0</v>
      </c>
      <c r="K87" s="33">
        <f t="shared" si="2"/>
        <v>0</v>
      </c>
      <c r="L87" s="34">
        <f>SUMIFS(_CALC_ALLOC!$AN$1:$AN$420,_CALC_ALLOC!$AS$1:$AS$420,"2027|"&amp;$P$1,_CALC_ALLOC!$B$1:$B$420,$U87,_CALC_ALLOC!$D$1:$D$420,$W87,_CALC_ALLOC!$E$1:$E$420,$X87,_CALC_ALLOC!$F$1:$F$420,$Y87)</f>
        <v>0</v>
      </c>
      <c r="M87" s="35">
        <f t="shared" si="3"/>
        <v>0</v>
      </c>
      <c r="T87" t="inlineStr">
        <is>
          <t>PIGIER_BOR|BTS_GES|BTS2|ALT</t>
        </is>
      </c>
      <c r="U87" t="inlineStr">
        <is>
          <t>PIGIER_BOR</t>
        </is>
      </c>
      <c r="V87" t="inlineStr">
        <is>
          <t>PIGIER</t>
        </is>
      </c>
      <c r="W87" t="inlineStr">
        <is>
          <t>BTS_GES</t>
        </is>
      </c>
      <c r="X87" t="inlineStr">
        <is>
          <t>BTS2</t>
        </is>
      </c>
      <c r="Y87" t="inlineStr">
        <is>
          <t>ALT</t>
        </is>
      </c>
      <c r="Z87">
        <v>3</v>
      </c>
    </row>
    <row r="88" spans="2:26" x14ac:dyDescent="0.45">
      <c r="B88" s="20" t="s">
        <v>2</v>
      </c>
      <c r="C88" s="21">
        <f>SUMIFS(_CALC_ALLOC!$G$1:$G$420,_CALC_ALLOC!$AS$1:$AS$420,"2027|"&amp;$P$1,_CALC_ALLOC!$C$1:$C$420,$V88)</f>
        <v>0</v>
      </c>
      <c r="D88" s="22">
        <f>SUMIFS(_CALC_ALLOC!$I$1:$I$420,_CALC_ALLOC!$AS$1:$AS$420,"2027|"&amp;$P$1,_CALC_ALLOC!$C$1:$C$420,$V88)</f>
        <v>0</v>
      </c>
      <c r="E88" s="22">
        <f>SUMIFS(_CALC_ALLOC!$AI$1:$AI$420,_CALC_ALLOC!$AS$1:$AS$420,"2027|"&amp;$P$1,_CALC_ALLOC!$C$1:$C$420,$V88)</f>
        <v>0</v>
      </c>
      <c r="F88" s="22">
        <f>SUMIFS(_CALC_ALLOC!$AJ$1:$AJ$420,_CALC_ALLOC!$AS$1:$AS$420,"2027|"&amp;$P$1,_CALC_ALLOC!$C$1:$C$420,$V88)</f>
        <v>0</v>
      </c>
      <c r="G88" s="22">
        <f>SUMIFS(_CALC_ALLOC!$AK$1:$AK$420,_CALC_ALLOC!$AS$1:$AS$420,"2027|"&amp;$P$1,_CALC_ALLOC!$C$1:$C$420,$V88)</f>
        <v>0</v>
      </c>
      <c r="H88" s="22">
        <f>SUMIFS(_CALC_ALLOC!$AL$1:$AL$420,_CALC_ALLOC!$AS$1:$AS$420,"2027|"&amp;$P$1,_CALC_ALLOC!$C$1:$C$420,$V88)</f>
        <v>0</v>
      </c>
      <c r="I88" s="22">
        <f>SUMIFS(_CALC_ALLOC!$AR$1:$AR$420,_CALC_ALLOC!$AS$1:$AS$420,"2027|"&amp;$P$1,_CALC_ALLOC!$C$1:$C$420,$V88)</f>
        <v>0</v>
      </c>
      <c r="J88" s="22">
        <f>SUMIFS(_CALC_ALLOC!$AM$1:$AM$420,_CALC_ALLOC!$AS$1:$AS$420,"2027|"&amp;$P$1,_CALC_ALLOC!$C$1:$C$420,$V88)</f>
        <v>0</v>
      </c>
      <c r="K88" s="22">
        <f t="shared" si="2"/>
        <v>0</v>
      </c>
      <c r="L88" s="23">
        <f>SUMIFS(_CALC_ALLOC!$AN$1:$AN$420,_CALC_ALLOC!$AS$1:$AS$420,"2027|"&amp;$P$1,_CALC_ALLOC!$C$1:$C$420,$V88)</f>
        <v>0</v>
      </c>
      <c r="M88" s="24">
        <f t="shared" si="3"/>
        <v>0</v>
      </c>
      <c r="T88" t="inlineStr">
        <is>
          <t>TUNON</t>
        </is>
      </c>
      <c r="V88" t="inlineStr">
        <is>
          <t>TUNON</t>
        </is>
      </c>
      <c r="Z88">
        <v>1</v>
      </c>
    </row>
    <row r="89" spans="2:26" x14ac:dyDescent="0.45" outlineLevel="1">
      <c r="B89" s="25" t="s">
        <v>92</v>
      </c>
      <c r="C89" s="26">
        <f>SUMIFS(_CALC_ALLOC!$G$1:$G$420,_CALC_ALLOC!$AS$1:$AS$420,"2027|"&amp;$P$1,_CALC_ALLOC!$B$1:$B$420,$U89)</f>
        <v>0</v>
      </c>
      <c r="D89" s="27">
        <f>SUMIFS(_CALC_ALLOC!$I$1:$I$420,_CALC_ALLOC!$AS$1:$AS$420,"2027|"&amp;$P$1,_CALC_ALLOC!$B$1:$B$420,$U89)</f>
        <v>0</v>
      </c>
      <c r="E89" s="27">
        <f>SUMIFS(_CALC_ALLOC!$AI$1:$AI$420,_CALC_ALLOC!$AS$1:$AS$420,"2027|"&amp;$P$1,_CALC_ALLOC!$B$1:$B$420,$U89)</f>
        <v>0</v>
      </c>
      <c r="F89" s="27">
        <f>SUMIFS(_CALC_ALLOC!$AJ$1:$AJ$420,_CALC_ALLOC!$AS$1:$AS$420,"2027|"&amp;$P$1,_CALC_ALLOC!$B$1:$B$420,$U89)</f>
        <v>0</v>
      </c>
      <c r="G89" s="27">
        <f>SUMIFS(_CALC_ALLOC!$AK$1:$AK$420,_CALC_ALLOC!$AS$1:$AS$420,"2027|"&amp;$P$1,_CALC_ALLOC!$B$1:$B$420,$U89)</f>
        <v>0</v>
      </c>
      <c r="H89" s="27">
        <f>SUMIFS(_CALC_ALLOC!$AL$1:$AL$420,_CALC_ALLOC!$AS$1:$AS$420,"2027|"&amp;$P$1,_CALC_ALLOC!$B$1:$B$420,$U89)</f>
        <v>0</v>
      </c>
      <c r="I89" s="27">
        <f>SUMIFS(_CALC_ALLOC!$AR$1:$AR$420,_CALC_ALLOC!$AS$1:$AS$420,"2027|"&amp;$P$1,_CALC_ALLOC!$B$1:$B$420,$U89)</f>
        <v>0</v>
      </c>
      <c r="J89" s="27">
        <f>SUMIFS(_CALC_ALLOC!$AM$1:$AM$420,_CALC_ALLOC!$AS$1:$AS$420,"2027|"&amp;$P$1,_CALC_ALLOC!$B$1:$B$420,$U89)</f>
        <v>0</v>
      </c>
      <c r="K89" s="27">
        <f t="shared" si="2"/>
        <v>0</v>
      </c>
      <c r="L89" s="28">
        <f>SUMIFS(_CALC_ALLOC!$AN$1:$AN$420,_CALC_ALLOC!$AS$1:$AS$420,"2027|"&amp;$P$1,_CALC_ALLOC!$B$1:$B$420,$U89)</f>
        <v>0</v>
      </c>
      <c r="M89" s="29">
        <f t="shared" si="3"/>
        <v>0</v>
      </c>
      <c r="T89" t="inlineStr">
        <is>
          <t>TUNON_PAR</t>
        </is>
      </c>
      <c r="U89" t="inlineStr">
        <is>
          <t>TUNON_PAR</t>
        </is>
      </c>
      <c r="V89" t="inlineStr">
        <is>
          <t>TUNON</t>
        </is>
      </c>
      <c r="Z89">
        <v>2</v>
      </c>
    </row>
    <row r="90" spans="2:26" x14ac:dyDescent="0.45" outlineLevel="2" hidden="1">
      <c r="B90" s="30" t="s">
        <v>119</v>
      </c>
      <c r="C90" s="31">
        <f>SUMIFS(_CALC_ALLOC!$G$1:$G$420,_CALC_ALLOC!$AS$1:$AS$420,"2027|"&amp;$P$1,_CALC_ALLOC!$B$1:$B$420,$U90,_CALC_ALLOC!$D$1:$D$420,$W90,_CALC_ALLOC!$E$1:$E$420,$X90,_CALC_ALLOC!$F$1:$F$420,$Y90)</f>
        <v>0</v>
      </c>
      <c r="D90" s="32">
        <f>SUMIFS(_CALC_ALLOC!$I$1:$I$420,_CALC_ALLOC!$AS$1:$AS$420,"2027|"&amp;$P$1,_CALC_ALLOC!$B$1:$B$420,$U90,_CALC_ALLOC!$D$1:$D$420,$W90,_CALC_ALLOC!$E$1:$E$420,$X90,_CALC_ALLOC!$F$1:$F$420,$Y90)</f>
        <v>0</v>
      </c>
      <c r="E90" s="32">
        <f>SUMIFS(_CALC_ALLOC!$AI$1:$AI$420,_CALC_ALLOC!$AS$1:$AS$420,"2027|"&amp;$P$1,_CALC_ALLOC!$B$1:$B$420,$U90,_CALC_ALLOC!$D$1:$D$420,$W90,_CALC_ALLOC!$E$1:$E$420,$X90,_CALC_ALLOC!$F$1:$F$420,$Y90)</f>
        <v>0</v>
      </c>
      <c r="F90" s="32">
        <f>SUMIFS(_CALC_ALLOC!$AJ$1:$AJ$420,_CALC_ALLOC!$AS$1:$AS$420,"2027|"&amp;$P$1,_CALC_ALLOC!$B$1:$B$420,$U90,_CALC_ALLOC!$D$1:$D$420,$W90,_CALC_ALLOC!$E$1:$E$420,$X90,_CALC_ALLOC!$F$1:$F$420,$Y90)</f>
        <v>0</v>
      </c>
      <c r="G90" s="32">
        <f>SUMIFS(_CALC_ALLOC!$AK$1:$AK$420,_CALC_ALLOC!$AS$1:$AS$420,"2027|"&amp;$P$1,_CALC_ALLOC!$B$1:$B$420,$U90,_CALC_ALLOC!$D$1:$D$420,$W90,_CALC_ALLOC!$E$1:$E$420,$X90,_CALC_ALLOC!$F$1:$F$420,$Y90)</f>
        <v>0</v>
      </c>
      <c r="H90" s="32">
        <f>SUMIFS(_CALC_ALLOC!$AL$1:$AL$420,_CALC_ALLOC!$AS$1:$AS$420,"2027|"&amp;$P$1,_CALC_ALLOC!$B$1:$B$420,$U90,_CALC_ALLOC!$D$1:$D$420,$W90,_CALC_ALLOC!$E$1:$E$420,$X90,_CALC_ALLOC!$F$1:$F$420,$Y90)</f>
        <v>0</v>
      </c>
      <c r="I90" s="32">
        <f>SUMIFS(_CALC_ALLOC!$AR$1:$AR$420,_CALC_ALLOC!$AS$1:$AS$420,"2027|"&amp;$P$1,_CALC_ALLOC!$B$1:$B$420,$U90,_CALC_ALLOC!$D$1:$D$420,$W90,_CALC_ALLOC!$E$1:$E$420,$X90,_CALC_ALLOC!$F$1:$F$420,$Y90)</f>
        <v>0</v>
      </c>
      <c r="J90" s="32">
        <f>SUMIFS(_CALC_ALLOC!$AM$1:$AM$420,_CALC_ALLOC!$AS$1:$AS$420,"2027|"&amp;$P$1,_CALC_ALLOC!$B$1:$B$420,$U90,_CALC_ALLOC!$D$1:$D$420,$W90,_CALC_ALLOC!$E$1:$E$420,$X90,_CALC_ALLOC!$F$1:$F$420,$Y90)</f>
        <v>0</v>
      </c>
      <c r="K90" s="33">
        <f t="shared" si="2"/>
        <v>0</v>
      </c>
      <c r="L90" s="34">
        <f>SUMIFS(_CALC_ALLOC!$AN$1:$AN$420,_CALC_ALLOC!$AS$1:$AS$420,"2027|"&amp;$P$1,_CALC_ALLOC!$B$1:$B$420,$U90,_CALC_ALLOC!$D$1:$D$420,$W90,_CALC_ALLOC!$E$1:$E$420,$X90,_CALC_ALLOC!$F$1:$F$420,$Y90)</f>
        <v>0</v>
      </c>
      <c r="M90" s="35">
        <f t="shared" si="3"/>
        <v>0</v>
      </c>
      <c r="T90" t="inlineStr">
        <is>
          <t>TUNON_PAR|BAC_TOU|B1|ALT</t>
        </is>
      </c>
      <c r="U90" t="inlineStr">
        <is>
          <t>TUNON_PAR</t>
        </is>
      </c>
      <c r="V90" t="inlineStr">
        <is>
          <t>TUNON</t>
        </is>
      </c>
      <c r="W90" t="inlineStr">
        <is>
          <t>BAC_TOU</t>
        </is>
      </c>
      <c r="X90" t="inlineStr">
        <is>
          <t>B1</t>
        </is>
      </c>
      <c r="Y90" t="inlineStr">
        <is>
          <t>ALT</t>
        </is>
      </c>
      <c r="Z90">
        <v>3</v>
      </c>
    </row>
    <row r="91" spans="2:26" x14ac:dyDescent="0.45" outlineLevel="2" hidden="1">
      <c r="B91" s="30" t="s">
        <v>120</v>
      </c>
      <c r="C91" s="31">
        <f>SUMIFS(_CALC_ALLOC!$G$1:$G$420,_CALC_ALLOC!$AS$1:$AS$420,"2027|"&amp;$P$1,_CALC_ALLOC!$B$1:$B$420,$U91,_CALC_ALLOC!$D$1:$D$420,$W91,_CALC_ALLOC!$E$1:$E$420,$X91,_CALC_ALLOC!$F$1:$F$420,$Y91)</f>
        <v>0</v>
      </c>
      <c r="D91" s="32">
        <f>SUMIFS(_CALC_ALLOC!$I$1:$I$420,_CALC_ALLOC!$AS$1:$AS$420,"2027|"&amp;$P$1,_CALC_ALLOC!$B$1:$B$420,$U91,_CALC_ALLOC!$D$1:$D$420,$W91,_CALC_ALLOC!$E$1:$E$420,$X91,_CALC_ALLOC!$F$1:$F$420,$Y91)</f>
        <v>0</v>
      </c>
      <c r="E91" s="32">
        <f>SUMIFS(_CALC_ALLOC!$AI$1:$AI$420,_CALC_ALLOC!$AS$1:$AS$420,"2027|"&amp;$P$1,_CALC_ALLOC!$B$1:$B$420,$U91,_CALC_ALLOC!$D$1:$D$420,$W91,_CALC_ALLOC!$E$1:$E$420,$X91,_CALC_ALLOC!$F$1:$F$420,$Y91)</f>
        <v>0</v>
      </c>
      <c r="F91" s="32">
        <f>SUMIFS(_CALC_ALLOC!$AJ$1:$AJ$420,_CALC_ALLOC!$AS$1:$AS$420,"2027|"&amp;$P$1,_CALC_ALLOC!$B$1:$B$420,$U91,_CALC_ALLOC!$D$1:$D$420,$W91,_CALC_ALLOC!$E$1:$E$420,$X91,_CALC_ALLOC!$F$1:$F$420,$Y91)</f>
        <v>0</v>
      </c>
      <c r="G91" s="32">
        <f>SUMIFS(_CALC_ALLOC!$AK$1:$AK$420,_CALC_ALLOC!$AS$1:$AS$420,"2027|"&amp;$P$1,_CALC_ALLOC!$B$1:$B$420,$U91,_CALC_ALLOC!$D$1:$D$420,$W91,_CALC_ALLOC!$E$1:$E$420,$X91,_CALC_ALLOC!$F$1:$F$420,$Y91)</f>
        <v>0</v>
      </c>
      <c r="H91" s="32">
        <f>SUMIFS(_CALC_ALLOC!$AL$1:$AL$420,_CALC_ALLOC!$AS$1:$AS$420,"2027|"&amp;$P$1,_CALC_ALLOC!$B$1:$B$420,$U91,_CALC_ALLOC!$D$1:$D$420,$W91,_CALC_ALLOC!$E$1:$E$420,$X91,_CALC_ALLOC!$F$1:$F$420,$Y91)</f>
        <v>0</v>
      </c>
      <c r="I91" s="32">
        <f>SUMIFS(_CALC_ALLOC!$AR$1:$AR$420,_CALC_ALLOC!$AS$1:$AS$420,"2027|"&amp;$P$1,_CALC_ALLOC!$B$1:$B$420,$U91,_CALC_ALLOC!$D$1:$D$420,$W91,_CALC_ALLOC!$E$1:$E$420,$X91,_CALC_ALLOC!$F$1:$F$420,$Y91)</f>
        <v>0</v>
      </c>
      <c r="J91" s="32">
        <f>SUMIFS(_CALC_ALLOC!$AM$1:$AM$420,_CALC_ALLOC!$AS$1:$AS$420,"2027|"&amp;$P$1,_CALC_ALLOC!$B$1:$B$420,$U91,_CALC_ALLOC!$D$1:$D$420,$W91,_CALC_ALLOC!$E$1:$E$420,$X91,_CALC_ALLOC!$F$1:$F$420,$Y91)</f>
        <v>0</v>
      </c>
      <c r="K91" s="33">
        <f t="shared" si="2"/>
        <v>0</v>
      </c>
      <c r="L91" s="34">
        <f>SUMIFS(_CALC_ALLOC!$AN$1:$AN$420,_CALC_ALLOC!$AS$1:$AS$420,"2027|"&amp;$P$1,_CALC_ALLOC!$B$1:$B$420,$U91,_CALC_ALLOC!$D$1:$D$420,$W91,_CALC_ALLOC!$E$1:$E$420,$X91,_CALC_ALLOC!$F$1:$F$420,$Y91)</f>
        <v>0</v>
      </c>
      <c r="M91" s="35">
        <f t="shared" si="3"/>
        <v>0</v>
      </c>
      <c r="T91" t="inlineStr">
        <is>
          <t>TUNON_PAR|BAC_TOU|B2|ALT</t>
        </is>
      </c>
      <c r="U91" t="inlineStr">
        <is>
          <t>TUNON_PAR</t>
        </is>
      </c>
      <c r="V91" t="inlineStr">
        <is>
          <t>TUNON</t>
        </is>
      </c>
      <c r="W91" t="inlineStr">
        <is>
          <t>BAC_TOU</t>
        </is>
      </c>
      <c r="X91" t="inlineStr">
        <is>
          <t>B2</t>
        </is>
      </c>
      <c r="Y91" t="inlineStr">
        <is>
          <t>ALT</t>
        </is>
      </c>
      <c r="Z91">
        <v>3</v>
      </c>
    </row>
    <row r="92" spans="2:26" x14ac:dyDescent="0.45" outlineLevel="2" hidden="1">
      <c r="B92" s="30" t="s">
        <v>121</v>
      </c>
      <c r="C92" s="31">
        <f>SUMIFS(_CALC_ALLOC!$G$1:$G$420,_CALC_ALLOC!$AS$1:$AS$420,"2027|"&amp;$P$1,_CALC_ALLOC!$B$1:$B$420,$U92,_CALC_ALLOC!$D$1:$D$420,$W92,_CALC_ALLOC!$E$1:$E$420,$X92,_CALC_ALLOC!$F$1:$F$420,$Y92)</f>
        <v>0</v>
      </c>
      <c r="D92" s="32">
        <f>SUMIFS(_CALC_ALLOC!$I$1:$I$420,_CALC_ALLOC!$AS$1:$AS$420,"2027|"&amp;$P$1,_CALC_ALLOC!$B$1:$B$420,$U92,_CALC_ALLOC!$D$1:$D$420,$W92,_CALC_ALLOC!$E$1:$E$420,$X92,_CALC_ALLOC!$F$1:$F$420,$Y92)</f>
        <v>0</v>
      </c>
      <c r="E92" s="32">
        <f>SUMIFS(_CALC_ALLOC!$AI$1:$AI$420,_CALC_ALLOC!$AS$1:$AS$420,"2027|"&amp;$P$1,_CALC_ALLOC!$B$1:$B$420,$U92,_CALC_ALLOC!$D$1:$D$420,$W92,_CALC_ALLOC!$E$1:$E$420,$X92,_CALC_ALLOC!$F$1:$F$420,$Y92)</f>
        <v>0</v>
      </c>
      <c r="F92" s="32">
        <f>SUMIFS(_CALC_ALLOC!$AJ$1:$AJ$420,_CALC_ALLOC!$AS$1:$AS$420,"2027|"&amp;$P$1,_CALC_ALLOC!$B$1:$B$420,$U92,_CALC_ALLOC!$D$1:$D$420,$W92,_CALC_ALLOC!$E$1:$E$420,$X92,_CALC_ALLOC!$F$1:$F$420,$Y92)</f>
        <v>0</v>
      </c>
      <c r="G92" s="32">
        <f>SUMIFS(_CALC_ALLOC!$AK$1:$AK$420,_CALC_ALLOC!$AS$1:$AS$420,"2027|"&amp;$P$1,_CALC_ALLOC!$B$1:$B$420,$U92,_CALC_ALLOC!$D$1:$D$420,$W92,_CALC_ALLOC!$E$1:$E$420,$X92,_CALC_ALLOC!$F$1:$F$420,$Y92)</f>
        <v>0</v>
      </c>
      <c r="H92" s="32">
        <f>SUMIFS(_CALC_ALLOC!$AL$1:$AL$420,_CALC_ALLOC!$AS$1:$AS$420,"2027|"&amp;$P$1,_CALC_ALLOC!$B$1:$B$420,$U92,_CALC_ALLOC!$D$1:$D$420,$W92,_CALC_ALLOC!$E$1:$E$420,$X92,_CALC_ALLOC!$F$1:$F$420,$Y92)</f>
        <v>0</v>
      </c>
      <c r="I92" s="32">
        <f>SUMIFS(_CALC_ALLOC!$AR$1:$AR$420,_CALC_ALLOC!$AS$1:$AS$420,"2027|"&amp;$P$1,_CALC_ALLOC!$B$1:$B$420,$U92,_CALC_ALLOC!$D$1:$D$420,$W92,_CALC_ALLOC!$E$1:$E$420,$X92,_CALC_ALLOC!$F$1:$F$420,$Y92)</f>
        <v>0</v>
      </c>
      <c r="J92" s="32">
        <f>SUMIFS(_CALC_ALLOC!$AM$1:$AM$420,_CALC_ALLOC!$AS$1:$AS$420,"2027|"&amp;$P$1,_CALC_ALLOC!$B$1:$B$420,$U92,_CALC_ALLOC!$D$1:$D$420,$W92,_CALC_ALLOC!$E$1:$E$420,$X92,_CALC_ALLOC!$F$1:$F$420,$Y92)</f>
        <v>0</v>
      </c>
      <c r="K92" s="33">
        <f t="shared" si="2"/>
        <v>0</v>
      </c>
      <c r="L92" s="34">
        <f>SUMIFS(_CALC_ALLOC!$AN$1:$AN$420,_CALC_ALLOC!$AS$1:$AS$420,"2027|"&amp;$P$1,_CALC_ALLOC!$B$1:$B$420,$U92,_CALC_ALLOC!$D$1:$D$420,$W92,_CALC_ALLOC!$E$1:$E$420,$X92,_CALC_ALLOC!$F$1:$F$420,$Y92)</f>
        <v>0</v>
      </c>
      <c r="M92" s="35">
        <f t="shared" si="3"/>
        <v>0</v>
      </c>
      <c r="T92" t="inlineStr">
        <is>
          <t>TUNON_PAR|BAC_TOU|B3|ALT</t>
        </is>
      </c>
      <c r="U92" t="inlineStr">
        <is>
          <t>TUNON_PAR</t>
        </is>
      </c>
      <c r="V92" t="inlineStr">
        <is>
          <t>TUNON</t>
        </is>
      </c>
      <c r="W92" t="inlineStr">
        <is>
          <t>BAC_TOU</t>
        </is>
      </c>
      <c r="X92" t="inlineStr">
        <is>
          <t>B3</t>
        </is>
      </c>
      <c r="Y92" t="inlineStr">
        <is>
          <t>ALT</t>
        </is>
      </c>
      <c r="Z92">
        <v>3</v>
      </c>
    </row>
    <row r="93" spans="2:26" x14ac:dyDescent="0.45" outlineLevel="1">
      <c r="B93" s="25" t="s">
        <v>98</v>
      </c>
      <c r="C93" s="26">
        <f>SUMIFS(_CALC_ALLOC!$G$1:$G$420,_CALC_ALLOC!$AS$1:$AS$420,"2027|"&amp;$P$1,_CALC_ALLOC!$B$1:$B$420,$U93)</f>
        <v>0</v>
      </c>
      <c r="D93" s="27">
        <f>SUMIFS(_CALC_ALLOC!$I$1:$I$420,_CALC_ALLOC!$AS$1:$AS$420,"2027|"&amp;$P$1,_CALC_ALLOC!$B$1:$B$420,$U93)</f>
        <v>0</v>
      </c>
      <c r="E93" s="27">
        <f>SUMIFS(_CALC_ALLOC!$AI$1:$AI$420,_CALC_ALLOC!$AS$1:$AS$420,"2027|"&amp;$P$1,_CALC_ALLOC!$B$1:$B$420,$U93)</f>
        <v>0</v>
      </c>
      <c r="F93" s="27">
        <f>SUMIFS(_CALC_ALLOC!$AJ$1:$AJ$420,_CALC_ALLOC!$AS$1:$AS$420,"2027|"&amp;$P$1,_CALC_ALLOC!$B$1:$B$420,$U93)</f>
        <v>0</v>
      </c>
      <c r="G93" s="27">
        <f>SUMIFS(_CALC_ALLOC!$AK$1:$AK$420,_CALC_ALLOC!$AS$1:$AS$420,"2027|"&amp;$P$1,_CALC_ALLOC!$B$1:$B$420,$U93)</f>
        <v>0</v>
      </c>
      <c r="H93" s="27">
        <f>SUMIFS(_CALC_ALLOC!$AL$1:$AL$420,_CALC_ALLOC!$AS$1:$AS$420,"2027|"&amp;$P$1,_CALC_ALLOC!$B$1:$B$420,$U93)</f>
        <v>0</v>
      </c>
      <c r="I93" s="27">
        <f>SUMIFS(_CALC_ALLOC!$AR$1:$AR$420,_CALC_ALLOC!$AS$1:$AS$420,"2027|"&amp;$P$1,_CALC_ALLOC!$B$1:$B$420,$U93)</f>
        <v>0</v>
      </c>
      <c r="J93" s="27">
        <f>SUMIFS(_CALC_ALLOC!$AM$1:$AM$420,_CALC_ALLOC!$AS$1:$AS$420,"2027|"&amp;$P$1,_CALC_ALLOC!$B$1:$B$420,$U93)</f>
        <v>0</v>
      </c>
      <c r="K93" s="27">
        <f t="shared" si="2"/>
        <v>0</v>
      </c>
      <c r="L93" s="28">
        <f>SUMIFS(_CALC_ALLOC!$AN$1:$AN$420,_CALC_ALLOC!$AS$1:$AS$420,"2027|"&amp;$P$1,_CALC_ALLOC!$B$1:$B$420,$U93)</f>
        <v>0</v>
      </c>
      <c r="M93" s="29">
        <f t="shared" si="3"/>
        <v>0</v>
      </c>
      <c r="T93" t="inlineStr">
        <is>
          <t>TUNON_LYO</t>
        </is>
      </c>
      <c r="U93" t="inlineStr">
        <is>
          <t>TUNON_LYO</t>
        </is>
      </c>
      <c r="V93" t="inlineStr">
        <is>
          <t>TUNON</t>
        </is>
      </c>
      <c r="Z93">
        <v>2</v>
      </c>
    </row>
    <row r="94" spans="2:26" x14ac:dyDescent="0.45" outlineLevel="2" hidden="1">
      <c r="B94" s="30" t="s">
        <v>119</v>
      </c>
      <c r="C94" s="31">
        <f>SUMIFS(_CALC_ALLOC!$G$1:$G$420,_CALC_ALLOC!$AS$1:$AS$420,"2027|"&amp;$P$1,_CALC_ALLOC!$B$1:$B$420,$U94,_CALC_ALLOC!$D$1:$D$420,$W94,_CALC_ALLOC!$E$1:$E$420,$X94,_CALC_ALLOC!$F$1:$F$420,$Y94)</f>
        <v>0</v>
      </c>
      <c r="D94" s="32">
        <f>SUMIFS(_CALC_ALLOC!$I$1:$I$420,_CALC_ALLOC!$AS$1:$AS$420,"2027|"&amp;$P$1,_CALC_ALLOC!$B$1:$B$420,$U94,_CALC_ALLOC!$D$1:$D$420,$W94,_CALC_ALLOC!$E$1:$E$420,$X94,_CALC_ALLOC!$F$1:$F$420,$Y94)</f>
        <v>0</v>
      </c>
      <c r="E94" s="32">
        <f>SUMIFS(_CALC_ALLOC!$AI$1:$AI$420,_CALC_ALLOC!$AS$1:$AS$420,"2027|"&amp;$P$1,_CALC_ALLOC!$B$1:$B$420,$U94,_CALC_ALLOC!$D$1:$D$420,$W94,_CALC_ALLOC!$E$1:$E$420,$X94,_CALC_ALLOC!$F$1:$F$420,$Y94)</f>
        <v>0</v>
      </c>
      <c r="F94" s="32">
        <f>SUMIFS(_CALC_ALLOC!$AJ$1:$AJ$420,_CALC_ALLOC!$AS$1:$AS$420,"2027|"&amp;$P$1,_CALC_ALLOC!$B$1:$B$420,$U94,_CALC_ALLOC!$D$1:$D$420,$W94,_CALC_ALLOC!$E$1:$E$420,$X94,_CALC_ALLOC!$F$1:$F$420,$Y94)</f>
        <v>0</v>
      </c>
      <c r="G94" s="32">
        <f>SUMIFS(_CALC_ALLOC!$AK$1:$AK$420,_CALC_ALLOC!$AS$1:$AS$420,"2027|"&amp;$P$1,_CALC_ALLOC!$B$1:$B$420,$U94,_CALC_ALLOC!$D$1:$D$420,$W94,_CALC_ALLOC!$E$1:$E$420,$X94,_CALC_ALLOC!$F$1:$F$420,$Y94)</f>
        <v>0</v>
      </c>
      <c r="H94" s="32">
        <f>SUMIFS(_CALC_ALLOC!$AL$1:$AL$420,_CALC_ALLOC!$AS$1:$AS$420,"2027|"&amp;$P$1,_CALC_ALLOC!$B$1:$B$420,$U94,_CALC_ALLOC!$D$1:$D$420,$W94,_CALC_ALLOC!$E$1:$E$420,$X94,_CALC_ALLOC!$F$1:$F$420,$Y94)</f>
        <v>0</v>
      </c>
      <c r="I94" s="32">
        <f>SUMIFS(_CALC_ALLOC!$AR$1:$AR$420,_CALC_ALLOC!$AS$1:$AS$420,"2027|"&amp;$P$1,_CALC_ALLOC!$B$1:$B$420,$U94,_CALC_ALLOC!$D$1:$D$420,$W94,_CALC_ALLOC!$E$1:$E$420,$X94,_CALC_ALLOC!$F$1:$F$420,$Y94)</f>
        <v>0</v>
      </c>
      <c r="J94" s="32">
        <f>SUMIFS(_CALC_ALLOC!$AM$1:$AM$420,_CALC_ALLOC!$AS$1:$AS$420,"2027|"&amp;$P$1,_CALC_ALLOC!$B$1:$B$420,$U94,_CALC_ALLOC!$D$1:$D$420,$W94,_CALC_ALLOC!$E$1:$E$420,$X94,_CALC_ALLOC!$F$1:$F$420,$Y94)</f>
        <v>0</v>
      </c>
      <c r="K94" s="33">
        <f t="shared" si="2"/>
        <v>0</v>
      </c>
      <c r="L94" s="34">
        <f>SUMIFS(_CALC_ALLOC!$AN$1:$AN$420,_CALC_ALLOC!$AS$1:$AS$420,"2027|"&amp;$P$1,_CALC_ALLOC!$B$1:$B$420,$U94,_CALC_ALLOC!$D$1:$D$420,$W94,_CALC_ALLOC!$E$1:$E$420,$X94,_CALC_ALLOC!$F$1:$F$420,$Y94)</f>
        <v>0</v>
      </c>
      <c r="M94" s="35">
        <f t="shared" si="3"/>
        <v>0</v>
      </c>
      <c r="T94" t="inlineStr">
        <is>
          <t>TUNON_LYO|BAC_TOU|B1|ALT</t>
        </is>
      </c>
      <c r="U94" t="inlineStr">
        <is>
          <t>TUNON_LYO</t>
        </is>
      </c>
      <c r="V94" t="inlineStr">
        <is>
          <t>TUNON</t>
        </is>
      </c>
      <c r="W94" t="inlineStr">
        <is>
          <t>BAC_TOU</t>
        </is>
      </c>
      <c r="X94" t="inlineStr">
        <is>
          <t>B1</t>
        </is>
      </c>
      <c r="Y94" t="inlineStr">
        <is>
          <t>ALT</t>
        </is>
      </c>
      <c r="Z94">
        <v>3</v>
      </c>
    </row>
    <row r="95" spans="2:26" collapsed="1" x14ac:dyDescent="0.45" outlineLevel="2" hidden="1">
      <c r="B95" s="30" t="s">
        <v>120</v>
      </c>
      <c r="C95" s="31">
        <f>SUMIFS(_CALC_ALLOC!$G$1:$G$420,_CALC_ALLOC!$AS$1:$AS$420,"2027|"&amp;$P$1,_CALC_ALLOC!$B$1:$B$420,$U95,_CALC_ALLOC!$D$1:$D$420,$W95,_CALC_ALLOC!$E$1:$E$420,$X95,_CALC_ALLOC!$F$1:$F$420,$Y95)</f>
        <v>0</v>
      </c>
      <c r="D95" s="32">
        <f>SUMIFS(_CALC_ALLOC!$I$1:$I$420,_CALC_ALLOC!$AS$1:$AS$420,"2027|"&amp;$P$1,_CALC_ALLOC!$B$1:$B$420,$U95,_CALC_ALLOC!$D$1:$D$420,$W95,_CALC_ALLOC!$E$1:$E$420,$X95,_CALC_ALLOC!$F$1:$F$420,$Y95)</f>
        <v>0</v>
      </c>
      <c r="E95" s="32">
        <f>SUMIFS(_CALC_ALLOC!$AI$1:$AI$420,_CALC_ALLOC!$AS$1:$AS$420,"2027|"&amp;$P$1,_CALC_ALLOC!$B$1:$B$420,$U95,_CALC_ALLOC!$D$1:$D$420,$W95,_CALC_ALLOC!$E$1:$E$420,$X95,_CALC_ALLOC!$F$1:$F$420,$Y95)</f>
        <v>0</v>
      </c>
      <c r="F95" s="32">
        <f>SUMIFS(_CALC_ALLOC!$AJ$1:$AJ$420,_CALC_ALLOC!$AS$1:$AS$420,"2027|"&amp;$P$1,_CALC_ALLOC!$B$1:$B$420,$U95,_CALC_ALLOC!$D$1:$D$420,$W95,_CALC_ALLOC!$E$1:$E$420,$X95,_CALC_ALLOC!$F$1:$F$420,$Y95)</f>
        <v>0</v>
      </c>
      <c r="G95" s="32">
        <f>SUMIFS(_CALC_ALLOC!$AK$1:$AK$420,_CALC_ALLOC!$AS$1:$AS$420,"2027|"&amp;$P$1,_CALC_ALLOC!$B$1:$B$420,$U95,_CALC_ALLOC!$D$1:$D$420,$W95,_CALC_ALLOC!$E$1:$E$420,$X95,_CALC_ALLOC!$F$1:$F$420,$Y95)</f>
        <v>0</v>
      </c>
      <c r="H95" s="32">
        <f>SUMIFS(_CALC_ALLOC!$AL$1:$AL$420,_CALC_ALLOC!$AS$1:$AS$420,"2027|"&amp;$P$1,_CALC_ALLOC!$B$1:$B$420,$U95,_CALC_ALLOC!$D$1:$D$420,$W95,_CALC_ALLOC!$E$1:$E$420,$X95,_CALC_ALLOC!$F$1:$F$420,$Y95)</f>
        <v>0</v>
      </c>
      <c r="I95" s="32">
        <f>SUMIFS(_CALC_ALLOC!$AR$1:$AR$420,_CALC_ALLOC!$AS$1:$AS$420,"2027|"&amp;$P$1,_CALC_ALLOC!$B$1:$B$420,$U95,_CALC_ALLOC!$D$1:$D$420,$W95,_CALC_ALLOC!$E$1:$E$420,$X95,_CALC_ALLOC!$F$1:$F$420,$Y95)</f>
        <v>0</v>
      </c>
      <c r="J95" s="32">
        <f>SUMIFS(_CALC_ALLOC!$AM$1:$AM$420,_CALC_ALLOC!$AS$1:$AS$420,"2027|"&amp;$P$1,_CALC_ALLOC!$B$1:$B$420,$U95,_CALC_ALLOC!$D$1:$D$420,$W95,_CALC_ALLOC!$E$1:$E$420,$X95,_CALC_ALLOC!$F$1:$F$420,$Y95)</f>
        <v>0</v>
      </c>
      <c r="K95" s="33">
        <f t="shared" si="2"/>
        <v>0</v>
      </c>
      <c r="L95" s="34">
        <f>SUMIFS(_CALC_ALLOC!$AN$1:$AN$420,_CALC_ALLOC!$AS$1:$AS$420,"2027|"&amp;$P$1,_CALC_ALLOC!$B$1:$B$420,$U95,_CALC_ALLOC!$D$1:$D$420,$W95,_CALC_ALLOC!$E$1:$E$420,$X95,_CALC_ALLOC!$F$1:$F$420,$Y95)</f>
        <v>0</v>
      </c>
      <c r="M95" s="35">
        <f t="shared" si="3"/>
        <v>0</v>
      </c>
      <c r="T95" t="inlineStr">
        <is>
          <t>TUNON_LYO|BAC_TOU|B2|ALT</t>
        </is>
      </c>
      <c r="U95" t="inlineStr">
        <is>
          <t>TUNON_LYO</t>
        </is>
      </c>
      <c r="V95" t="inlineStr">
        <is>
          <t>TUNON</t>
        </is>
      </c>
      <c r="W95" t="inlineStr">
        <is>
          <t>BAC_TOU</t>
        </is>
      </c>
      <c r="X95" t="inlineStr">
        <is>
          <t>B2</t>
        </is>
      </c>
      <c r="Y95" t="inlineStr">
        <is>
          <t>ALT</t>
        </is>
      </c>
      <c r="Z95">
        <v>3</v>
      </c>
    </row>
    <row r="96" spans="2:26" x14ac:dyDescent="0.45" outlineLevel="2" hidden="1">
      <c r="B96" s="30" t="s">
        <v>121</v>
      </c>
      <c r="C96" s="31">
        <f>SUMIFS(_CALC_ALLOC!$G$1:$G$420,_CALC_ALLOC!$AS$1:$AS$420,"2027|"&amp;$P$1,_CALC_ALLOC!$B$1:$B$420,$U96,_CALC_ALLOC!$D$1:$D$420,$W96,_CALC_ALLOC!$E$1:$E$420,$X96,_CALC_ALLOC!$F$1:$F$420,$Y96)</f>
        <v>0</v>
      </c>
      <c r="D96" s="32">
        <f>SUMIFS(_CALC_ALLOC!$I$1:$I$420,_CALC_ALLOC!$AS$1:$AS$420,"2027|"&amp;$P$1,_CALC_ALLOC!$B$1:$B$420,$U96,_CALC_ALLOC!$D$1:$D$420,$W96,_CALC_ALLOC!$E$1:$E$420,$X96,_CALC_ALLOC!$F$1:$F$420,$Y96)</f>
        <v>0</v>
      </c>
      <c r="E96" s="32">
        <f>SUMIFS(_CALC_ALLOC!$AI$1:$AI$420,_CALC_ALLOC!$AS$1:$AS$420,"2027|"&amp;$P$1,_CALC_ALLOC!$B$1:$B$420,$U96,_CALC_ALLOC!$D$1:$D$420,$W96,_CALC_ALLOC!$E$1:$E$420,$X96,_CALC_ALLOC!$F$1:$F$420,$Y96)</f>
        <v>0</v>
      </c>
      <c r="F96" s="32">
        <f>SUMIFS(_CALC_ALLOC!$AJ$1:$AJ$420,_CALC_ALLOC!$AS$1:$AS$420,"2027|"&amp;$P$1,_CALC_ALLOC!$B$1:$B$420,$U96,_CALC_ALLOC!$D$1:$D$420,$W96,_CALC_ALLOC!$E$1:$E$420,$X96,_CALC_ALLOC!$F$1:$F$420,$Y96)</f>
        <v>0</v>
      </c>
      <c r="G96" s="32">
        <f>SUMIFS(_CALC_ALLOC!$AK$1:$AK$420,_CALC_ALLOC!$AS$1:$AS$420,"2027|"&amp;$P$1,_CALC_ALLOC!$B$1:$B$420,$U96,_CALC_ALLOC!$D$1:$D$420,$W96,_CALC_ALLOC!$E$1:$E$420,$X96,_CALC_ALLOC!$F$1:$F$420,$Y96)</f>
        <v>0</v>
      </c>
      <c r="H96" s="32">
        <f>SUMIFS(_CALC_ALLOC!$AL$1:$AL$420,_CALC_ALLOC!$AS$1:$AS$420,"2027|"&amp;$P$1,_CALC_ALLOC!$B$1:$B$420,$U96,_CALC_ALLOC!$D$1:$D$420,$W96,_CALC_ALLOC!$E$1:$E$420,$X96,_CALC_ALLOC!$F$1:$F$420,$Y96)</f>
        <v>0</v>
      </c>
      <c r="I96" s="32">
        <f>SUMIFS(_CALC_ALLOC!$AR$1:$AR$420,_CALC_ALLOC!$AS$1:$AS$420,"2027|"&amp;$P$1,_CALC_ALLOC!$B$1:$B$420,$U96,_CALC_ALLOC!$D$1:$D$420,$W96,_CALC_ALLOC!$E$1:$E$420,$X96,_CALC_ALLOC!$F$1:$F$420,$Y96)</f>
        <v>0</v>
      </c>
      <c r="J96" s="32">
        <f>SUMIFS(_CALC_ALLOC!$AM$1:$AM$420,_CALC_ALLOC!$AS$1:$AS$420,"2027|"&amp;$P$1,_CALC_ALLOC!$B$1:$B$420,$U96,_CALC_ALLOC!$D$1:$D$420,$W96,_CALC_ALLOC!$E$1:$E$420,$X96,_CALC_ALLOC!$F$1:$F$420,$Y96)</f>
        <v>0</v>
      </c>
      <c r="K96" s="33">
        <f t="shared" si="2"/>
        <v>0</v>
      </c>
      <c r="L96" s="34">
        <f>SUMIFS(_CALC_ALLOC!$AN$1:$AN$420,_CALC_ALLOC!$AS$1:$AS$420,"2027|"&amp;$P$1,_CALC_ALLOC!$B$1:$B$420,$U96,_CALC_ALLOC!$D$1:$D$420,$W96,_CALC_ALLOC!$E$1:$E$420,$X96,_CALC_ALLOC!$F$1:$F$420,$Y96)</f>
        <v>0</v>
      </c>
      <c r="M96" s="35">
        <f t="shared" si="3"/>
        <v>0</v>
      </c>
      <c r="T96" t="inlineStr">
        <is>
          <t>TUNON_LYO|BAC_TOU|B3|ALT</t>
        </is>
      </c>
      <c r="U96" t="inlineStr">
        <is>
          <t>TUNON_LYO</t>
        </is>
      </c>
      <c r="V96" t="inlineStr">
        <is>
          <t>TUNON</t>
        </is>
      </c>
      <c r="W96" t="inlineStr">
        <is>
          <t>BAC_TOU</t>
        </is>
      </c>
      <c r="X96" t="inlineStr">
        <is>
          <t>B3</t>
        </is>
      </c>
      <c r="Y96" t="inlineStr">
        <is>
          <t>ALT</t>
        </is>
      </c>
      <c r="Z96">
        <v>3</v>
      </c>
    </row>
    <row r="97" spans="2:26" ht="14.65" thickBot="1" x14ac:dyDescent="0.5">
      <c r="B97" s="36" t="s">
        <v>39</v>
      </c>
      <c r="C97" s="37">
        <f>SUMIFS(_CALC_ALLOC!$G$1:$G$420,_CALC_ALLOC!$AS$1:$AS$420,"2027|"&amp;$P$1)</f>
        <v>0</v>
      </c>
      <c r="D97" s="38">
        <f>SUMIFS(_CALC_ALLOC!$I$1:$I$420,_CALC_ALLOC!$AS$1:$AS$420,"2027|"&amp;$P$1)</f>
        <v>0</v>
      </c>
      <c r="E97" s="38">
        <f>SUMIFS(_CALC_ALLOC!$AI$1:$AI$420,_CALC_ALLOC!$AS$1:$AS$420,"2027|"&amp;$P$1)</f>
        <v>0</v>
      </c>
      <c r="F97" s="38">
        <f>SUMIFS(_CALC_ALLOC!$AJ$1:$AJ$420,_CALC_ALLOC!$AS$1:$AS$420,"2027|"&amp;$P$1)</f>
        <v>0</v>
      </c>
      <c r="G97" s="38">
        <f>SUMIFS(_CALC_ALLOC!$AK$1:$AK$420,_CALC_ALLOC!$AS$1:$AS$420,"2027|"&amp;$P$1)</f>
        <v>0</v>
      </c>
      <c r="H97" s="38">
        <f>SUMIFS(_CALC_ALLOC!$AL$1:$AL$420,_CALC_ALLOC!$AS$1:$AS$420,"2027|"&amp;$P$1)</f>
        <v>0</v>
      </c>
      <c r="I97" s="38">
        <f>SUMIFS(_CALC_ALLOC!$AR$1:$AR$420,_CALC_ALLOC!$AS$1:$AS$420,"2027|"&amp;$P$1)</f>
        <v>0</v>
      </c>
      <c r="J97" s="38">
        <f>SUMIFS(_CALC_ALLOC!$AM$1:$AM$420,_CALC_ALLOC!$AS$1:$AS$420,"2027|"&amp;$P$1)</f>
        <v>0</v>
      </c>
      <c r="K97" s="38">
        <f t="shared" si="2"/>
        <v>0</v>
      </c>
      <c r="L97" s="38">
        <f>SUMIFS(_CALC_ALLOC!$AN$1:$AN$420,_CALC_ALLOC!$AS$1:$AS$420,"2027|"&amp;$P$1)</f>
        <v>0</v>
      </c>
      <c r="M97" s="39">
        <f t="shared" si="3"/>
        <v>0</v>
      </c>
      <c r="T97" t="inlineStr">
        <is>
          <t>GROUPE</t>
        </is>
      </c>
      <c r="Z97">
        <v>0</v>
      </c>
    </row>
    <row r="98" spans="2:13" ht="14.65" thickTop="1" x14ac:dyDescent="0.45"/>
  </sheetData>
  <conditionalFormatting sqref="M18:M97">
    <cfRule type="colorScale" priority="1">
      <colorScale>
        <cfvo type="min"/>
        <cfvo type="percentile" val="50"/>
        <cfvo type="max"/>
        <color rgb="FFF6C9CC"/>
        <color rgb="FFFFFFFF"/>
        <color rgb="FFDCEBC0"/>
      </colorScale>
    </cfRule>
  </conditionalFormatting>
  <dataValidations count="2">
    <dataValidation type="list" sqref="C6:C9" xr:uid="{643C8AEF-C9CB-41E8-8D41-FA7157143D7E}">
      <formula1>"Chiffre d'affaires,Effectif,Nombre de classes"</formula1>
    </dataValidation>
    <dataValidation type="list" allowBlank="1" showInputMessage="1" showErrorMessage="1" sqref="C12" xr:uid="{4BBCA678-07CB-4C97-A379-6C164F56870D}">
      <formula1>$E$5:$E$7</formula1>
    </dataValidation>
  </dataValidations>
  <pageMargins left="0.7" right="0.7" top="0.75" bottom="0.75" header="0.3" footer="0.3"/>
  <customProperties>
    <customPr name="TGK_SHEET_ID" r:id="rId1"/>
  </customProperties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dimension ref="A1:AT420"/>
  <sheetViews>
    <sheetView workbookViewId="0"/>
  </sheetViews>
  <sheetFormatPr baseColWidth="10" defaultColWidth="9.06640625" defaultRowHeight="14.25" x14ac:dyDescent="0.45"/>
  <sheetData>
    <row r="1" spans="1:46" x14ac:dyDescent="0.45">
      <c r="A1" t="s">
        <v>11</v>
      </c>
      <c r="B1" t="s">
        <v>7</v>
      </c>
      <c r="C1" t="s">
        <v>17</v>
      </c>
      <c r="D1" t="s">
        <v>41</v>
      </c>
      <c r="E1" t="s">
        <v>42</v>
      </c>
      <c r="F1" t="s">
        <v>43</v>
      </c>
      <c r="G1" t="s">
        <v>13</v>
      </c>
      <c r="H1" t="s">
        <v>14</v>
      </c>
      <c r="I1" t="s">
        <v>15</v>
      </c>
      <c r="J1" t="s">
        <v>12</v>
      </c>
      <c r="K1" t="s">
        <v>44</v>
      </c>
      <c r="L1" t="s">
        <v>45</v>
      </c>
      <c r="M1" t="s">
        <v>46</v>
      </c>
      <c r="N1" t="s">
        <v>47</v>
      </c>
      <c r="O1" t="s">
        <v>48</v>
      </c>
      <c r="P1" t="s">
        <v>49</v>
      </c>
      <c r="Q1" t="s">
        <v>50</v>
      </c>
      <c r="R1" t="s">
        <v>51</v>
      </c>
      <c r="S1" t="s">
        <v>52</v>
      </c>
      <c r="T1" t="s">
        <v>53</v>
      </c>
      <c r="U1" t="s">
        <v>54</v>
      </c>
      <c r="V1" t="s">
        <v>55</v>
      </c>
      <c r="W1" t="s">
        <v>30</v>
      </c>
      <c r="X1" t="s">
        <v>31</v>
      </c>
      <c r="Y1" t="s">
        <v>32</v>
      </c>
      <c r="Z1" t="s">
        <v>56</v>
      </c>
      <c r="AA1" t="s">
        <v>57</v>
      </c>
      <c r="AB1" t="s">
        <v>58</v>
      </c>
      <c r="AC1" t="s">
        <v>59</v>
      </c>
      <c r="AD1" t="s">
        <v>60</v>
      </c>
      <c r="AE1" t="s">
        <v>61</v>
      </c>
      <c r="AF1" t="s">
        <v>62</v>
      </c>
      <c r="AG1" t="s">
        <v>63</v>
      </c>
      <c r="AH1" t="s">
        <v>64</v>
      </c>
      <c r="AI1" t="s">
        <v>18</v>
      </c>
      <c r="AJ1" t="s">
        <v>19</v>
      </c>
      <c r="AK1" t="s">
        <v>20</v>
      </c>
      <c r="AL1" t="s">
        <v>21</v>
      </c>
      <c r="AM1" t="s">
        <v>22</v>
      </c>
      <c r="AN1" t="s">
        <v>65</v>
      </c>
      <c r="AO1" t="s">
        <v>66</v>
      </c>
      <c r="AP1" t="s">
        <v>67</v>
      </c>
      <c r="AQ1" t="s">
        <v>68</v>
      </c>
      <c r="AR1" t="s">
        <v>69</v>
      </c>
      <c r="AS1" t="s">
        <v>83</v>
      </c>
      <c r="AT1" t="s">
        <v>40</v>
      </c>
    </row>
    <row r="2" spans="1:46" x14ac:dyDescent="0.45">
      <c r="A2" t="str">
        <f>IF(Allocation!BI2="","",Allocation!BI2)</f>
        <v/>
      </c>
      <c r="B2" t="str">
        <f>IF(Allocation!BJ2="","",Allocation!BJ2)</f>
        <v/>
      </c>
      <c r="C2" t="str">
        <f>IF(Allocation!BK2="","",Allocation!BK2)</f>
        <v/>
      </c>
      <c r="D2" t="str">
        <f>IF(Allocation!BL2="","",Allocation!BL2)</f>
        <v/>
      </c>
      <c r="E2" t="str">
        <f>IF(Allocation!BM2="","",Allocation!BM2)</f>
        <v/>
      </c>
      <c r="F2" t="str">
        <f>IF(Allocation!BN2="","",Allocation!BN2)</f>
        <v/>
      </c>
      <c r="G2" t="str">
        <f>IF(Allocation!BO2="","",Allocation!BO2)</f>
        <v/>
      </c>
      <c r="H2" t="str">
        <f>IF(Allocation!BP2="","",Allocation!BP2)</f>
        <v/>
      </c>
      <c r="I2" t="str">
        <f>IF(Allocation!BQ2="","",Allocation!BQ2)</f>
        <v/>
      </c>
      <c r="J2" t="str">
        <f>IF(Allocation!CC2="","",Allocation!CC2)</f>
        <v/>
      </c>
      <c r="K2" t="str">
        <f t="shared" ref="K2:K65" si="0">IF($A2="","",$H2*IF(AND(LEFT($D2,3)="BAC",$F2="INIT"),600,IF(LEFT($D2,3)="BAC",480,IF(AND(LEFT($D2,3)="MAS",$F2="INIT"),520,IF(LEFT($D2,3)="MAS",420,IF($F2="INIT",1000,700))))))</f>
        <v/>
      </c>
      <c r="L2" t="str">
        <f t="shared" ref="L2:L65" si="1">IF($A2="","",SUMIFS($G$1:$G$349,$AS$1:$AS$349,$AS2,$B$1:$B$349,$B2))</f>
        <v/>
      </c>
      <c r="M2" t="str">
        <f t="shared" ref="M2:M65" si="2">IF($A2="","",SUMIFS($H$1:$H$349,$AS$1:$AS$349,$AS2,$B$1:$B$349,$B2))</f>
        <v/>
      </c>
      <c r="N2" t="str">
        <f t="shared" ref="N2:N65" si="3">IF($A2="","",SUMIFS($I$1:$I$349,$AS$1:$AS$349,$AS2,$B$1:$B$349,$B2))</f>
        <v/>
      </c>
      <c r="O2" t="str">
        <f t="shared" ref="O2:O65" si="4">IF($A2="","",SUMIFS($K$1:$K$349,$AS$1:$AS$349,$AS2,$B$1:$B$349,$B2))</f>
        <v/>
      </c>
      <c r="P2" t="str">
        <f t="shared" ref="P2:P65" si="5">IF($A2="","",SUMIFS($J$1:$J$349,$AS$1:$AS$349,$AS2,$B$1:$B$349,$B2))</f>
        <v/>
      </c>
      <c r="Q2" t="str">
        <f t="shared" ref="Q2:Q65" si="6">IF($A2="","",SUMIFS($G$1:$G$349,$AS$1:$AS$349,$AS2,$C$1:$C$349,$C2))</f>
        <v/>
      </c>
      <c r="R2" t="str">
        <f t="shared" ref="R2:R65" si="7">IF($A2="","",SUMIFS($H$1:$H$349,$AS$1:$AS$349,$AS2,$C$1:$C$349,$C2))</f>
        <v/>
      </c>
      <c r="S2" t="str">
        <f t="shared" ref="S2:S65" si="8">IF($A2="","",SUMIFS($I$1:$I$349,$AS$1:$AS$349,$AS2,$C$1:$C$349,$C2))</f>
        <v/>
      </c>
      <c r="T2" t="str">
        <f t="shared" ref="T2:T65" si="9">IF($A2="","",SUMIFS($G$1:$G$349,$AS$1:$AS$349,$AS2))</f>
        <v/>
      </c>
      <c r="U2" t="str">
        <f t="shared" ref="U2:U65" si="10">IF($A2="","",SUMIFS($H$1:$H$349,$AS$1:$AS$349,$AS2))</f>
        <v/>
      </c>
      <c r="V2" t="str">
        <f t="shared" ref="V2:V65" si="11">IF($A2="","",SUMIFS($I$1:$I$349,$AS$1:$AS$349,$AS2))</f>
        <v/>
      </c>
      <c r="W2" t="str">
        <f>IF($A2="","",Allocation!CD2)</f>
        <v/>
      </c>
      <c r="X2" t="str">
        <f>IF($A2="","",Allocation!CE2)</f>
        <v/>
      </c>
      <c r="Y2" t="str">
        <f>IF($A2="","",Allocation!CF2)</f>
        <v/>
      </c>
      <c r="Z2" t="str">
        <f>IF($A2="","",Allocation!CG2)</f>
        <v/>
      </c>
      <c r="AA2" t="str">
        <f>IF($A2="","",Allocation!CH2)</f>
        <v/>
      </c>
      <c r="AB2" t="str">
        <f>IF($A2="","",Allocation!CI2)</f>
        <v/>
      </c>
      <c r="AC2" t="str">
        <f>IF($A2="","",IF(Allocation!$N$4="VOL_EFF",$G2,IF(Allocation!$N$4="VOL_CLASS",$H2,$I2)))</f>
        <v/>
      </c>
      <c r="AD2" t="str">
        <f>IF($A2="","",IF(Allocation!$N$4="VOL_EFF",$L2,IF(Allocation!$N$4="VOL_CLASS",$M2,$N2)))</f>
        <v/>
      </c>
      <c r="AE2" t="str">
        <f>IF($A2="","",IF(Allocation!$N$3="VOL_EFF",$L2,IF(Allocation!$N$3="VOL_CLASS",$M2,$N2)))</f>
        <v/>
      </c>
      <c r="AF2" t="str">
        <f>IF($A2="","",IF(Allocation!$N$3="VOL_EFF",$Q2,IF(Allocation!$N$3="VOL_CLASS",$R2,$S2)))</f>
        <v/>
      </c>
      <c r="AG2" t="str">
        <f>IF($A2="","",IF(Allocation!$N$1="VOL_EFF",$Q2,IF(Allocation!$N$1="VOL_CLASS",$R2,$S2)))</f>
        <v/>
      </c>
      <c r="AH2" t="str">
        <f>IF($A2="","",IF(Allocation!$N$1="VOL_EFF",$T2,IF(Allocation!$N$1="VOL_CLASS",$U2,$V2)))</f>
        <v/>
      </c>
      <c r="AI2" t="str">
        <f t="shared" ref="AI2:AI65" si="12">IF($A2="","",$W2*IFERROR($K2/$O2,0))</f>
        <v/>
      </c>
      <c r="AJ2" t="str">
        <f t="shared" ref="AJ2:AJ65" si="13">IF($A2="","",$X2*IFERROR($K2/$O2,0))</f>
        <v/>
      </c>
      <c r="AK2" t="str">
        <f t="shared" ref="AK2:AK65" si="14">IF($A2="","",$Y2*IFERROR($G2/$L2,0)+$Z2*IFERROR($J2/$P2,0))</f>
        <v/>
      </c>
      <c r="AL2" t="str">
        <f t="shared" ref="AL2:AL65" si="15">IF($A2="","",$AA2*IFERROR($AC2/$AD2,0))</f>
        <v/>
      </c>
      <c r="AM2" t="str">
        <f t="shared" ref="AM2:AM65" si="16">IF($A2="","",$AB2*IFERROR($AG2/$AH2,0)*IFERROR($AE2/$AF2,0)*IFERROR($AC2/$AD2,0))</f>
        <v/>
      </c>
      <c r="AN2" t="str">
        <f t="shared" ref="AN2:AN65" si="17">IF($A2="","",$I2-($AI2+$AJ2+$AK2+$AL2+$AM2+$AR2))</f>
        <v/>
      </c>
      <c r="AO2" t="str">
        <f>IF($A2="","",Allocation!CJ2)</f>
        <v/>
      </c>
      <c r="AP2" t="str">
        <f>IF($A2="","",IF(Allocation!$N$2="VOL_EFF",$Q2,IF(Allocation!$N$2="VOL_CLASS",$R2,$S2)))</f>
        <v/>
      </c>
      <c r="AQ2" t="str">
        <f>IF($A2="","",IF(Allocation!$N$2="VOL_EFF",$T2,IF(Allocation!$N$2="VOL_CLASS",$U2,$V2)))</f>
        <v/>
      </c>
      <c r="AR2" t="str">
        <f t="shared" ref="AR2:AR65" si="18">IF($A2="","",$AO2*IFERROR($AP2/$AQ2,0)*IFERROR($AE2/$AF2,0)*IFERROR($AC2/$AD2,0))</f>
        <v/>
      </c>
      <c r="AS2" t="str">
        <f>IF($A2="","",$A2&amp;"|"&amp;Allocation!BG2)</f>
        <v/>
      </c>
    </row>
    <row r="3" spans="1:46" x14ac:dyDescent="0.45">
      <c r="A3" t="str">
        <f>IF(Allocation!BI3="","",Allocation!BI3)</f>
        <v/>
      </c>
      <c r="B3" t="str">
        <f>IF(Allocation!BJ3="","",Allocation!BJ3)</f>
        <v/>
      </c>
      <c r="C3" t="str">
        <f>IF(Allocation!BK3="","",Allocation!BK3)</f>
        <v/>
      </c>
      <c r="D3" t="str">
        <f>IF(Allocation!BL3="","",Allocation!BL3)</f>
        <v/>
      </c>
      <c r="E3" t="str">
        <f>IF(Allocation!BM3="","",Allocation!BM3)</f>
        <v/>
      </c>
      <c r="F3" t="str">
        <f>IF(Allocation!BN3="","",Allocation!BN3)</f>
        <v/>
      </c>
      <c r="G3" t="str">
        <f>IF(Allocation!BO3="","",Allocation!BO3)</f>
        <v/>
      </c>
      <c r="H3" t="str">
        <f>IF(Allocation!BP3="","",Allocation!BP3)</f>
        <v/>
      </c>
      <c r="I3" t="str">
        <f>IF(Allocation!BQ3="","",Allocation!BQ3)</f>
        <v/>
      </c>
      <c r="J3" t="str">
        <f>IF(Allocation!CC3="","",Allocation!CC3)</f>
        <v/>
      </c>
      <c r="K3" t="str">
        <f t="shared" si="0"/>
        <v/>
      </c>
      <c r="L3" t="str">
        <f t="shared" si="1"/>
        <v/>
      </c>
      <c r="M3" t="str">
        <f t="shared" si="2"/>
        <v/>
      </c>
      <c r="N3" t="str">
        <f t="shared" si="3"/>
        <v/>
      </c>
      <c r="O3" t="str">
        <f t="shared" si="4"/>
        <v/>
      </c>
      <c r="P3" t="str">
        <f t="shared" si="5"/>
        <v/>
      </c>
      <c r="Q3" t="str">
        <f t="shared" si="6"/>
        <v/>
      </c>
      <c r="R3" t="str">
        <f t="shared" si="7"/>
        <v/>
      </c>
      <c r="S3" t="str">
        <f t="shared" si="8"/>
        <v/>
      </c>
      <c r="T3" t="str">
        <f t="shared" si="9"/>
        <v/>
      </c>
      <c r="U3" t="str">
        <f t="shared" si="10"/>
        <v/>
      </c>
      <c r="V3" t="str">
        <f t="shared" si="11"/>
        <v/>
      </c>
      <c r="W3" t="str">
        <f>IF($A3="","",Allocation!CD3)</f>
        <v/>
      </c>
      <c r="X3" t="str">
        <f>IF($A3="","",Allocation!CE3)</f>
        <v/>
      </c>
      <c r="Y3" t="str">
        <f>IF($A3="","",Allocation!CF3)</f>
        <v/>
      </c>
      <c r="Z3" t="str">
        <f>IF($A3="","",Allocation!CG3)</f>
        <v/>
      </c>
      <c r="AA3" t="str">
        <f>IF($A3="","",Allocation!CH3)</f>
        <v/>
      </c>
      <c r="AB3" t="str">
        <f>IF($A3="","",Allocation!CI3)</f>
        <v/>
      </c>
      <c r="AC3" t="str">
        <f>IF($A3="","",IF(Allocation!$N$4="VOL_EFF",$G3,IF(Allocation!$N$4="VOL_CLASS",$H3,$I3)))</f>
        <v/>
      </c>
      <c r="AD3" t="str">
        <f>IF($A3="","",IF(Allocation!$N$4="VOL_EFF",$L3,IF(Allocation!$N$4="VOL_CLASS",$M3,$N3)))</f>
        <v/>
      </c>
      <c r="AE3" t="str">
        <f>IF($A3="","",IF(Allocation!$N$3="VOL_EFF",$L3,IF(Allocation!$N$3="VOL_CLASS",$M3,$N3)))</f>
        <v/>
      </c>
      <c r="AF3" t="str">
        <f>IF($A3="","",IF(Allocation!$N$3="VOL_EFF",$Q3,IF(Allocation!$N$3="VOL_CLASS",$R3,$S3)))</f>
        <v/>
      </c>
      <c r="AG3" t="str">
        <f>IF($A3="","",IF(Allocation!$N$1="VOL_EFF",$Q3,IF(Allocation!$N$1="VOL_CLASS",$R3,$S3)))</f>
        <v/>
      </c>
      <c r="AH3" t="str">
        <f>IF($A3="","",IF(Allocation!$N$1="VOL_EFF",$T3,IF(Allocation!$N$1="VOL_CLASS",$U3,$V3)))</f>
        <v/>
      </c>
      <c r="AI3" t="str">
        <f t="shared" si="12"/>
        <v/>
      </c>
      <c r="AJ3" t="str">
        <f t="shared" si="13"/>
        <v/>
      </c>
      <c r="AK3" t="str">
        <f t="shared" si="14"/>
        <v/>
      </c>
      <c r="AL3" t="str">
        <f t="shared" si="15"/>
        <v/>
      </c>
      <c r="AM3" t="str">
        <f t="shared" si="16"/>
        <v/>
      </c>
      <c r="AN3" t="str">
        <f t="shared" si="17"/>
        <v/>
      </c>
      <c r="AO3" t="str">
        <f>IF($A3="","",Allocation!CJ3)</f>
        <v/>
      </c>
      <c r="AP3" t="str">
        <f>IF($A3="","",IF(Allocation!$N$2="VOL_EFF",$Q3,IF(Allocation!$N$2="VOL_CLASS",$R3,$S3)))</f>
        <v/>
      </c>
      <c r="AQ3" t="str">
        <f>IF($A3="","",IF(Allocation!$N$2="VOL_EFF",$T3,IF(Allocation!$N$2="VOL_CLASS",$U3,$V3)))</f>
        <v/>
      </c>
      <c r="AR3" t="str">
        <f t="shared" si="18"/>
        <v/>
      </c>
      <c r="AS3" t="str">
        <f>IF($A3="","",$A3&amp;"|"&amp;Allocation!BG3)</f>
        <v/>
      </c>
    </row>
    <row r="4" spans="1:46" x14ac:dyDescent="0.45">
      <c r="A4" t="str">
        <f>IF(Allocation!BI4="","",Allocation!BI4)</f>
        <v/>
      </c>
      <c r="B4" t="str">
        <f>IF(Allocation!BJ4="","",Allocation!BJ4)</f>
        <v/>
      </c>
      <c r="C4" t="str">
        <f>IF(Allocation!BK4="","",Allocation!BK4)</f>
        <v/>
      </c>
      <c r="D4" t="str">
        <f>IF(Allocation!BL4="","",Allocation!BL4)</f>
        <v/>
      </c>
      <c r="E4" t="str">
        <f>IF(Allocation!BM4="","",Allocation!BM4)</f>
        <v/>
      </c>
      <c r="F4" t="str">
        <f>IF(Allocation!BN4="","",Allocation!BN4)</f>
        <v/>
      </c>
      <c r="G4" t="str">
        <f>IF(Allocation!BO4="","",Allocation!BO4)</f>
        <v/>
      </c>
      <c r="H4" t="str">
        <f>IF(Allocation!BP4="","",Allocation!BP4)</f>
        <v/>
      </c>
      <c r="I4" t="str">
        <f>IF(Allocation!BQ4="","",Allocation!BQ4)</f>
        <v/>
      </c>
      <c r="J4" t="str">
        <f>IF(Allocation!CC4="","",Allocation!CC4)</f>
        <v/>
      </c>
      <c r="K4" t="str">
        <f t="shared" si="0"/>
        <v/>
      </c>
      <c r="L4" t="str">
        <f t="shared" si="1"/>
        <v/>
      </c>
      <c r="M4" t="str">
        <f t="shared" si="2"/>
        <v/>
      </c>
      <c r="N4" t="str">
        <f t="shared" si="3"/>
        <v/>
      </c>
      <c r="O4" t="str">
        <f t="shared" si="4"/>
        <v/>
      </c>
      <c r="P4" t="str">
        <f t="shared" si="5"/>
        <v/>
      </c>
      <c r="Q4" t="str">
        <f t="shared" si="6"/>
        <v/>
      </c>
      <c r="R4" t="str">
        <f t="shared" si="7"/>
        <v/>
      </c>
      <c r="S4" t="str">
        <f t="shared" si="8"/>
        <v/>
      </c>
      <c r="T4" t="str">
        <f t="shared" si="9"/>
        <v/>
      </c>
      <c r="U4" t="str">
        <f t="shared" si="10"/>
        <v/>
      </c>
      <c r="V4" t="str">
        <f t="shared" si="11"/>
        <v/>
      </c>
      <c r="W4" t="str">
        <f>IF($A4="","",Allocation!CD4)</f>
        <v/>
      </c>
      <c r="X4" t="str">
        <f>IF($A4="","",Allocation!CE4)</f>
        <v/>
      </c>
      <c r="Y4" t="str">
        <f>IF($A4="","",Allocation!CF4)</f>
        <v/>
      </c>
      <c r="Z4" t="str">
        <f>IF($A4="","",Allocation!CG4)</f>
        <v/>
      </c>
      <c r="AA4" t="str">
        <f>IF($A4="","",Allocation!CH4)</f>
        <v/>
      </c>
      <c r="AB4" t="str">
        <f>IF($A4="","",Allocation!CI4)</f>
        <v/>
      </c>
      <c r="AC4" t="str">
        <f>IF($A4="","",IF(Allocation!$N$4="VOL_EFF",$G4,IF(Allocation!$N$4="VOL_CLASS",$H4,$I4)))</f>
        <v/>
      </c>
      <c r="AD4" t="str">
        <f>IF($A4="","",IF(Allocation!$N$4="VOL_EFF",$L4,IF(Allocation!$N$4="VOL_CLASS",$M4,$N4)))</f>
        <v/>
      </c>
      <c r="AE4" t="str">
        <f>IF($A4="","",IF(Allocation!$N$3="VOL_EFF",$L4,IF(Allocation!$N$3="VOL_CLASS",$M4,$N4)))</f>
        <v/>
      </c>
      <c r="AF4" t="str">
        <f>IF($A4="","",IF(Allocation!$N$3="VOL_EFF",$Q4,IF(Allocation!$N$3="VOL_CLASS",$R4,$S4)))</f>
        <v/>
      </c>
      <c r="AG4" t="str">
        <f>IF($A4="","",IF(Allocation!$N$1="VOL_EFF",$Q4,IF(Allocation!$N$1="VOL_CLASS",$R4,$S4)))</f>
        <v/>
      </c>
      <c r="AH4" t="str">
        <f>IF($A4="","",IF(Allocation!$N$1="VOL_EFF",$T4,IF(Allocation!$N$1="VOL_CLASS",$U4,$V4)))</f>
        <v/>
      </c>
      <c r="AI4" t="str">
        <f t="shared" si="12"/>
        <v/>
      </c>
      <c r="AJ4" t="str">
        <f t="shared" si="13"/>
        <v/>
      </c>
      <c r="AK4" t="str">
        <f t="shared" si="14"/>
        <v/>
      </c>
      <c r="AL4" t="str">
        <f t="shared" si="15"/>
        <v/>
      </c>
      <c r="AM4" t="str">
        <f t="shared" si="16"/>
        <v/>
      </c>
      <c r="AN4" t="str">
        <f t="shared" si="17"/>
        <v/>
      </c>
      <c r="AO4" t="str">
        <f>IF($A4="","",Allocation!CJ4)</f>
        <v/>
      </c>
      <c r="AP4" t="str">
        <f>IF($A4="","",IF(Allocation!$N$2="VOL_EFF",$Q4,IF(Allocation!$N$2="VOL_CLASS",$R4,$S4)))</f>
        <v/>
      </c>
      <c r="AQ4" t="str">
        <f>IF($A4="","",IF(Allocation!$N$2="VOL_EFF",$T4,IF(Allocation!$N$2="VOL_CLASS",$U4,$V4)))</f>
        <v/>
      </c>
      <c r="AR4" t="str">
        <f t="shared" si="18"/>
        <v/>
      </c>
      <c r="AS4" t="str">
        <f>IF($A4="","",$A4&amp;"|"&amp;Allocation!BG4)</f>
        <v/>
      </c>
    </row>
    <row r="5" spans="1:46" x14ac:dyDescent="0.45">
      <c r="A5" t="str">
        <f>IF(Allocation!BI5="","",Allocation!BI5)</f>
        <v/>
      </c>
      <c r="B5" t="str">
        <f>IF(Allocation!BJ5="","",Allocation!BJ5)</f>
        <v/>
      </c>
      <c r="C5" t="str">
        <f>IF(Allocation!BK5="","",Allocation!BK5)</f>
        <v/>
      </c>
      <c r="D5" t="str">
        <f>IF(Allocation!BL5="","",Allocation!BL5)</f>
        <v/>
      </c>
      <c r="E5" t="str">
        <f>IF(Allocation!BM5="","",Allocation!BM5)</f>
        <v/>
      </c>
      <c r="F5" t="str">
        <f>IF(Allocation!BN5="","",Allocation!BN5)</f>
        <v/>
      </c>
      <c r="G5" t="str">
        <f>IF(Allocation!BO5="","",Allocation!BO5)</f>
        <v/>
      </c>
      <c r="H5" t="str">
        <f>IF(Allocation!BP5="","",Allocation!BP5)</f>
        <v/>
      </c>
      <c r="I5" t="str">
        <f>IF(Allocation!BQ5="","",Allocation!BQ5)</f>
        <v/>
      </c>
      <c r="J5" t="str">
        <f>IF(Allocation!CC5="","",Allocation!CC5)</f>
        <v/>
      </c>
      <c r="K5" t="str">
        <f t="shared" si="0"/>
        <v/>
      </c>
      <c r="L5" t="str">
        <f t="shared" si="1"/>
        <v/>
      </c>
      <c r="M5" t="str">
        <f t="shared" si="2"/>
        <v/>
      </c>
      <c r="N5" t="str">
        <f t="shared" si="3"/>
        <v/>
      </c>
      <c r="O5" t="str">
        <f t="shared" si="4"/>
        <v/>
      </c>
      <c r="P5" t="str">
        <f t="shared" si="5"/>
        <v/>
      </c>
      <c r="Q5" t="str">
        <f t="shared" si="6"/>
        <v/>
      </c>
      <c r="R5" t="str">
        <f t="shared" si="7"/>
        <v/>
      </c>
      <c r="S5" t="str">
        <f t="shared" si="8"/>
        <v/>
      </c>
      <c r="T5" t="str">
        <f t="shared" si="9"/>
        <v/>
      </c>
      <c r="U5" t="str">
        <f t="shared" si="10"/>
        <v/>
      </c>
      <c r="V5" t="str">
        <f t="shared" si="11"/>
        <v/>
      </c>
      <c r="W5" t="str">
        <f>IF($A5="","",Allocation!CD5)</f>
        <v/>
      </c>
      <c r="X5" t="str">
        <f>IF($A5="","",Allocation!CE5)</f>
        <v/>
      </c>
      <c r="Y5" t="str">
        <f>IF($A5="","",Allocation!CF5)</f>
        <v/>
      </c>
      <c r="Z5" t="str">
        <f>IF($A5="","",Allocation!CG5)</f>
        <v/>
      </c>
      <c r="AA5" t="str">
        <f>IF($A5="","",Allocation!CH5)</f>
        <v/>
      </c>
      <c r="AB5" t="str">
        <f>IF($A5="","",Allocation!CI5)</f>
        <v/>
      </c>
      <c r="AC5" t="str">
        <f>IF($A5="","",IF(Allocation!$N$4="VOL_EFF",$G5,IF(Allocation!$N$4="VOL_CLASS",$H5,$I5)))</f>
        <v/>
      </c>
      <c r="AD5" t="str">
        <f>IF($A5="","",IF(Allocation!$N$4="VOL_EFF",$L5,IF(Allocation!$N$4="VOL_CLASS",$M5,$N5)))</f>
        <v/>
      </c>
      <c r="AE5" t="str">
        <f>IF($A5="","",IF(Allocation!$N$3="VOL_EFF",$L5,IF(Allocation!$N$3="VOL_CLASS",$M5,$N5)))</f>
        <v/>
      </c>
      <c r="AF5" t="str">
        <f>IF($A5="","",IF(Allocation!$N$3="VOL_EFF",$Q5,IF(Allocation!$N$3="VOL_CLASS",$R5,$S5)))</f>
        <v/>
      </c>
      <c r="AG5" t="str">
        <f>IF($A5="","",IF(Allocation!$N$1="VOL_EFF",$Q5,IF(Allocation!$N$1="VOL_CLASS",$R5,$S5)))</f>
        <v/>
      </c>
      <c r="AH5" t="str">
        <f>IF($A5="","",IF(Allocation!$N$1="VOL_EFF",$T5,IF(Allocation!$N$1="VOL_CLASS",$U5,$V5)))</f>
        <v/>
      </c>
      <c r="AI5" t="str">
        <f t="shared" si="12"/>
        <v/>
      </c>
      <c r="AJ5" t="str">
        <f t="shared" si="13"/>
        <v/>
      </c>
      <c r="AK5" t="str">
        <f t="shared" si="14"/>
        <v/>
      </c>
      <c r="AL5" t="str">
        <f t="shared" si="15"/>
        <v/>
      </c>
      <c r="AM5" t="str">
        <f t="shared" si="16"/>
        <v/>
      </c>
      <c r="AN5" t="str">
        <f t="shared" si="17"/>
        <v/>
      </c>
      <c r="AO5" t="str">
        <f>IF($A5="","",Allocation!CJ5)</f>
        <v/>
      </c>
      <c r="AP5" t="str">
        <f>IF($A5="","",IF(Allocation!$N$2="VOL_EFF",$Q5,IF(Allocation!$N$2="VOL_CLASS",$R5,$S5)))</f>
        <v/>
      </c>
      <c r="AQ5" t="str">
        <f>IF($A5="","",IF(Allocation!$N$2="VOL_EFF",$T5,IF(Allocation!$N$2="VOL_CLASS",$U5,$V5)))</f>
        <v/>
      </c>
      <c r="AR5" t="str">
        <f t="shared" si="18"/>
        <v/>
      </c>
      <c r="AS5" t="str">
        <f>IF($A5="","",$A5&amp;"|"&amp;Allocation!BG5)</f>
        <v/>
      </c>
    </row>
    <row r="6" spans="1:46" x14ac:dyDescent="0.45">
      <c r="A6" t="str">
        <f>IF(Allocation!BI6="","",Allocation!BI6)</f>
        <v/>
      </c>
      <c r="B6" t="str">
        <f>IF(Allocation!BJ6="","",Allocation!BJ6)</f>
        <v/>
      </c>
      <c r="C6" t="str">
        <f>IF(Allocation!BK6="","",Allocation!BK6)</f>
        <v/>
      </c>
      <c r="D6" t="str">
        <f>IF(Allocation!BL6="","",Allocation!BL6)</f>
        <v/>
      </c>
      <c r="E6" t="str">
        <f>IF(Allocation!BM6="","",Allocation!BM6)</f>
        <v/>
      </c>
      <c r="F6" t="str">
        <f>IF(Allocation!BN6="","",Allocation!BN6)</f>
        <v/>
      </c>
      <c r="G6" t="str">
        <f>IF(Allocation!BO6="","",Allocation!BO6)</f>
        <v/>
      </c>
      <c r="H6" t="str">
        <f>IF(Allocation!BP6="","",Allocation!BP6)</f>
        <v/>
      </c>
      <c r="I6" t="str">
        <f>IF(Allocation!BQ6="","",Allocation!BQ6)</f>
        <v/>
      </c>
      <c r="J6" t="str">
        <f>IF(Allocation!CC6="","",Allocation!CC6)</f>
        <v/>
      </c>
      <c r="K6" t="str">
        <f t="shared" si="0"/>
        <v/>
      </c>
      <c r="L6" t="str">
        <f t="shared" si="1"/>
        <v/>
      </c>
      <c r="M6" t="str">
        <f t="shared" si="2"/>
        <v/>
      </c>
      <c r="N6" t="str">
        <f t="shared" si="3"/>
        <v/>
      </c>
      <c r="O6" t="str">
        <f t="shared" si="4"/>
        <v/>
      </c>
      <c r="P6" t="str">
        <f t="shared" si="5"/>
        <v/>
      </c>
      <c r="Q6" t="str">
        <f t="shared" si="6"/>
        <v/>
      </c>
      <c r="R6" t="str">
        <f t="shared" si="7"/>
        <v/>
      </c>
      <c r="S6" t="str">
        <f t="shared" si="8"/>
        <v/>
      </c>
      <c r="T6" t="str">
        <f t="shared" si="9"/>
        <v/>
      </c>
      <c r="U6" t="str">
        <f t="shared" si="10"/>
        <v/>
      </c>
      <c r="V6" t="str">
        <f t="shared" si="11"/>
        <v/>
      </c>
      <c r="W6" t="str">
        <f>IF($A6="","",Allocation!CD6)</f>
        <v/>
      </c>
      <c r="X6" t="str">
        <f>IF($A6="","",Allocation!CE6)</f>
        <v/>
      </c>
      <c r="Y6" t="str">
        <f>IF($A6="","",Allocation!CF6)</f>
        <v/>
      </c>
      <c r="Z6" t="str">
        <f>IF($A6="","",Allocation!CG6)</f>
        <v/>
      </c>
      <c r="AA6" t="str">
        <f>IF($A6="","",Allocation!CH6)</f>
        <v/>
      </c>
      <c r="AB6" t="str">
        <f>IF($A6="","",Allocation!CI6)</f>
        <v/>
      </c>
      <c r="AC6" t="str">
        <f>IF($A6="","",IF(Allocation!$N$4="VOL_EFF",$G6,IF(Allocation!$N$4="VOL_CLASS",$H6,$I6)))</f>
        <v/>
      </c>
      <c r="AD6" t="str">
        <f>IF($A6="","",IF(Allocation!$N$4="VOL_EFF",$L6,IF(Allocation!$N$4="VOL_CLASS",$M6,$N6)))</f>
        <v/>
      </c>
      <c r="AE6" t="str">
        <f>IF($A6="","",IF(Allocation!$N$3="VOL_EFF",$L6,IF(Allocation!$N$3="VOL_CLASS",$M6,$N6)))</f>
        <v/>
      </c>
      <c r="AF6" t="str">
        <f>IF($A6="","",IF(Allocation!$N$3="VOL_EFF",$Q6,IF(Allocation!$N$3="VOL_CLASS",$R6,$S6)))</f>
        <v/>
      </c>
      <c r="AG6" t="str">
        <f>IF($A6="","",IF(Allocation!$N$1="VOL_EFF",$Q6,IF(Allocation!$N$1="VOL_CLASS",$R6,$S6)))</f>
        <v/>
      </c>
      <c r="AH6" t="str">
        <f>IF($A6="","",IF(Allocation!$N$1="VOL_EFF",$T6,IF(Allocation!$N$1="VOL_CLASS",$U6,$V6)))</f>
        <v/>
      </c>
      <c r="AI6" t="str">
        <f t="shared" si="12"/>
        <v/>
      </c>
      <c r="AJ6" t="str">
        <f t="shared" si="13"/>
        <v/>
      </c>
      <c r="AK6" t="str">
        <f t="shared" si="14"/>
        <v/>
      </c>
      <c r="AL6" t="str">
        <f t="shared" si="15"/>
        <v/>
      </c>
      <c r="AM6" t="str">
        <f t="shared" si="16"/>
        <v/>
      </c>
      <c r="AN6" t="str">
        <f t="shared" si="17"/>
        <v/>
      </c>
      <c r="AO6" t="str">
        <f>IF($A6="","",Allocation!CJ6)</f>
        <v/>
      </c>
      <c r="AP6" t="str">
        <f>IF($A6="","",IF(Allocation!$N$2="VOL_EFF",$Q6,IF(Allocation!$N$2="VOL_CLASS",$R6,$S6)))</f>
        <v/>
      </c>
      <c r="AQ6" t="str">
        <f>IF($A6="","",IF(Allocation!$N$2="VOL_EFF",$T6,IF(Allocation!$N$2="VOL_CLASS",$U6,$V6)))</f>
        <v/>
      </c>
      <c r="AR6" t="str">
        <f t="shared" si="18"/>
        <v/>
      </c>
      <c r="AS6" t="str">
        <f>IF($A6="","",$A6&amp;"|"&amp;Allocation!BG6)</f>
        <v/>
      </c>
    </row>
    <row r="7" spans="1:46" x14ac:dyDescent="0.45">
      <c r="A7" t="str">
        <f>IF(Allocation!BI7="","",Allocation!BI7)</f>
        <v/>
      </c>
      <c r="B7" t="str">
        <f>IF(Allocation!BJ7="","",Allocation!BJ7)</f>
        <v/>
      </c>
      <c r="C7" t="str">
        <f>IF(Allocation!BK7="","",Allocation!BK7)</f>
        <v/>
      </c>
      <c r="D7" t="str">
        <f>IF(Allocation!BL7="","",Allocation!BL7)</f>
        <v/>
      </c>
      <c r="E7" t="str">
        <f>IF(Allocation!BM7="","",Allocation!BM7)</f>
        <v/>
      </c>
      <c r="F7" t="str">
        <f>IF(Allocation!BN7="","",Allocation!BN7)</f>
        <v/>
      </c>
      <c r="G7" t="str">
        <f>IF(Allocation!BO7="","",Allocation!BO7)</f>
        <v/>
      </c>
      <c r="H7" t="str">
        <f>IF(Allocation!BP7="","",Allocation!BP7)</f>
        <v/>
      </c>
      <c r="I7" t="str">
        <f>IF(Allocation!BQ7="","",Allocation!BQ7)</f>
        <v/>
      </c>
      <c r="J7" t="str">
        <f>IF(Allocation!CC7="","",Allocation!CC7)</f>
        <v/>
      </c>
      <c r="K7" t="str">
        <f t="shared" si="0"/>
        <v/>
      </c>
      <c r="L7" t="str">
        <f t="shared" si="1"/>
        <v/>
      </c>
      <c r="M7" t="str">
        <f t="shared" si="2"/>
        <v/>
      </c>
      <c r="N7" t="str">
        <f t="shared" si="3"/>
        <v/>
      </c>
      <c r="O7" t="str">
        <f t="shared" si="4"/>
        <v/>
      </c>
      <c r="P7" t="str">
        <f t="shared" si="5"/>
        <v/>
      </c>
      <c r="Q7" t="str">
        <f t="shared" si="6"/>
        <v/>
      </c>
      <c r="R7" t="str">
        <f t="shared" si="7"/>
        <v/>
      </c>
      <c r="S7" t="str">
        <f t="shared" si="8"/>
        <v/>
      </c>
      <c r="T7" t="str">
        <f t="shared" si="9"/>
        <v/>
      </c>
      <c r="U7" t="str">
        <f t="shared" si="10"/>
        <v/>
      </c>
      <c r="V7" t="str">
        <f t="shared" si="11"/>
        <v/>
      </c>
      <c r="W7" t="str">
        <f>IF($A7="","",Allocation!CD7)</f>
        <v/>
      </c>
      <c r="X7" t="str">
        <f>IF($A7="","",Allocation!CE7)</f>
        <v/>
      </c>
      <c r="Y7" t="str">
        <f>IF($A7="","",Allocation!CF7)</f>
        <v/>
      </c>
      <c r="Z7" t="str">
        <f>IF($A7="","",Allocation!CG7)</f>
        <v/>
      </c>
      <c r="AA7" t="str">
        <f>IF($A7="","",Allocation!CH7)</f>
        <v/>
      </c>
      <c r="AB7" t="str">
        <f>IF($A7="","",Allocation!CI7)</f>
        <v/>
      </c>
      <c r="AC7" t="str">
        <f>IF($A7="","",IF(Allocation!$N$4="VOL_EFF",$G7,IF(Allocation!$N$4="VOL_CLASS",$H7,$I7)))</f>
        <v/>
      </c>
      <c r="AD7" t="str">
        <f>IF($A7="","",IF(Allocation!$N$4="VOL_EFF",$L7,IF(Allocation!$N$4="VOL_CLASS",$M7,$N7)))</f>
        <v/>
      </c>
      <c r="AE7" t="str">
        <f>IF($A7="","",IF(Allocation!$N$3="VOL_EFF",$L7,IF(Allocation!$N$3="VOL_CLASS",$M7,$N7)))</f>
        <v/>
      </c>
      <c r="AF7" t="str">
        <f>IF($A7="","",IF(Allocation!$N$3="VOL_EFF",$Q7,IF(Allocation!$N$3="VOL_CLASS",$R7,$S7)))</f>
        <v/>
      </c>
      <c r="AG7" t="str">
        <f>IF($A7="","",IF(Allocation!$N$1="VOL_EFF",$Q7,IF(Allocation!$N$1="VOL_CLASS",$R7,$S7)))</f>
        <v/>
      </c>
      <c r="AH7" t="str">
        <f>IF($A7="","",IF(Allocation!$N$1="VOL_EFF",$T7,IF(Allocation!$N$1="VOL_CLASS",$U7,$V7)))</f>
        <v/>
      </c>
      <c r="AI7" t="str">
        <f t="shared" si="12"/>
        <v/>
      </c>
      <c r="AJ7" t="str">
        <f t="shared" si="13"/>
        <v/>
      </c>
      <c r="AK7" t="str">
        <f t="shared" si="14"/>
        <v/>
      </c>
      <c r="AL7" t="str">
        <f t="shared" si="15"/>
        <v/>
      </c>
      <c r="AM7" t="str">
        <f t="shared" si="16"/>
        <v/>
      </c>
      <c r="AN7" t="str">
        <f t="shared" si="17"/>
        <v/>
      </c>
      <c r="AO7" t="str">
        <f>IF($A7="","",Allocation!CJ7)</f>
        <v/>
      </c>
      <c r="AP7" t="str">
        <f>IF($A7="","",IF(Allocation!$N$2="VOL_EFF",$Q7,IF(Allocation!$N$2="VOL_CLASS",$R7,$S7)))</f>
        <v/>
      </c>
      <c r="AQ7" t="str">
        <f>IF($A7="","",IF(Allocation!$N$2="VOL_EFF",$T7,IF(Allocation!$N$2="VOL_CLASS",$U7,$V7)))</f>
        <v/>
      </c>
      <c r="AR7" t="str">
        <f t="shared" si="18"/>
        <v/>
      </c>
      <c r="AS7" t="str">
        <f>IF($A7="","",$A7&amp;"|"&amp;Allocation!BG7)</f>
        <v/>
      </c>
    </row>
    <row r="8" spans="1:46" x14ac:dyDescent="0.45">
      <c r="A8" t="str">
        <f>IF(Allocation!BI8="","",Allocation!BI8)</f>
        <v/>
      </c>
      <c r="B8" t="str">
        <f>IF(Allocation!BJ8="","",Allocation!BJ8)</f>
        <v/>
      </c>
      <c r="C8" t="str">
        <f>IF(Allocation!BK8="","",Allocation!BK8)</f>
        <v/>
      </c>
      <c r="D8" t="str">
        <f>IF(Allocation!BL8="","",Allocation!BL8)</f>
        <v/>
      </c>
      <c r="E8" t="str">
        <f>IF(Allocation!BM8="","",Allocation!BM8)</f>
        <v/>
      </c>
      <c r="F8" t="str">
        <f>IF(Allocation!BN8="","",Allocation!BN8)</f>
        <v/>
      </c>
      <c r="G8" t="str">
        <f>IF(Allocation!BO8="","",Allocation!BO8)</f>
        <v/>
      </c>
      <c r="H8" t="str">
        <f>IF(Allocation!BP8="","",Allocation!BP8)</f>
        <v/>
      </c>
      <c r="I8" t="str">
        <f>IF(Allocation!BQ8="","",Allocation!BQ8)</f>
        <v/>
      </c>
      <c r="J8" t="str">
        <f>IF(Allocation!CC8="","",Allocation!CC8)</f>
        <v/>
      </c>
      <c r="K8" t="str">
        <f t="shared" si="0"/>
        <v/>
      </c>
      <c r="L8" t="str">
        <f t="shared" si="1"/>
        <v/>
      </c>
      <c r="M8" t="str">
        <f t="shared" si="2"/>
        <v/>
      </c>
      <c r="N8" t="str">
        <f t="shared" si="3"/>
        <v/>
      </c>
      <c r="O8" t="str">
        <f t="shared" si="4"/>
        <v/>
      </c>
      <c r="P8" t="str">
        <f t="shared" si="5"/>
        <v/>
      </c>
      <c r="Q8" t="str">
        <f t="shared" si="6"/>
        <v/>
      </c>
      <c r="R8" t="str">
        <f t="shared" si="7"/>
        <v/>
      </c>
      <c r="S8" t="str">
        <f t="shared" si="8"/>
        <v/>
      </c>
      <c r="T8" t="str">
        <f t="shared" si="9"/>
        <v/>
      </c>
      <c r="U8" t="str">
        <f t="shared" si="10"/>
        <v/>
      </c>
      <c r="V8" t="str">
        <f t="shared" si="11"/>
        <v/>
      </c>
      <c r="W8" t="str">
        <f>IF($A8="","",Allocation!CD8)</f>
        <v/>
      </c>
      <c r="X8" t="str">
        <f>IF($A8="","",Allocation!CE8)</f>
        <v/>
      </c>
      <c r="Y8" t="str">
        <f>IF($A8="","",Allocation!CF8)</f>
        <v/>
      </c>
      <c r="Z8" t="str">
        <f>IF($A8="","",Allocation!CG8)</f>
        <v/>
      </c>
      <c r="AA8" t="str">
        <f>IF($A8="","",Allocation!CH8)</f>
        <v/>
      </c>
      <c r="AB8" t="str">
        <f>IF($A8="","",Allocation!CI8)</f>
        <v/>
      </c>
      <c r="AC8" t="str">
        <f>IF($A8="","",IF(Allocation!$N$4="VOL_EFF",$G8,IF(Allocation!$N$4="VOL_CLASS",$H8,$I8)))</f>
        <v/>
      </c>
      <c r="AD8" t="str">
        <f>IF($A8="","",IF(Allocation!$N$4="VOL_EFF",$L8,IF(Allocation!$N$4="VOL_CLASS",$M8,$N8)))</f>
        <v/>
      </c>
      <c r="AE8" t="str">
        <f>IF($A8="","",IF(Allocation!$N$3="VOL_EFF",$L8,IF(Allocation!$N$3="VOL_CLASS",$M8,$N8)))</f>
        <v/>
      </c>
      <c r="AF8" t="str">
        <f>IF($A8="","",IF(Allocation!$N$3="VOL_EFF",$Q8,IF(Allocation!$N$3="VOL_CLASS",$R8,$S8)))</f>
        <v/>
      </c>
      <c r="AG8" t="str">
        <f>IF($A8="","",IF(Allocation!$N$1="VOL_EFF",$Q8,IF(Allocation!$N$1="VOL_CLASS",$R8,$S8)))</f>
        <v/>
      </c>
      <c r="AH8" t="str">
        <f>IF($A8="","",IF(Allocation!$N$1="VOL_EFF",$T8,IF(Allocation!$N$1="VOL_CLASS",$U8,$V8)))</f>
        <v/>
      </c>
      <c r="AI8" t="str">
        <f t="shared" si="12"/>
        <v/>
      </c>
      <c r="AJ8" t="str">
        <f t="shared" si="13"/>
        <v/>
      </c>
      <c r="AK8" t="str">
        <f t="shared" si="14"/>
        <v/>
      </c>
      <c r="AL8" t="str">
        <f t="shared" si="15"/>
        <v/>
      </c>
      <c r="AM8" t="str">
        <f t="shared" si="16"/>
        <v/>
      </c>
      <c r="AN8" t="str">
        <f t="shared" si="17"/>
        <v/>
      </c>
      <c r="AO8" t="str">
        <f>IF($A8="","",Allocation!CJ8)</f>
        <v/>
      </c>
      <c r="AP8" t="str">
        <f>IF($A8="","",IF(Allocation!$N$2="VOL_EFF",$Q8,IF(Allocation!$N$2="VOL_CLASS",$R8,$S8)))</f>
        <v/>
      </c>
      <c r="AQ8" t="str">
        <f>IF($A8="","",IF(Allocation!$N$2="VOL_EFF",$T8,IF(Allocation!$N$2="VOL_CLASS",$U8,$V8)))</f>
        <v/>
      </c>
      <c r="AR8" t="str">
        <f t="shared" si="18"/>
        <v/>
      </c>
      <c r="AS8" t="str">
        <f>IF($A8="","",$A8&amp;"|"&amp;Allocation!BG8)</f>
        <v/>
      </c>
    </row>
    <row r="9" spans="1:46" x14ac:dyDescent="0.45">
      <c r="A9" t="str">
        <f>IF(Allocation!BI9="","",Allocation!BI9)</f>
        <v/>
      </c>
      <c r="B9" t="str">
        <f>IF(Allocation!BJ9="","",Allocation!BJ9)</f>
        <v/>
      </c>
      <c r="C9" t="str">
        <f>IF(Allocation!BK9="","",Allocation!BK9)</f>
        <v/>
      </c>
      <c r="D9" t="str">
        <f>IF(Allocation!BL9="","",Allocation!BL9)</f>
        <v/>
      </c>
      <c r="E9" t="str">
        <f>IF(Allocation!BM9="","",Allocation!BM9)</f>
        <v/>
      </c>
      <c r="F9" t="str">
        <f>IF(Allocation!BN9="","",Allocation!BN9)</f>
        <v/>
      </c>
      <c r="G9" t="str">
        <f>IF(Allocation!BO9="","",Allocation!BO9)</f>
        <v/>
      </c>
      <c r="H9" t="str">
        <f>IF(Allocation!BP9="","",Allocation!BP9)</f>
        <v/>
      </c>
      <c r="I9" t="str">
        <f>IF(Allocation!BQ9="","",Allocation!BQ9)</f>
        <v/>
      </c>
      <c r="J9" t="str">
        <f>IF(Allocation!CC9="","",Allocation!CC9)</f>
        <v/>
      </c>
      <c r="K9" t="str">
        <f t="shared" si="0"/>
        <v/>
      </c>
      <c r="L9" t="str">
        <f t="shared" si="1"/>
        <v/>
      </c>
      <c r="M9" t="str">
        <f t="shared" si="2"/>
        <v/>
      </c>
      <c r="N9" t="str">
        <f t="shared" si="3"/>
        <v/>
      </c>
      <c r="O9" t="str">
        <f t="shared" si="4"/>
        <v/>
      </c>
      <c r="P9" t="str">
        <f t="shared" si="5"/>
        <v/>
      </c>
      <c r="Q9" t="str">
        <f t="shared" si="6"/>
        <v/>
      </c>
      <c r="R9" t="str">
        <f t="shared" si="7"/>
        <v/>
      </c>
      <c r="S9" t="str">
        <f t="shared" si="8"/>
        <v/>
      </c>
      <c r="T9" t="str">
        <f t="shared" si="9"/>
        <v/>
      </c>
      <c r="U9" t="str">
        <f t="shared" si="10"/>
        <v/>
      </c>
      <c r="V9" t="str">
        <f t="shared" si="11"/>
        <v/>
      </c>
      <c r="W9" t="str">
        <f>IF($A9="","",Allocation!CD9)</f>
        <v/>
      </c>
      <c r="X9" t="str">
        <f>IF($A9="","",Allocation!CE9)</f>
        <v/>
      </c>
      <c r="Y9" t="str">
        <f>IF($A9="","",Allocation!CF9)</f>
        <v/>
      </c>
      <c r="Z9" t="str">
        <f>IF($A9="","",Allocation!CG9)</f>
        <v/>
      </c>
      <c r="AA9" t="str">
        <f>IF($A9="","",Allocation!CH9)</f>
        <v/>
      </c>
      <c r="AB9" t="str">
        <f>IF($A9="","",Allocation!CI9)</f>
        <v/>
      </c>
      <c r="AC9" t="str">
        <f>IF($A9="","",IF(Allocation!$N$4="VOL_EFF",$G9,IF(Allocation!$N$4="VOL_CLASS",$H9,$I9)))</f>
        <v/>
      </c>
      <c r="AD9" t="str">
        <f>IF($A9="","",IF(Allocation!$N$4="VOL_EFF",$L9,IF(Allocation!$N$4="VOL_CLASS",$M9,$N9)))</f>
        <v/>
      </c>
      <c r="AE9" t="str">
        <f>IF($A9="","",IF(Allocation!$N$3="VOL_EFF",$L9,IF(Allocation!$N$3="VOL_CLASS",$M9,$N9)))</f>
        <v/>
      </c>
      <c r="AF9" t="str">
        <f>IF($A9="","",IF(Allocation!$N$3="VOL_EFF",$Q9,IF(Allocation!$N$3="VOL_CLASS",$R9,$S9)))</f>
        <v/>
      </c>
      <c r="AG9" t="str">
        <f>IF($A9="","",IF(Allocation!$N$1="VOL_EFF",$Q9,IF(Allocation!$N$1="VOL_CLASS",$R9,$S9)))</f>
        <v/>
      </c>
      <c r="AH9" t="str">
        <f>IF($A9="","",IF(Allocation!$N$1="VOL_EFF",$T9,IF(Allocation!$N$1="VOL_CLASS",$U9,$V9)))</f>
        <v/>
      </c>
      <c r="AI9" t="str">
        <f t="shared" si="12"/>
        <v/>
      </c>
      <c r="AJ9" t="str">
        <f t="shared" si="13"/>
        <v/>
      </c>
      <c r="AK9" t="str">
        <f t="shared" si="14"/>
        <v/>
      </c>
      <c r="AL9" t="str">
        <f t="shared" si="15"/>
        <v/>
      </c>
      <c r="AM9" t="str">
        <f t="shared" si="16"/>
        <v/>
      </c>
      <c r="AN9" t="str">
        <f t="shared" si="17"/>
        <v/>
      </c>
      <c r="AO9" t="str">
        <f>IF($A9="","",Allocation!CJ9)</f>
        <v/>
      </c>
      <c r="AP9" t="str">
        <f>IF($A9="","",IF(Allocation!$N$2="VOL_EFF",$Q9,IF(Allocation!$N$2="VOL_CLASS",$R9,$S9)))</f>
        <v/>
      </c>
      <c r="AQ9" t="str">
        <f>IF($A9="","",IF(Allocation!$N$2="VOL_EFF",$T9,IF(Allocation!$N$2="VOL_CLASS",$U9,$V9)))</f>
        <v/>
      </c>
      <c r="AR9" t="str">
        <f t="shared" si="18"/>
        <v/>
      </c>
      <c r="AS9" t="str">
        <f>IF($A9="","",$A9&amp;"|"&amp;Allocation!BG9)</f>
        <v/>
      </c>
    </row>
    <row r="10" spans="1:46" x14ac:dyDescent="0.45">
      <c r="A10" t="str">
        <f>IF(Allocation!BI10="","",Allocation!BI10)</f>
        <v/>
      </c>
      <c r="B10" t="str">
        <f>IF(Allocation!BJ10="","",Allocation!BJ10)</f>
        <v/>
      </c>
      <c r="C10" t="str">
        <f>IF(Allocation!BK10="","",Allocation!BK10)</f>
        <v/>
      </c>
      <c r="D10" t="str">
        <f>IF(Allocation!BL10="","",Allocation!BL10)</f>
        <v/>
      </c>
      <c r="E10" t="str">
        <f>IF(Allocation!BM10="","",Allocation!BM10)</f>
        <v/>
      </c>
      <c r="F10" t="str">
        <f>IF(Allocation!BN10="","",Allocation!BN10)</f>
        <v/>
      </c>
      <c r="G10" t="str">
        <f>IF(Allocation!BO10="","",Allocation!BO10)</f>
        <v/>
      </c>
      <c r="H10" t="str">
        <f>IF(Allocation!BP10="","",Allocation!BP10)</f>
        <v/>
      </c>
      <c r="I10" t="str">
        <f>IF(Allocation!BQ10="","",Allocation!BQ10)</f>
        <v/>
      </c>
      <c r="J10" t="str">
        <f>IF(Allocation!CC10="","",Allocation!CC10)</f>
        <v/>
      </c>
      <c r="K10" t="str">
        <f t="shared" si="0"/>
        <v/>
      </c>
      <c r="L10" t="str">
        <f t="shared" si="1"/>
        <v/>
      </c>
      <c r="M10" t="str">
        <f t="shared" si="2"/>
        <v/>
      </c>
      <c r="N10" t="str">
        <f t="shared" si="3"/>
        <v/>
      </c>
      <c r="O10" t="str">
        <f t="shared" si="4"/>
        <v/>
      </c>
      <c r="P10" t="str">
        <f t="shared" si="5"/>
        <v/>
      </c>
      <c r="Q10" t="str">
        <f t="shared" si="6"/>
        <v/>
      </c>
      <c r="R10" t="str">
        <f t="shared" si="7"/>
        <v/>
      </c>
      <c r="S10" t="str">
        <f t="shared" si="8"/>
        <v/>
      </c>
      <c r="T10" t="str">
        <f t="shared" si="9"/>
        <v/>
      </c>
      <c r="U10" t="str">
        <f t="shared" si="10"/>
        <v/>
      </c>
      <c r="V10" t="str">
        <f t="shared" si="11"/>
        <v/>
      </c>
      <c r="W10" t="str">
        <f>IF($A10="","",Allocation!CD10)</f>
        <v/>
      </c>
      <c r="X10" t="str">
        <f>IF($A10="","",Allocation!CE10)</f>
        <v/>
      </c>
      <c r="Y10" t="str">
        <f>IF($A10="","",Allocation!CF10)</f>
        <v/>
      </c>
      <c r="Z10" t="str">
        <f>IF($A10="","",Allocation!CG10)</f>
        <v/>
      </c>
      <c r="AA10" t="str">
        <f>IF($A10="","",Allocation!CH10)</f>
        <v/>
      </c>
      <c r="AB10" t="str">
        <f>IF($A10="","",Allocation!CI10)</f>
        <v/>
      </c>
      <c r="AC10" t="str">
        <f>IF($A10="","",IF(Allocation!$N$4="VOL_EFF",$G10,IF(Allocation!$N$4="VOL_CLASS",$H10,$I10)))</f>
        <v/>
      </c>
      <c r="AD10" t="str">
        <f>IF($A10="","",IF(Allocation!$N$4="VOL_EFF",$L10,IF(Allocation!$N$4="VOL_CLASS",$M10,$N10)))</f>
        <v/>
      </c>
      <c r="AE10" t="str">
        <f>IF($A10="","",IF(Allocation!$N$3="VOL_EFF",$L10,IF(Allocation!$N$3="VOL_CLASS",$M10,$N10)))</f>
        <v/>
      </c>
      <c r="AF10" t="str">
        <f>IF($A10="","",IF(Allocation!$N$3="VOL_EFF",$Q10,IF(Allocation!$N$3="VOL_CLASS",$R10,$S10)))</f>
        <v/>
      </c>
      <c r="AG10" t="str">
        <f>IF($A10="","",IF(Allocation!$N$1="VOL_EFF",$Q10,IF(Allocation!$N$1="VOL_CLASS",$R10,$S10)))</f>
        <v/>
      </c>
      <c r="AH10" t="str">
        <f>IF($A10="","",IF(Allocation!$N$1="VOL_EFF",$T10,IF(Allocation!$N$1="VOL_CLASS",$U10,$V10)))</f>
        <v/>
      </c>
      <c r="AI10" t="str">
        <f t="shared" si="12"/>
        <v/>
      </c>
      <c r="AJ10" t="str">
        <f t="shared" si="13"/>
        <v/>
      </c>
      <c r="AK10" t="str">
        <f t="shared" si="14"/>
        <v/>
      </c>
      <c r="AL10" t="str">
        <f t="shared" si="15"/>
        <v/>
      </c>
      <c r="AM10" t="str">
        <f t="shared" si="16"/>
        <v/>
      </c>
      <c r="AN10" t="str">
        <f t="shared" si="17"/>
        <v/>
      </c>
      <c r="AO10" t="str">
        <f>IF($A10="","",Allocation!CJ10)</f>
        <v/>
      </c>
      <c r="AP10" t="str">
        <f>IF($A10="","",IF(Allocation!$N$2="VOL_EFF",$Q10,IF(Allocation!$N$2="VOL_CLASS",$R10,$S10)))</f>
        <v/>
      </c>
      <c r="AQ10" t="str">
        <f>IF($A10="","",IF(Allocation!$N$2="VOL_EFF",$T10,IF(Allocation!$N$2="VOL_CLASS",$U10,$V10)))</f>
        <v/>
      </c>
      <c r="AR10" t="str">
        <f t="shared" si="18"/>
        <v/>
      </c>
      <c r="AS10" t="str">
        <f>IF($A10="","",$A10&amp;"|"&amp;Allocation!BG10)</f>
        <v/>
      </c>
    </row>
    <row r="11" spans="1:46" x14ac:dyDescent="0.45">
      <c r="A11" t="str">
        <f>IF(Allocation!BI11="","",Allocation!BI11)</f>
        <v/>
      </c>
      <c r="B11" t="str">
        <f>IF(Allocation!BJ11="","",Allocation!BJ11)</f>
        <v/>
      </c>
      <c r="C11" t="str">
        <f>IF(Allocation!BK11="","",Allocation!BK11)</f>
        <v/>
      </c>
      <c r="D11" t="str">
        <f>IF(Allocation!BL11="","",Allocation!BL11)</f>
        <v/>
      </c>
      <c r="E11" t="str">
        <f>IF(Allocation!BM11="","",Allocation!BM11)</f>
        <v/>
      </c>
      <c r="F11" t="str">
        <f>IF(Allocation!BN11="","",Allocation!BN11)</f>
        <v/>
      </c>
      <c r="G11" t="str">
        <f>IF(Allocation!BO11="","",Allocation!BO11)</f>
        <v/>
      </c>
      <c r="H11" t="str">
        <f>IF(Allocation!BP11="","",Allocation!BP11)</f>
        <v/>
      </c>
      <c r="I11" t="str">
        <f>IF(Allocation!BQ11="","",Allocation!BQ11)</f>
        <v/>
      </c>
      <c r="J11" t="str">
        <f>IF(Allocation!CC11="","",Allocation!CC11)</f>
        <v/>
      </c>
      <c r="K11" t="str">
        <f t="shared" si="0"/>
        <v/>
      </c>
      <c r="L11" t="str">
        <f t="shared" si="1"/>
        <v/>
      </c>
      <c r="M11" t="str">
        <f t="shared" si="2"/>
        <v/>
      </c>
      <c r="N11" t="str">
        <f t="shared" si="3"/>
        <v/>
      </c>
      <c r="O11" t="str">
        <f t="shared" si="4"/>
        <v/>
      </c>
      <c r="P11" t="str">
        <f t="shared" si="5"/>
        <v/>
      </c>
      <c r="Q11" t="str">
        <f t="shared" si="6"/>
        <v/>
      </c>
      <c r="R11" t="str">
        <f t="shared" si="7"/>
        <v/>
      </c>
      <c r="S11" t="str">
        <f t="shared" si="8"/>
        <v/>
      </c>
      <c r="T11" t="str">
        <f t="shared" si="9"/>
        <v/>
      </c>
      <c r="U11" t="str">
        <f t="shared" si="10"/>
        <v/>
      </c>
      <c r="V11" t="str">
        <f t="shared" si="11"/>
        <v/>
      </c>
      <c r="W11" t="str">
        <f>IF($A11="","",Allocation!CD11)</f>
        <v/>
      </c>
      <c r="X11" t="str">
        <f>IF($A11="","",Allocation!CE11)</f>
        <v/>
      </c>
      <c r="Y11" t="str">
        <f>IF($A11="","",Allocation!CF11)</f>
        <v/>
      </c>
      <c r="Z11" t="str">
        <f>IF($A11="","",Allocation!CG11)</f>
        <v/>
      </c>
      <c r="AA11" t="str">
        <f>IF($A11="","",Allocation!CH11)</f>
        <v/>
      </c>
      <c r="AB11" t="str">
        <f>IF($A11="","",Allocation!CI11)</f>
        <v/>
      </c>
      <c r="AC11" t="str">
        <f>IF($A11="","",IF(Allocation!$N$4="VOL_EFF",$G11,IF(Allocation!$N$4="VOL_CLASS",$H11,$I11)))</f>
        <v/>
      </c>
      <c r="AD11" t="str">
        <f>IF($A11="","",IF(Allocation!$N$4="VOL_EFF",$L11,IF(Allocation!$N$4="VOL_CLASS",$M11,$N11)))</f>
        <v/>
      </c>
      <c r="AE11" t="str">
        <f>IF($A11="","",IF(Allocation!$N$3="VOL_EFF",$L11,IF(Allocation!$N$3="VOL_CLASS",$M11,$N11)))</f>
        <v/>
      </c>
      <c r="AF11" t="str">
        <f>IF($A11="","",IF(Allocation!$N$3="VOL_EFF",$Q11,IF(Allocation!$N$3="VOL_CLASS",$R11,$S11)))</f>
        <v/>
      </c>
      <c r="AG11" t="str">
        <f>IF($A11="","",IF(Allocation!$N$1="VOL_EFF",$Q11,IF(Allocation!$N$1="VOL_CLASS",$R11,$S11)))</f>
        <v/>
      </c>
      <c r="AH11" t="str">
        <f>IF($A11="","",IF(Allocation!$N$1="VOL_EFF",$T11,IF(Allocation!$N$1="VOL_CLASS",$U11,$V11)))</f>
        <v/>
      </c>
      <c r="AI11" t="str">
        <f t="shared" si="12"/>
        <v/>
      </c>
      <c r="AJ11" t="str">
        <f t="shared" si="13"/>
        <v/>
      </c>
      <c r="AK11" t="str">
        <f t="shared" si="14"/>
        <v/>
      </c>
      <c r="AL11" t="str">
        <f t="shared" si="15"/>
        <v/>
      </c>
      <c r="AM11" t="str">
        <f t="shared" si="16"/>
        <v/>
      </c>
      <c r="AN11" t="str">
        <f t="shared" si="17"/>
        <v/>
      </c>
      <c r="AO11" t="str">
        <f>IF($A11="","",Allocation!CJ11)</f>
        <v/>
      </c>
      <c r="AP11" t="str">
        <f>IF($A11="","",IF(Allocation!$N$2="VOL_EFF",$Q11,IF(Allocation!$N$2="VOL_CLASS",$R11,$S11)))</f>
        <v/>
      </c>
      <c r="AQ11" t="str">
        <f>IF($A11="","",IF(Allocation!$N$2="VOL_EFF",$T11,IF(Allocation!$N$2="VOL_CLASS",$U11,$V11)))</f>
        <v/>
      </c>
      <c r="AR11" t="str">
        <f t="shared" si="18"/>
        <v/>
      </c>
      <c r="AS11" t="str">
        <f>IF($A11="","",$A11&amp;"|"&amp;Allocation!BG11)</f>
        <v/>
      </c>
    </row>
    <row r="12" spans="1:46" x14ac:dyDescent="0.45">
      <c r="A12" t="str">
        <f>IF(Allocation!BI12="","",Allocation!BI12)</f>
        <v/>
      </c>
      <c r="B12" t="str">
        <f>IF(Allocation!BJ12="","",Allocation!BJ12)</f>
        <v/>
      </c>
      <c r="C12" t="str">
        <f>IF(Allocation!BK12="","",Allocation!BK12)</f>
        <v/>
      </c>
      <c r="D12" t="str">
        <f>IF(Allocation!BL12="","",Allocation!BL12)</f>
        <v/>
      </c>
      <c r="E12" t="str">
        <f>IF(Allocation!BM12="","",Allocation!BM12)</f>
        <v/>
      </c>
      <c r="F12" t="str">
        <f>IF(Allocation!BN12="","",Allocation!BN12)</f>
        <v/>
      </c>
      <c r="G12" t="str">
        <f>IF(Allocation!BO12="","",Allocation!BO12)</f>
        <v/>
      </c>
      <c r="H12" t="str">
        <f>IF(Allocation!BP12="","",Allocation!BP12)</f>
        <v/>
      </c>
      <c r="I12" t="str">
        <f>IF(Allocation!BQ12="","",Allocation!BQ12)</f>
        <v/>
      </c>
      <c r="J12" t="str">
        <f>IF(Allocation!CC12="","",Allocation!CC12)</f>
        <v/>
      </c>
      <c r="K12" t="str">
        <f t="shared" si="0"/>
        <v/>
      </c>
      <c r="L12" t="str">
        <f t="shared" si="1"/>
        <v/>
      </c>
      <c r="M12" t="str">
        <f t="shared" si="2"/>
        <v/>
      </c>
      <c r="N12" t="str">
        <f t="shared" si="3"/>
        <v/>
      </c>
      <c r="O12" t="str">
        <f t="shared" si="4"/>
        <v/>
      </c>
      <c r="P12" t="str">
        <f t="shared" si="5"/>
        <v/>
      </c>
      <c r="Q12" t="str">
        <f t="shared" si="6"/>
        <v/>
      </c>
      <c r="R12" t="str">
        <f t="shared" si="7"/>
        <v/>
      </c>
      <c r="S12" t="str">
        <f t="shared" si="8"/>
        <v/>
      </c>
      <c r="T12" t="str">
        <f t="shared" si="9"/>
        <v/>
      </c>
      <c r="U12" t="str">
        <f t="shared" si="10"/>
        <v/>
      </c>
      <c r="V12" t="str">
        <f t="shared" si="11"/>
        <v/>
      </c>
      <c r="W12" t="str">
        <f>IF($A12="","",Allocation!CD12)</f>
        <v/>
      </c>
      <c r="X12" t="str">
        <f>IF($A12="","",Allocation!CE12)</f>
        <v/>
      </c>
      <c r="Y12" t="str">
        <f>IF($A12="","",Allocation!CF12)</f>
        <v/>
      </c>
      <c r="Z12" t="str">
        <f>IF($A12="","",Allocation!CG12)</f>
        <v/>
      </c>
      <c r="AA12" t="str">
        <f>IF($A12="","",Allocation!CH12)</f>
        <v/>
      </c>
      <c r="AB12" t="str">
        <f>IF($A12="","",Allocation!CI12)</f>
        <v/>
      </c>
      <c r="AC12" t="str">
        <f>IF($A12="","",IF(Allocation!$N$4="VOL_EFF",$G12,IF(Allocation!$N$4="VOL_CLASS",$H12,$I12)))</f>
        <v/>
      </c>
      <c r="AD12" t="str">
        <f>IF($A12="","",IF(Allocation!$N$4="VOL_EFF",$L12,IF(Allocation!$N$4="VOL_CLASS",$M12,$N12)))</f>
        <v/>
      </c>
      <c r="AE12" t="str">
        <f>IF($A12="","",IF(Allocation!$N$3="VOL_EFF",$L12,IF(Allocation!$N$3="VOL_CLASS",$M12,$N12)))</f>
        <v/>
      </c>
      <c r="AF12" t="str">
        <f>IF($A12="","",IF(Allocation!$N$3="VOL_EFF",$Q12,IF(Allocation!$N$3="VOL_CLASS",$R12,$S12)))</f>
        <v/>
      </c>
      <c r="AG12" t="str">
        <f>IF($A12="","",IF(Allocation!$N$1="VOL_EFF",$Q12,IF(Allocation!$N$1="VOL_CLASS",$R12,$S12)))</f>
        <v/>
      </c>
      <c r="AH12" t="str">
        <f>IF($A12="","",IF(Allocation!$N$1="VOL_EFF",$T12,IF(Allocation!$N$1="VOL_CLASS",$U12,$V12)))</f>
        <v/>
      </c>
      <c r="AI12" t="str">
        <f t="shared" si="12"/>
        <v/>
      </c>
      <c r="AJ12" t="str">
        <f t="shared" si="13"/>
        <v/>
      </c>
      <c r="AK12" t="str">
        <f t="shared" si="14"/>
        <v/>
      </c>
      <c r="AL12" t="str">
        <f t="shared" si="15"/>
        <v/>
      </c>
      <c r="AM12" t="str">
        <f t="shared" si="16"/>
        <v/>
      </c>
      <c r="AN12" t="str">
        <f t="shared" si="17"/>
        <v/>
      </c>
      <c r="AO12" t="str">
        <f>IF($A12="","",Allocation!CJ12)</f>
        <v/>
      </c>
      <c r="AP12" t="str">
        <f>IF($A12="","",IF(Allocation!$N$2="VOL_EFF",$Q12,IF(Allocation!$N$2="VOL_CLASS",$R12,$S12)))</f>
        <v/>
      </c>
      <c r="AQ12" t="str">
        <f>IF($A12="","",IF(Allocation!$N$2="VOL_EFF",$T12,IF(Allocation!$N$2="VOL_CLASS",$U12,$V12)))</f>
        <v/>
      </c>
      <c r="AR12" t="str">
        <f t="shared" si="18"/>
        <v/>
      </c>
      <c r="AS12" t="str">
        <f>IF($A12="","",$A12&amp;"|"&amp;Allocation!BG12)</f>
        <v/>
      </c>
    </row>
    <row r="13" spans="1:46" x14ac:dyDescent="0.45">
      <c r="A13" t="str">
        <f>IF(Allocation!BI13="","",Allocation!BI13)</f>
        <v/>
      </c>
      <c r="B13" t="str">
        <f>IF(Allocation!BJ13="","",Allocation!BJ13)</f>
        <v/>
      </c>
      <c r="C13" t="str">
        <f>IF(Allocation!BK13="","",Allocation!BK13)</f>
        <v/>
      </c>
      <c r="D13" t="str">
        <f>IF(Allocation!BL13="","",Allocation!BL13)</f>
        <v/>
      </c>
      <c r="E13" t="str">
        <f>IF(Allocation!BM13="","",Allocation!BM13)</f>
        <v/>
      </c>
      <c r="F13" t="str">
        <f>IF(Allocation!BN13="","",Allocation!BN13)</f>
        <v/>
      </c>
      <c r="G13" t="str">
        <f>IF(Allocation!BO13="","",Allocation!BO13)</f>
        <v/>
      </c>
      <c r="H13" t="str">
        <f>IF(Allocation!BP13="","",Allocation!BP13)</f>
        <v/>
      </c>
      <c r="I13" t="str">
        <f>IF(Allocation!BQ13="","",Allocation!BQ13)</f>
        <v/>
      </c>
      <c r="J13" t="str">
        <f>IF(Allocation!CC13="","",Allocation!CC13)</f>
        <v/>
      </c>
      <c r="K13" t="str">
        <f t="shared" si="0"/>
        <v/>
      </c>
      <c r="L13" t="str">
        <f t="shared" si="1"/>
        <v/>
      </c>
      <c r="M13" t="str">
        <f t="shared" si="2"/>
        <v/>
      </c>
      <c r="N13" t="str">
        <f t="shared" si="3"/>
        <v/>
      </c>
      <c r="O13" t="str">
        <f t="shared" si="4"/>
        <v/>
      </c>
      <c r="P13" t="str">
        <f t="shared" si="5"/>
        <v/>
      </c>
      <c r="Q13" t="str">
        <f t="shared" si="6"/>
        <v/>
      </c>
      <c r="R13" t="str">
        <f t="shared" si="7"/>
        <v/>
      </c>
      <c r="S13" t="str">
        <f t="shared" si="8"/>
        <v/>
      </c>
      <c r="T13" t="str">
        <f t="shared" si="9"/>
        <v/>
      </c>
      <c r="U13" t="str">
        <f t="shared" si="10"/>
        <v/>
      </c>
      <c r="V13" t="str">
        <f t="shared" si="11"/>
        <v/>
      </c>
      <c r="W13" t="str">
        <f>IF($A13="","",Allocation!CD13)</f>
        <v/>
      </c>
      <c r="X13" t="str">
        <f>IF($A13="","",Allocation!CE13)</f>
        <v/>
      </c>
      <c r="Y13" t="str">
        <f>IF($A13="","",Allocation!CF13)</f>
        <v/>
      </c>
      <c r="Z13" t="str">
        <f>IF($A13="","",Allocation!CG13)</f>
        <v/>
      </c>
      <c r="AA13" t="str">
        <f>IF($A13="","",Allocation!CH13)</f>
        <v/>
      </c>
      <c r="AB13" t="str">
        <f>IF($A13="","",Allocation!CI13)</f>
        <v/>
      </c>
      <c r="AC13" t="str">
        <f>IF($A13="","",IF(Allocation!$N$4="VOL_EFF",$G13,IF(Allocation!$N$4="VOL_CLASS",$H13,$I13)))</f>
        <v/>
      </c>
      <c r="AD13" t="str">
        <f>IF($A13="","",IF(Allocation!$N$4="VOL_EFF",$L13,IF(Allocation!$N$4="VOL_CLASS",$M13,$N13)))</f>
        <v/>
      </c>
      <c r="AE13" t="str">
        <f>IF($A13="","",IF(Allocation!$N$3="VOL_EFF",$L13,IF(Allocation!$N$3="VOL_CLASS",$M13,$N13)))</f>
        <v/>
      </c>
      <c r="AF13" t="str">
        <f>IF($A13="","",IF(Allocation!$N$3="VOL_EFF",$Q13,IF(Allocation!$N$3="VOL_CLASS",$R13,$S13)))</f>
        <v/>
      </c>
      <c r="AG13" t="str">
        <f>IF($A13="","",IF(Allocation!$N$1="VOL_EFF",$Q13,IF(Allocation!$N$1="VOL_CLASS",$R13,$S13)))</f>
        <v/>
      </c>
      <c r="AH13" t="str">
        <f>IF($A13="","",IF(Allocation!$N$1="VOL_EFF",$T13,IF(Allocation!$N$1="VOL_CLASS",$U13,$V13)))</f>
        <v/>
      </c>
      <c r="AI13" t="str">
        <f t="shared" si="12"/>
        <v/>
      </c>
      <c r="AJ13" t="str">
        <f t="shared" si="13"/>
        <v/>
      </c>
      <c r="AK13" t="str">
        <f t="shared" si="14"/>
        <v/>
      </c>
      <c r="AL13" t="str">
        <f t="shared" si="15"/>
        <v/>
      </c>
      <c r="AM13" t="str">
        <f t="shared" si="16"/>
        <v/>
      </c>
      <c r="AN13" t="str">
        <f t="shared" si="17"/>
        <v/>
      </c>
      <c r="AO13" t="str">
        <f>IF($A13="","",Allocation!CJ13)</f>
        <v/>
      </c>
      <c r="AP13" t="str">
        <f>IF($A13="","",IF(Allocation!$N$2="VOL_EFF",$Q13,IF(Allocation!$N$2="VOL_CLASS",$R13,$S13)))</f>
        <v/>
      </c>
      <c r="AQ13" t="str">
        <f>IF($A13="","",IF(Allocation!$N$2="VOL_EFF",$T13,IF(Allocation!$N$2="VOL_CLASS",$U13,$V13)))</f>
        <v/>
      </c>
      <c r="AR13" t="str">
        <f t="shared" si="18"/>
        <v/>
      </c>
      <c r="AS13" t="str">
        <f>IF($A13="","",$A13&amp;"|"&amp;Allocation!BG13)</f>
        <v/>
      </c>
    </row>
    <row r="14" spans="1:46" x14ac:dyDescent="0.45">
      <c r="A14" t="str">
        <f>IF(Allocation!BI14="","",Allocation!BI14)</f>
        <v/>
      </c>
      <c r="B14" t="str">
        <f>IF(Allocation!BJ14="","",Allocation!BJ14)</f>
        <v/>
      </c>
      <c r="C14" t="str">
        <f>IF(Allocation!BK14="","",Allocation!BK14)</f>
        <v/>
      </c>
      <c r="D14" t="str">
        <f>IF(Allocation!BL14="","",Allocation!BL14)</f>
        <v/>
      </c>
      <c r="E14" t="str">
        <f>IF(Allocation!BM14="","",Allocation!BM14)</f>
        <v/>
      </c>
      <c r="F14" t="str">
        <f>IF(Allocation!BN14="","",Allocation!BN14)</f>
        <v/>
      </c>
      <c r="G14" t="str">
        <f>IF(Allocation!BO14="","",Allocation!BO14)</f>
        <v/>
      </c>
      <c r="H14" t="str">
        <f>IF(Allocation!BP14="","",Allocation!BP14)</f>
        <v/>
      </c>
      <c r="I14" t="str">
        <f>IF(Allocation!BQ14="","",Allocation!BQ14)</f>
        <v/>
      </c>
      <c r="J14" t="str">
        <f>IF(Allocation!CC14="","",Allocation!CC14)</f>
        <v/>
      </c>
      <c r="K14" t="str">
        <f t="shared" si="0"/>
        <v/>
      </c>
      <c r="L14" t="str">
        <f t="shared" si="1"/>
        <v/>
      </c>
      <c r="M14" t="str">
        <f t="shared" si="2"/>
        <v/>
      </c>
      <c r="N14" t="str">
        <f t="shared" si="3"/>
        <v/>
      </c>
      <c r="O14" t="str">
        <f t="shared" si="4"/>
        <v/>
      </c>
      <c r="P14" t="str">
        <f t="shared" si="5"/>
        <v/>
      </c>
      <c r="Q14" t="str">
        <f t="shared" si="6"/>
        <v/>
      </c>
      <c r="R14" t="str">
        <f t="shared" si="7"/>
        <v/>
      </c>
      <c r="S14" t="str">
        <f t="shared" si="8"/>
        <v/>
      </c>
      <c r="T14" t="str">
        <f t="shared" si="9"/>
        <v/>
      </c>
      <c r="U14" t="str">
        <f t="shared" si="10"/>
        <v/>
      </c>
      <c r="V14" t="str">
        <f t="shared" si="11"/>
        <v/>
      </c>
      <c r="W14" t="str">
        <f>IF($A14="","",Allocation!CD14)</f>
        <v/>
      </c>
      <c r="X14" t="str">
        <f>IF($A14="","",Allocation!CE14)</f>
        <v/>
      </c>
      <c r="Y14" t="str">
        <f>IF($A14="","",Allocation!CF14)</f>
        <v/>
      </c>
      <c r="Z14" t="str">
        <f>IF($A14="","",Allocation!CG14)</f>
        <v/>
      </c>
      <c r="AA14" t="str">
        <f>IF($A14="","",Allocation!CH14)</f>
        <v/>
      </c>
      <c r="AB14" t="str">
        <f>IF($A14="","",Allocation!CI14)</f>
        <v/>
      </c>
      <c r="AC14" t="str">
        <f>IF($A14="","",IF(Allocation!$N$4="VOL_EFF",$G14,IF(Allocation!$N$4="VOL_CLASS",$H14,$I14)))</f>
        <v/>
      </c>
      <c r="AD14" t="str">
        <f>IF($A14="","",IF(Allocation!$N$4="VOL_EFF",$L14,IF(Allocation!$N$4="VOL_CLASS",$M14,$N14)))</f>
        <v/>
      </c>
      <c r="AE14" t="str">
        <f>IF($A14="","",IF(Allocation!$N$3="VOL_EFF",$L14,IF(Allocation!$N$3="VOL_CLASS",$M14,$N14)))</f>
        <v/>
      </c>
      <c r="AF14" t="str">
        <f>IF($A14="","",IF(Allocation!$N$3="VOL_EFF",$Q14,IF(Allocation!$N$3="VOL_CLASS",$R14,$S14)))</f>
        <v/>
      </c>
      <c r="AG14" t="str">
        <f>IF($A14="","",IF(Allocation!$N$1="VOL_EFF",$Q14,IF(Allocation!$N$1="VOL_CLASS",$R14,$S14)))</f>
        <v/>
      </c>
      <c r="AH14" t="str">
        <f>IF($A14="","",IF(Allocation!$N$1="VOL_EFF",$T14,IF(Allocation!$N$1="VOL_CLASS",$U14,$V14)))</f>
        <v/>
      </c>
      <c r="AI14" t="str">
        <f t="shared" si="12"/>
        <v/>
      </c>
      <c r="AJ14" t="str">
        <f t="shared" si="13"/>
        <v/>
      </c>
      <c r="AK14" t="str">
        <f t="shared" si="14"/>
        <v/>
      </c>
      <c r="AL14" t="str">
        <f t="shared" si="15"/>
        <v/>
      </c>
      <c r="AM14" t="str">
        <f t="shared" si="16"/>
        <v/>
      </c>
      <c r="AN14" t="str">
        <f t="shared" si="17"/>
        <v/>
      </c>
      <c r="AO14" t="str">
        <f>IF($A14="","",Allocation!CJ14)</f>
        <v/>
      </c>
      <c r="AP14" t="str">
        <f>IF($A14="","",IF(Allocation!$N$2="VOL_EFF",$Q14,IF(Allocation!$N$2="VOL_CLASS",$R14,$S14)))</f>
        <v/>
      </c>
      <c r="AQ14" t="str">
        <f>IF($A14="","",IF(Allocation!$N$2="VOL_EFF",$T14,IF(Allocation!$N$2="VOL_CLASS",$U14,$V14)))</f>
        <v/>
      </c>
      <c r="AR14" t="str">
        <f t="shared" si="18"/>
        <v/>
      </c>
      <c r="AS14" t="str">
        <f>IF($A14="","",$A14&amp;"|"&amp;Allocation!BG14)</f>
        <v/>
      </c>
    </row>
    <row r="15" spans="1:46" x14ac:dyDescent="0.45">
      <c r="A15" t="str">
        <f>IF(Allocation!BI15="","",Allocation!BI15)</f>
        <v/>
      </c>
      <c r="B15" t="str">
        <f>IF(Allocation!BJ15="","",Allocation!BJ15)</f>
        <v/>
      </c>
      <c r="C15" t="str">
        <f>IF(Allocation!BK15="","",Allocation!BK15)</f>
        <v/>
      </c>
      <c r="D15" t="str">
        <f>IF(Allocation!BL15="","",Allocation!BL15)</f>
        <v/>
      </c>
      <c r="E15" t="str">
        <f>IF(Allocation!BM15="","",Allocation!BM15)</f>
        <v/>
      </c>
      <c r="F15" t="str">
        <f>IF(Allocation!BN15="","",Allocation!BN15)</f>
        <v/>
      </c>
      <c r="G15" t="str">
        <f>IF(Allocation!BO15="","",Allocation!BO15)</f>
        <v/>
      </c>
      <c r="H15" t="str">
        <f>IF(Allocation!BP15="","",Allocation!BP15)</f>
        <v/>
      </c>
      <c r="I15" t="str">
        <f>IF(Allocation!BQ15="","",Allocation!BQ15)</f>
        <v/>
      </c>
      <c r="J15" t="str">
        <f>IF(Allocation!CC15="","",Allocation!CC15)</f>
        <v/>
      </c>
      <c r="K15" t="str">
        <f t="shared" si="0"/>
        <v/>
      </c>
      <c r="L15" t="str">
        <f t="shared" si="1"/>
        <v/>
      </c>
      <c r="M15" t="str">
        <f t="shared" si="2"/>
        <v/>
      </c>
      <c r="N15" t="str">
        <f t="shared" si="3"/>
        <v/>
      </c>
      <c r="O15" t="str">
        <f t="shared" si="4"/>
        <v/>
      </c>
      <c r="P15" t="str">
        <f t="shared" si="5"/>
        <v/>
      </c>
      <c r="Q15" t="str">
        <f t="shared" si="6"/>
        <v/>
      </c>
      <c r="R15" t="str">
        <f t="shared" si="7"/>
        <v/>
      </c>
      <c r="S15" t="str">
        <f t="shared" si="8"/>
        <v/>
      </c>
      <c r="T15" t="str">
        <f t="shared" si="9"/>
        <v/>
      </c>
      <c r="U15" t="str">
        <f t="shared" si="10"/>
        <v/>
      </c>
      <c r="V15" t="str">
        <f t="shared" si="11"/>
        <v/>
      </c>
      <c r="W15" t="str">
        <f>IF($A15="","",Allocation!CD15)</f>
        <v/>
      </c>
      <c r="X15" t="str">
        <f>IF($A15="","",Allocation!CE15)</f>
        <v/>
      </c>
      <c r="Y15" t="str">
        <f>IF($A15="","",Allocation!CF15)</f>
        <v/>
      </c>
      <c r="Z15" t="str">
        <f>IF($A15="","",Allocation!CG15)</f>
        <v/>
      </c>
      <c r="AA15" t="str">
        <f>IF($A15="","",Allocation!CH15)</f>
        <v/>
      </c>
      <c r="AB15" t="str">
        <f>IF($A15="","",Allocation!CI15)</f>
        <v/>
      </c>
      <c r="AC15" t="str">
        <f>IF($A15="","",IF(Allocation!$N$4="VOL_EFF",$G15,IF(Allocation!$N$4="VOL_CLASS",$H15,$I15)))</f>
        <v/>
      </c>
      <c r="AD15" t="str">
        <f>IF($A15="","",IF(Allocation!$N$4="VOL_EFF",$L15,IF(Allocation!$N$4="VOL_CLASS",$M15,$N15)))</f>
        <v/>
      </c>
      <c r="AE15" t="str">
        <f>IF($A15="","",IF(Allocation!$N$3="VOL_EFF",$L15,IF(Allocation!$N$3="VOL_CLASS",$M15,$N15)))</f>
        <v/>
      </c>
      <c r="AF15" t="str">
        <f>IF($A15="","",IF(Allocation!$N$3="VOL_EFF",$Q15,IF(Allocation!$N$3="VOL_CLASS",$R15,$S15)))</f>
        <v/>
      </c>
      <c r="AG15" t="str">
        <f>IF($A15="","",IF(Allocation!$N$1="VOL_EFF",$Q15,IF(Allocation!$N$1="VOL_CLASS",$R15,$S15)))</f>
        <v/>
      </c>
      <c r="AH15" t="str">
        <f>IF($A15="","",IF(Allocation!$N$1="VOL_EFF",$T15,IF(Allocation!$N$1="VOL_CLASS",$U15,$V15)))</f>
        <v/>
      </c>
      <c r="AI15" t="str">
        <f t="shared" si="12"/>
        <v/>
      </c>
      <c r="AJ15" t="str">
        <f t="shared" si="13"/>
        <v/>
      </c>
      <c r="AK15" t="str">
        <f t="shared" si="14"/>
        <v/>
      </c>
      <c r="AL15" t="str">
        <f t="shared" si="15"/>
        <v/>
      </c>
      <c r="AM15" t="str">
        <f t="shared" si="16"/>
        <v/>
      </c>
      <c r="AN15" t="str">
        <f t="shared" si="17"/>
        <v/>
      </c>
      <c r="AO15" t="str">
        <f>IF($A15="","",Allocation!CJ15)</f>
        <v/>
      </c>
      <c r="AP15" t="str">
        <f>IF($A15="","",IF(Allocation!$N$2="VOL_EFF",$Q15,IF(Allocation!$N$2="VOL_CLASS",$R15,$S15)))</f>
        <v/>
      </c>
      <c r="AQ15" t="str">
        <f>IF($A15="","",IF(Allocation!$N$2="VOL_EFF",$T15,IF(Allocation!$N$2="VOL_CLASS",$U15,$V15)))</f>
        <v/>
      </c>
      <c r="AR15" t="str">
        <f t="shared" si="18"/>
        <v/>
      </c>
      <c r="AS15" t="str">
        <f>IF($A15="","",$A15&amp;"|"&amp;Allocation!BG15)</f>
        <v/>
      </c>
    </row>
    <row r="16" spans="1:46" x14ac:dyDescent="0.45">
      <c r="A16" t="str">
        <f>IF(Allocation!BI16="","",Allocation!BI16)</f>
        <v/>
      </c>
      <c r="B16" t="str">
        <f>IF(Allocation!BJ16="","",Allocation!BJ16)</f>
        <v/>
      </c>
      <c r="C16" t="str">
        <f>IF(Allocation!BK16="","",Allocation!BK16)</f>
        <v/>
      </c>
      <c r="D16" t="str">
        <f>IF(Allocation!BL16="","",Allocation!BL16)</f>
        <v/>
      </c>
      <c r="E16" t="str">
        <f>IF(Allocation!BM16="","",Allocation!BM16)</f>
        <v/>
      </c>
      <c r="F16" t="str">
        <f>IF(Allocation!BN16="","",Allocation!BN16)</f>
        <v/>
      </c>
      <c r="G16" t="str">
        <f>IF(Allocation!BO16="","",Allocation!BO16)</f>
        <v/>
      </c>
      <c r="H16" t="str">
        <f>IF(Allocation!BP16="","",Allocation!BP16)</f>
        <v/>
      </c>
      <c r="I16" t="str">
        <f>IF(Allocation!BQ16="","",Allocation!BQ16)</f>
        <v/>
      </c>
      <c r="J16" t="str">
        <f>IF(Allocation!CC16="","",Allocation!CC16)</f>
        <v/>
      </c>
      <c r="K16" t="str">
        <f t="shared" si="0"/>
        <v/>
      </c>
      <c r="L16" t="str">
        <f t="shared" si="1"/>
        <v/>
      </c>
      <c r="M16" t="str">
        <f t="shared" si="2"/>
        <v/>
      </c>
      <c r="N16" t="str">
        <f t="shared" si="3"/>
        <v/>
      </c>
      <c r="O16" t="str">
        <f t="shared" si="4"/>
        <v/>
      </c>
      <c r="P16" t="str">
        <f t="shared" si="5"/>
        <v/>
      </c>
      <c r="Q16" t="str">
        <f t="shared" si="6"/>
        <v/>
      </c>
      <c r="R16" t="str">
        <f t="shared" si="7"/>
        <v/>
      </c>
      <c r="S16" t="str">
        <f t="shared" si="8"/>
        <v/>
      </c>
      <c r="T16" t="str">
        <f t="shared" si="9"/>
        <v/>
      </c>
      <c r="U16" t="str">
        <f t="shared" si="10"/>
        <v/>
      </c>
      <c r="V16" t="str">
        <f t="shared" si="11"/>
        <v/>
      </c>
      <c r="W16" t="str">
        <f>IF($A16="","",Allocation!CD16)</f>
        <v/>
      </c>
      <c r="X16" t="str">
        <f>IF($A16="","",Allocation!CE16)</f>
        <v/>
      </c>
      <c r="Y16" t="str">
        <f>IF($A16="","",Allocation!CF16)</f>
        <v/>
      </c>
      <c r="Z16" t="str">
        <f>IF($A16="","",Allocation!CG16)</f>
        <v/>
      </c>
      <c r="AA16" t="str">
        <f>IF($A16="","",Allocation!CH16)</f>
        <v/>
      </c>
      <c r="AB16" t="str">
        <f>IF($A16="","",Allocation!CI16)</f>
        <v/>
      </c>
      <c r="AC16" t="str">
        <f>IF($A16="","",IF(Allocation!$N$4="VOL_EFF",$G16,IF(Allocation!$N$4="VOL_CLASS",$H16,$I16)))</f>
        <v/>
      </c>
      <c r="AD16" t="str">
        <f>IF($A16="","",IF(Allocation!$N$4="VOL_EFF",$L16,IF(Allocation!$N$4="VOL_CLASS",$M16,$N16)))</f>
        <v/>
      </c>
      <c r="AE16" t="str">
        <f>IF($A16="","",IF(Allocation!$N$3="VOL_EFF",$L16,IF(Allocation!$N$3="VOL_CLASS",$M16,$N16)))</f>
        <v/>
      </c>
      <c r="AF16" t="str">
        <f>IF($A16="","",IF(Allocation!$N$3="VOL_EFF",$Q16,IF(Allocation!$N$3="VOL_CLASS",$R16,$S16)))</f>
        <v/>
      </c>
      <c r="AG16" t="str">
        <f>IF($A16="","",IF(Allocation!$N$1="VOL_EFF",$Q16,IF(Allocation!$N$1="VOL_CLASS",$R16,$S16)))</f>
        <v/>
      </c>
      <c r="AH16" t="str">
        <f>IF($A16="","",IF(Allocation!$N$1="VOL_EFF",$T16,IF(Allocation!$N$1="VOL_CLASS",$U16,$V16)))</f>
        <v/>
      </c>
      <c r="AI16" t="str">
        <f t="shared" si="12"/>
        <v/>
      </c>
      <c r="AJ16" t="str">
        <f t="shared" si="13"/>
        <v/>
      </c>
      <c r="AK16" t="str">
        <f t="shared" si="14"/>
        <v/>
      </c>
      <c r="AL16" t="str">
        <f t="shared" si="15"/>
        <v/>
      </c>
      <c r="AM16" t="str">
        <f t="shared" si="16"/>
        <v/>
      </c>
      <c r="AN16" t="str">
        <f t="shared" si="17"/>
        <v/>
      </c>
      <c r="AO16" t="str">
        <f>IF($A16="","",Allocation!CJ16)</f>
        <v/>
      </c>
      <c r="AP16" t="str">
        <f>IF($A16="","",IF(Allocation!$N$2="VOL_EFF",$Q16,IF(Allocation!$N$2="VOL_CLASS",$R16,$S16)))</f>
        <v/>
      </c>
      <c r="AQ16" t="str">
        <f>IF($A16="","",IF(Allocation!$N$2="VOL_EFF",$T16,IF(Allocation!$N$2="VOL_CLASS",$U16,$V16)))</f>
        <v/>
      </c>
      <c r="AR16" t="str">
        <f t="shared" si="18"/>
        <v/>
      </c>
      <c r="AS16" t="str">
        <f>IF($A16="","",$A16&amp;"|"&amp;Allocation!BG16)</f>
        <v/>
      </c>
    </row>
    <row r="17" spans="1:45" x14ac:dyDescent="0.45">
      <c r="A17" t="str">
        <f>IF(Allocation!BI17="","",Allocation!BI17)</f>
        <v/>
      </c>
      <c r="B17" t="str">
        <f>IF(Allocation!BJ17="","",Allocation!BJ17)</f>
        <v/>
      </c>
      <c r="C17" t="str">
        <f>IF(Allocation!BK17="","",Allocation!BK17)</f>
        <v/>
      </c>
      <c r="D17" t="str">
        <f>IF(Allocation!BL17="","",Allocation!BL17)</f>
        <v/>
      </c>
      <c r="E17" t="str">
        <f>IF(Allocation!BM17="","",Allocation!BM17)</f>
        <v/>
      </c>
      <c r="F17" t="str">
        <f>IF(Allocation!BN17="","",Allocation!BN17)</f>
        <v/>
      </c>
      <c r="G17" t="str">
        <f>IF(Allocation!BO17="","",Allocation!BO17)</f>
        <v/>
      </c>
      <c r="H17" t="str">
        <f>IF(Allocation!BP17="","",Allocation!BP17)</f>
        <v/>
      </c>
      <c r="I17" t="str">
        <f>IF(Allocation!BQ17="","",Allocation!BQ17)</f>
        <v/>
      </c>
      <c r="J17" t="str">
        <f>IF(Allocation!CC17="","",Allocation!CC17)</f>
        <v/>
      </c>
      <c r="K17" t="str">
        <f t="shared" si="0"/>
        <v/>
      </c>
      <c r="L17" t="str">
        <f t="shared" si="1"/>
        <v/>
      </c>
      <c r="M17" t="str">
        <f t="shared" si="2"/>
        <v/>
      </c>
      <c r="N17" t="str">
        <f t="shared" si="3"/>
        <v/>
      </c>
      <c r="O17" t="str">
        <f t="shared" si="4"/>
        <v/>
      </c>
      <c r="P17" t="str">
        <f t="shared" si="5"/>
        <v/>
      </c>
      <c r="Q17" t="str">
        <f t="shared" si="6"/>
        <v/>
      </c>
      <c r="R17" t="str">
        <f t="shared" si="7"/>
        <v/>
      </c>
      <c r="S17" t="str">
        <f t="shared" si="8"/>
        <v/>
      </c>
      <c r="T17" t="str">
        <f t="shared" si="9"/>
        <v/>
      </c>
      <c r="U17" t="str">
        <f t="shared" si="10"/>
        <v/>
      </c>
      <c r="V17" t="str">
        <f t="shared" si="11"/>
        <v/>
      </c>
      <c r="W17" t="str">
        <f>IF($A17="","",Allocation!CD17)</f>
        <v/>
      </c>
      <c r="X17" t="str">
        <f>IF($A17="","",Allocation!CE17)</f>
        <v/>
      </c>
      <c r="Y17" t="str">
        <f>IF($A17="","",Allocation!CF17)</f>
        <v/>
      </c>
      <c r="Z17" t="str">
        <f>IF($A17="","",Allocation!CG17)</f>
        <v/>
      </c>
      <c r="AA17" t="str">
        <f>IF($A17="","",Allocation!CH17)</f>
        <v/>
      </c>
      <c r="AB17" t="str">
        <f>IF($A17="","",Allocation!CI17)</f>
        <v/>
      </c>
      <c r="AC17" t="str">
        <f>IF($A17="","",IF(Allocation!$N$4="VOL_EFF",$G17,IF(Allocation!$N$4="VOL_CLASS",$H17,$I17)))</f>
        <v/>
      </c>
      <c r="AD17" t="str">
        <f>IF($A17="","",IF(Allocation!$N$4="VOL_EFF",$L17,IF(Allocation!$N$4="VOL_CLASS",$M17,$N17)))</f>
        <v/>
      </c>
      <c r="AE17" t="str">
        <f>IF($A17="","",IF(Allocation!$N$3="VOL_EFF",$L17,IF(Allocation!$N$3="VOL_CLASS",$M17,$N17)))</f>
        <v/>
      </c>
      <c r="AF17" t="str">
        <f>IF($A17="","",IF(Allocation!$N$3="VOL_EFF",$Q17,IF(Allocation!$N$3="VOL_CLASS",$R17,$S17)))</f>
        <v/>
      </c>
      <c r="AG17" t="str">
        <f>IF($A17="","",IF(Allocation!$N$1="VOL_EFF",$Q17,IF(Allocation!$N$1="VOL_CLASS",$R17,$S17)))</f>
        <v/>
      </c>
      <c r="AH17" t="str">
        <f>IF($A17="","",IF(Allocation!$N$1="VOL_EFF",$T17,IF(Allocation!$N$1="VOL_CLASS",$U17,$V17)))</f>
        <v/>
      </c>
      <c r="AI17" t="str">
        <f t="shared" si="12"/>
        <v/>
      </c>
      <c r="AJ17" t="str">
        <f t="shared" si="13"/>
        <v/>
      </c>
      <c r="AK17" t="str">
        <f t="shared" si="14"/>
        <v/>
      </c>
      <c r="AL17" t="str">
        <f t="shared" si="15"/>
        <v/>
      </c>
      <c r="AM17" t="str">
        <f t="shared" si="16"/>
        <v/>
      </c>
      <c r="AN17" t="str">
        <f t="shared" si="17"/>
        <v/>
      </c>
      <c r="AO17" t="str">
        <f>IF($A17="","",Allocation!CJ17)</f>
        <v/>
      </c>
      <c r="AP17" t="str">
        <f>IF($A17="","",IF(Allocation!$N$2="VOL_EFF",$Q17,IF(Allocation!$N$2="VOL_CLASS",$R17,$S17)))</f>
        <v/>
      </c>
      <c r="AQ17" t="str">
        <f>IF($A17="","",IF(Allocation!$N$2="VOL_EFF",$T17,IF(Allocation!$N$2="VOL_CLASS",$U17,$V17)))</f>
        <v/>
      </c>
      <c r="AR17" t="str">
        <f t="shared" si="18"/>
        <v/>
      </c>
      <c r="AS17" t="str">
        <f>IF($A17="","",$A17&amp;"|"&amp;Allocation!BG17)</f>
        <v/>
      </c>
    </row>
    <row r="18" spans="1:45" x14ac:dyDescent="0.45">
      <c r="A18" t="str">
        <f>IF(Allocation!BI18="","",Allocation!BI18)</f>
        <v/>
      </c>
      <c r="B18" t="str">
        <f>IF(Allocation!BJ18="","",Allocation!BJ18)</f>
        <v/>
      </c>
      <c r="C18" t="str">
        <f>IF(Allocation!BK18="","",Allocation!BK18)</f>
        <v/>
      </c>
      <c r="D18" t="str">
        <f>IF(Allocation!BL18="","",Allocation!BL18)</f>
        <v/>
      </c>
      <c r="E18" t="str">
        <f>IF(Allocation!BM18="","",Allocation!BM18)</f>
        <v/>
      </c>
      <c r="F18" t="str">
        <f>IF(Allocation!BN18="","",Allocation!BN18)</f>
        <v/>
      </c>
      <c r="G18" t="str">
        <f>IF(Allocation!BO18="","",Allocation!BO18)</f>
        <v/>
      </c>
      <c r="H18" t="str">
        <f>IF(Allocation!BP18="","",Allocation!BP18)</f>
        <v/>
      </c>
      <c r="I18" t="str">
        <f>IF(Allocation!BQ18="","",Allocation!BQ18)</f>
        <v/>
      </c>
      <c r="J18" t="str">
        <f>IF(Allocation!CC18="","",Allocation!CC18)</f>
        <v/>
      </c>
      <c r="K18" t="str">
        <f t="shared" si="0"/>
        <v/>
      </c>
      <c r="L18" t="str">
        <f t="shared" si="1"/>
        <v/>
      </c>
      <c r="M18" t="str">
        <f t="shared" si="2"/>
        <v/>
      </c>
      <c r="N18" t="str">
        <f t="shared" si="3"/>
        <v/>
      </c>
      <c r="O18" t="str">
        <f t="shared" si="4"/>
        <v/>
      </c>
      <c r="P18" t="str">
        <f t="shared" si="5"/>
        <v/>
      </c>
      <c r="Q18" t="str">
        <f t="shared" si="6"/>
        <v/>
      </c>
      <c r="R18" t="str">
        <f t="shared" si="7"/>
        <v/>
      </c>
      <c r="S18" t="str">
        <f t="shared" si="8"/>
        <v/>
      </c>
      <c r="T18" t="str">
        <f t="shared" si="9"/>
        <v/>
      </c>
      <c r="U18" t="str">
        <f t="shared" si="10"/>
        <v/>
      </c>
      <c r="V18" t="str">
        <f t="shared" si="11"/>
        <v/>
      </c>
      <c r="W18" t="str">
        <f>IF($A18="","",Allocation!CD18)</f>
        <v/>
      </c>
      <c r="X18" t="str">
        <f>IF($A18="","",Allocation!CE18)</f>
        <v/>
      </c>
      <c r="Y18" t="str">
        <f>IF($A18="","",Allocation!CF18)</f>
        <v/>
      </c>
      <c r="Z18" t="str">
        <f>IF($A18="","",Allocation!CG18)</f>
        <v/>
      </c>
      <c r="AA18" t="str">
        <f>IF($A18="","",Allocation!CH18)</f>
        <v/>
      </c>
      <c r="AB18" t="str">
        <f>IF($A18="","",Allocation!CI18)</f>
        <v/>
      </c>
      <c r="AC18" t="str">
        <f>IF($A18="","",IF(Allocation!$N$4="VOL_EFF",$G18,IF(Allocation!$N$4="VOL_CLASS",$H18,$I18)))</f>
        <v/>
      </c>
      <c r="AD18" t="str">
        <f>IF($A18="","",IF(Allocation!$N$4="VOL_EFF",$L18,IF(Allocation!$N$4="VOL_CLASS",$M18,$N18)))</f>
        <v/>
      </c>
      <c r="AE18" t="str">
        <f>IF($A18="","",IF(Allocation!$N$3="VOL_EFF",$L18,IF(Allocation!$N$3="VOL_CLASS",$M18,$N18)))</f>
        <v/>
      </c>
      <c r="AF18" t="str">
        <f>IF($A18="","",IF(Allocation!$N$3="VOL_EFF",$Q18,IF(Allocation!$N$3="VOL_CLASS",$R18,$S18)))</f>
        <v/>
      </c>
      <c r="AG18" t="str">
        <f>IF($A18="","",IF(Allocation!$N$1="VOL_EFF",$Q18,IF(Allocation!$N$1="VOL_CLASS",$R18,$S18)))</f>
        <v/>
      </c>
      <c r="AH18" t="str">
        <f>IF($A18="","",IF(Allocation!$N$1="VOL_EFF",$T18,IF(Allocation!$N$1="VOL_CLASS",$U18,$V18)))</f>
        <v/>
      </c>
      <c r="AI18" t="str">
        <f t="shared" si="12"/>
        <v/>
      </c>
      <c r="AJ18" t="str">
        <f t="shared" si="13"/>
        <v/>
      </c>
      <c r="AK18" t="str">
        <f t="shared" si="14"/>
        <v/>
      </c>
      <c r="AL18" t="str">
        <f t="shared" si="15"/>
        <v/>
      </c>
      <c r="AM18" t="str">
        <f t="shared" si="16"/>
        <v/>
      </c>
      <c r="AN18" t="str">
        <f t="shared" si="17"/>
        <v/>
      </c>
      <c r="AO18" t="str">
        <f>IF($A18="","",Allocation!CJ18)</f>
        <v/>
      </c>
      <c r="AP18" t="str">
        <f>IF($A18="","",IF(Allocation!$N$2="VOL_EFF",$Q18,IF(Allocation!$N$2="VOL_CLASS",$R18,$S18)))</f>
        <v/>
      </c>
      <c r="AQ18" t="str">
        <f>IF($A18="","",IF(Allocation!$N$2="VOL_EFF",$T18,IF(Allocation!$N$2="VOL_CLASS",$U18,$V18)))</f>
        <v/>
      </c>
      <c r="AR18" t="str">
        <f t="shared" si="18"/>
        <v/>
      </c>
      <c r="AS18" t="str">
        <f>IF($A18="","",$A18&amp;"|"&amp;Allocation!BG18)</f>
        <v/>
      </c>
    </row>
    <row r="19" spans="1:45" x14ac:dyDescent="0.45">
      <c r="A19" t="str">
        <f>IF(Allocation!BI19="","",Allocation!BI19)</f>
        <v/>
      </c>
      <c r="B19" t="str">
        <f>IF(Allocation!BJ19="","",Allocation!BJ19)</f>
        <v/>
      </c>
      <c r="C19" t="str">
        <f>IF(Allocation!BK19="","",Allocation!BK19)</f>
        <v/>
      </c>
      <c r="D19" t="str">
        <f>IF(Allocation!BL19="","",Allocation!BL19)</f>
        <v/>
      </c>
      <c r="E19" t="str">
        <f>IF(Allocation!BM19="","",Allocation!BM19)</f>
        <v/>
      </c>
      <c r="F19" t="str">
        <f>IF(Allocation!BN19="","",Allocation!BN19)</f>
        <v/>
      </c>
      <c r="G19" t="str">
        <f>IF(Allocation!BO19="","",Allocation!BO19)</f>
        <v/>
      </c>
      <c r="H19" t="str">
        <f>IF(Allocation!BP19="","",Allocation!BP19)</f>
        <v/>
      </c>
      <c r="I19" t="str">
        <f>IF(Allocation!BQ19="","",Allocation!BQ19)</f>
        <v/>
      </c>
      <c r="J19" t="str">
        <f>IF(Allocation!CC19="","",Allocation!CC19)</f>
        <v/>
      </c>
      <c r="K19" t="str">
        <f t="shared" si="0"/>
        <v/>
      </c>
      <c r="L19" t="str">
        <f t="shared" si="1"/>
        <v/>
      </c>
      <c r="M19" t="str">
        <f t="shared" si="2"/>
        <v/>
      </c>
      <c r="N19" t="str">
        <f t="shared" si="3"/>
        <v/>
      </c>
      <c r="O19" t="str">
        <f t="shared" si="4"/>
        <v/>
      </c>
      <c r="P19" t="str">
        <f t="shared" si="5"/>
        <v/>
      </c>
      <c r="Q19" t="str">
        <f t="shared" si="6"/>
        <v/>
      </c>
      <c r="R19" t="str">
        <f t="shared" si="7"/>
        <v/>
      </c>
      <c r="S19" t="str">
        <f t="shared" si="8"/>
        <v/>
      </c>
      <c r="T19" t="str">
        <f t="shared" si="9"/>
        <v/>
      </c>
      <c r="U19" t="str">
        <f t="shared" si="10"/>
        <v/>
      </c>
      <c r="V19" t="str">
        <f t="shared" si="11"/>
        <v/>
      </c>
      <c r="W19" t="str">
        <f>IF($A19="","",Allocation!CD19)</f>
        <v/>
      </c>
      <c r="X19" t="str">
        <f>IF($A19="","",Allocation!CE19)</f>
        <v/>
      </c>
      <c r="Y19" t="str">
        <f>IF($A19="","",Allocation!CF19)</f>
        <v/>
      </c>
      <c r="Z19" t="str">
        <f>IF($A19="","",Allocation!CG19)</f>
        <v/>
      </c>
      <c r="AA19" t="str">
        <f>IF($A19="","",Allocation!CH19)</f>
        <v/>
      </c>
      <c r="AB19" t="str">
        <f>IF($A19="","",Allocation!CI19)</f>
        <v/>
      </c>
      <c r="AC19" t="str">
        <f>IF($A19="","",IF(Allocation!$N$4="VOL_EFF",$G19,IF(Allocation!$N$4="VOL_CLASS",$H19,$I19)))</f>
        <v/>
      </c>
      <c r="AD19" t="str">
        <f>IF($A19="","",IF(Allocation!$N$4="VOL_EFF",$L19,IF(Allocation!$N$4="VOL_CLASS",$M19,$N19)))</f>
        <v/>
      </c>
      <c r="AE19" t="str">
        <f>IF($A19="","",IF(Allocation!$N$3="VOL_EFF",$L19,IF(Allocation!$N$3="VOL_CLASS",$M19,$N19)))</f>
        <v/>
      </c>
      <c r="AF19" t="str">
        <f>IF($A19="","",IF(Allocation!$N$3="VOL_EFF",$Q19,IF(Allocation!$N$3="VOL_CLASS",$R19,$S19)))</f>
        <v/>
      </c>
      <c r="AG19" t="str">
        <f>IF($A19="","",IF(Allocation!$N$1="VOL_EFF",$Q19,IF(Allocation!$N$1="VOL_CLASS",$R19,$S19)))</f>
        <v/>
      </c>
      <c r="AH19" t="str">
        <f>IF($A19="","",IF(Allocation!$N$1="VOL_EFF",$T19,IF(Allocation!$N$1="VOL_CLASS",$U19,$V19)))</f>
        <v/>
      </c>
      <c r="AI19" t="str">
        <f t="shared" si="12"/>
        <v/>
      </c>
      <c r="AJ19" t="str">
        <f t="shared" si="13"/>
        <v/>
      </c>
      <c r="AK19" t="str">
        <f t="shared" si="14"/>
        <v/>
      </c>
      <c r="AL19" t="str">
        <f t="shared" si="15"/>
        <v/>
      </c>
      <c r="AM19" t="str">
        <f t="shared" si="16"/>
        <v/>
      </c>
      <c r="AN19" t="str">
        <f t="shared" si="17"/>
        <v/>
      </c>
      <c r="AO19" t="str">
        <f>IF($A19="","",Allocation!CJ19)</f>
        <v/>
      </c>
      <c r="AP19" t="str">
        <f>IF($A19="","",IF(Allocation!$N$2="VOL_EFF",$Q19,IF(Allocation!$N$2="VOL_CLASS",$R19,$S19)))</f>
        <v/>
      </c>
      <c r="AQ19" t="str">
        <f>IF($A19="","",IF(Allocation!$N$2="VOL_EFF",$T19,IF(Allocation!$N$2="VOL_CLASS",$U19,$V19)))</f>
        <v/>
      </c>
      <c r="AR19" t="str">
        <f t="shared" si="18"/>
        <v/>
      </c>
      <c r="AS19" t="str">
        <f>IF($A19="","",$A19&amp;"|"&amp;Allocation!BG19)</f>
        <v/>
      </c>
    </row>
    <row r="20" spans="1:45" x14ac:dyDescent="0.45">
      <c r="A20" t="str">
        <f>IF(Allocation!BI20="","",Allocation!BI20)</f>
        <v/>
      </c>
      <c r="B20" t="str">
        <f>IF(Allocation!BJ20="","",Allocation!BJ20)</f>
        <v/>
      </c>
      <c r="C20" t="str">
        <f>IF(Allocation!BK20="","",Allocation!BK20)</f>
        <v/>
      </c>
      <c r="D20" t="str">
        <f>IF(Allocation!BL20="","",Allocation!BL20)</f>
        <v/>
      </c>
      <c r="E20" t="str">
        <f>IF(Allocation!BM20="","",Allocation!BM20)</f>
        <v/>
      </c>
      <c r="F20" t="str">
        <f>IF(Allocation!BN20="","",Allocation!BN20)</f>
        <v/>
      </c>
      <c r="G20" t="str">
        <f>IF(Allocation!BO20="","",Allocation!BO20)</f>
        <v/>
      </c>
      <c r="H20" t="str">
        <f>IF(Allocation!BP20="","",Allocation!BP20)</f>
        <v/>
      </c>
      <c r="I20" t="str">
        <f>IF(Allocation!BQ20="","",Allocation!BQ20)</f>
        <v/>
      </c>
      <c r="J20" t="str">
        <f>IF(Allocation!CC20="","",Allocation!CC20)</f>
        <v/>
      </c>
      <c r="K20" t="str">
        <f t="shared" si="0"/>
        <v/>
      </c>
      <c r="L20" t="str">
        <f t="shared" si="1"/>
        <v/>
      </c>
      <c r="M20" t="str">
        <f t="shared" si="2"/>
        <v/>
      </c>
      <c r="N20" t="str">
        <f t="shared" si="3"/>
        <v/>
      </c>
      <c r="O20" t="str">
        <f t="shared" si="4"/>
        <v/>
      </c>
      <c r="P20" t="str">
        <f t="shared" si="5"/>
        <v/>
      </c>
      <c r="Q20" t="str">
        <f t="shared" si="6"/>
        <v/>
      </c>
      <c r="R20" t="str">
        <f t="shared" si="7"/>
        <v/>
      </c>
      <c r="S20" t="str">
        <f t="shared" si="8"/>
        <v/>
      </c>
      <c r="T20" t="str">
        <f t="shared" si="9"/>
        <v/>
      </c>
      <c r="U20" t="str">
        <f t="shared" si="10"/>
        <v/>
      </c>
      <c r="V20" t="str">
        <f t="shared" si="11"/>
        <v/>
      </c>
      <c r="W20" t="str">
        <f>IF($A20="","",Allocation!CD20)</f>
        <v/>
      </c>
      <c r="X20" t="str">
        <f>IF($A20="","",Allocation!CE20)</f>
        <v/>
      </c>
      <c r="Y20" t="str">
        <f>IF($A20="","",Allocation!CF20)</f>
        <v/>
      </c>
      <c r="Z20" t="str">
        <f>IF($A20="","",Allocation!CG20)</f>
        <v/>
      </c>
      <c r="AA20" t="str">
        <f>IF($A20="","",Allocation!CH20)</f>
        <v/>
      </c>
      <c r="AB20" t="str">
        <f>IF($A20="","",Allocation!CI20)</f>
        <v/>
      </c>
      <c r="AC20" t="str">
        <f>IF($A20="","",IF(Allocation!$N$4="VOL_EFF",$G20,IF(Allocation!$N$4="VOL_CLASS",$H20,$I20)))</f>
        <v/>
      </c>
      <c r="AD20" t="str">
        <f>IF($A20="","",IF(Allocation!$N$4="VOL_EFF",$L20,IF(Allocation!$N$4="VOL_CLASS",$M20,$N20)))</f>
        <v/>
      </c>
      <c r="AE20" t="str">
        <f>IF($A20="","",IF(Allocation!$N$3="VOL_EFF",$L20,IF(Allocation!$N$3="VOL_CLASS",$M20,$N20)))</f>
        <v/>
      </c>
      <c r="AF20" t="str">
        <f>IF($A20="","",IF(Allocation!$N$3="VOL_EFF",$Q20,IF(Allocation!$N$3="VOL_CLASS",$R20,$S20)))</f>
        <v/>
      </c>
      <c r="AG20" t="str">
        <f>IF($A20="","",IF(Allocation!$N$1="VOL_EFF",$Q20,IF(Allocation!$N$1="VOL_CLASS",$R20,$S20)))</f>
        <v/>
      </c>
      <c r="AH20" t="str">
        <f>IF($A20="","",IF(Allocation!$N$1="VOL_EFF",$T20,IF(Allocation!$N$1="VOL_CLASS",$U20,$V20)))</f>
        <v/>
      </c>
      <c r="AI20" t="str">
        <f t="shared" si="12"/>
        <v/>
      </c>
      <c r="AJ20" t="str">
        <f t="shared" si="13"/>
        <v/>
      </c>
      <c r="AK20" t="str">
        <f t="shared" si="14"/>
        <v/>
      </c>
      <c r="AL20" t="str">
        <f t="shared" si="15"/>
        <v/>
      </c>
      <c r="AM20" t="str">
        <f t="shared" si="16"/>
        <v/>
      </c>
      <c r="AN20" t="str">
        <f t="shared" si="17"/>
        <v/>
      </c>
      <c r="AO20" t="str">
        <f>IF($A20="","",Allocation!CJ20)</f>
        <v/>
      </c>
      <c r="AP20" t="str">
        <f>IF($A20="","",IF(Allocation!$N$2="VOL_EFF",$Q20,IF(Allocation!$N$2="VOL_CLASS",$R20,$S20)))</f>
        <v/>
      </c>
      <c r="AQ20" t="str">
        <f>IF($A20="","",IF(Allocation!$N$2="VOL_EFF",$T20,IF(Allocation!$N$2="VOL_CLASS",$U20,$V20)))</f>
        <v/>
      </c>
      <c r="AR20" t="str">
        <f t="shared" si="18"/>
        <v/>
      </c>
      <c r="AS20" t="str">
        <f>IF($A20="","",$A20&amp;"|"&amp;Allocation!BG20)</f>
        <v/>
      </c>
    </row>
    <row r="21" spans="1:45" x14ac:dyDescent="0.45">
      <c r="A21" t="str">
        <f>IF(Allocation!BI21="","",Allocation!BI21)</f>
        <v/>
      </c>
      <c r="B21" t="str">
        <f>IF(Allocation!BJ21="","",Allocation!BJ21)</f>
        <v/>
      </c>
      <c r="C21" t="str">
        <f>IF(Allocation!BK21="","",Allocation!BK21)</f>
        <v/>
      </c>
      <c r="D21" t="str">
        <f>IF(Allocation!BL21="","",Allocation!BL21)</f>
        <v/>
      </c>
      <c r="E21" t="str">
        <f>IF(Allocation!BM21="","",Allocation!BM21)</f>
        <v/>
      </c>
      <c r="F21" t="str">
        <f>IF(Allocation!BN21="","",Allocation!BN21)</f>
        <v/>
      </c>
      <c r="G21" t="str">
        <f>IF(Allocation!BO21="","",Allocation!BO21)</f>
        <v/>
      </c>
      <c r="H21" t="str">
        <f>IF(Allocation!BP21="","",Allocation!BP21)</f>
        <v/>
      </c>
      <c r="I21" t="str">
        <f>IF(Allocation!BQ21="","",Allocation!BQ21)</f>
        <v/>
      </c>
      <c r="J21" t="str">
        <f>IF(Allocation!CC21="","",Allocation!CC21)</f>
        <v/>
      </c>
      <c r="K21" t="str">
        <f t="shared" si="0"/>
        <v/>
      </c>
      <c r="L21" t="str">
        <f t="shared" si="1"/>
        <v/>
      </c>
      <c r="M21" t="str">
        <f t="shared" si="2"/>
        <v/>
      </c>
      <c r="N21" t="str">
        <f t="shared" si="3"/>
        <v/>
      </c>
      <c r="O21" t="str">
        <f t="shared" si="4"/>
        <v/>
      </c>
      <c r="P21" t="str">
        <f t="shared" si="5"/>
        <v/>
      </c>
      <c r="Q21" t="str">
        <f t="shared" si="6"/>
        <v/>
      </c>
      <c r="R21" t="str">
        <f t="shared" si="7"/>
        <v/>
      </c>
      <c r="S21" t="str">
        <f t="shared" si="8"/>
        <v/>
      </c>
      <c r="T21" t="str">
        <f t="shared" si="9"/>
        <v/>
      </c>
      <c r="U21" t="str">
        <f t="shared" si="10"/>
        <v/>
      </c>
      <c r="V21" t="str">
        <f t="shared" si="11"/>
        <v/>
      </c>
      <c r="W21" t="str">
        <f>IF($A21="","",Allocation!CD21)</f>
        <v/>
      </c>
      <c r="X21" t="str">
        <f>IF($A21="","",Allocation!CE21)</f>
        <v/>
      </c>
      <c r="Y21" t="str">
        <f>IF($A21="","",Allocation!CF21)</f>
        <v/>
      </c>
      <c r="Z21" t="str">
        <f>IF($A21="","",Allocation!CG21)</f>
        <v/>
      </c>
      <c r="AA21" t="str">
        <f>IF($A21="","",Allocation!CH21)</f>
        <v/>
      </c>
      <c r="AB21" t="str">
        <f>IF($A21="","",Allocation!CI21)</f>
        <v/>
      </c>
      <c r="AC21" t="str">
        <f>IF($A21="","",IF(Allocation!$N$4="VOL_EFF",$G21,IF(Allocation!$N$4="VOL_CLASS",$H21,$I21)))</f>
        <v/>
      </c>
      <c r="AD21" t="str">
        <f>IF($A21="","",IF(Allocation!$N$4="VOL_EFF",$L21,IF(Allocation!$N$4="VOL_CLASS",$M21,$N21)))</f>
        <v/>
      </c>
      <c r="AE21" t="str">
        <f>IF($A21="","",IF(Allocation!$N$3="VOL_EFF",$L21,IF(Allocation!$N$3="VOL_CLASS",$M21,$N21)))</f>
        <v/>
      </c>
      <c r="AF21" t="str">
        <f>IF($A21="","",IF(Allocation!$N$3="VOL_EFF",$Q21,IF(Allocation!$N$3="VOL_CLASS",$R21,$S21)))</f>
        <v/>
      </c>
      <c r="AG21" t="str">
        <f>IF($A21="","",IF(Allocation!$N$1="VOL_EFF",$Q21,IF(Allocation!$N$1="VOL_CLASS",$R21,$S21)))</f>
        <v/>
      </c>
      <c r="AH21" t="str">
        <f>IF($A21="","",IF(Allocation!$N$1="VOL_EFF",$T21,IF(Allocation!$N$1="VOL_CLASS",$U21,$V21)))</f>
        <v/>
      </c>
      <c r="AI21" t="str">
        <f t="shared" si="12"/>
        <v/>
      </c>
      <c r="AJ21" t="str">
        <f t="shared" si="13"/>
        <v/>
      </c>
      <c r="AK21" t="str">
        <f t="shared" si="14"/>
        <v/>
      </c>
      <c r="AL21" t="str">
        <f t="shared" si="15"/>
        <v/>
      </c>
      <c r="AM21" t="str">
        <f t="shared" si="16"/>
        <v/>
      </c>
      <c r="AN21" t="str">
        <f t="shared" si="17"/>
        <v/>
      </c>
      <c r="AO21" t="str">
        <f>IF($A21="","",Allocation!CJ21)</f>
        <v/>
      </c>
      <c r="AP21" t="str">
        <f>IF($A21="","",IF(Allocation!$N$2="VOL_EFF",$Q21,IF(Allocation!$N$2="VOL_CLASS",$R21,$S21)))</f>
        <v/>
      </c>
      <c r="AQ21" t="str">
        <f>IF($A21="","",IF(Allocation!$N$2="VOL_EFF",$T21,IF(Allocation!$N$2="VOL_CLASS",$U21,$V21)))</f>
        <v/>
      </c>
      <c r="AR21" t="str">
        <f t="shared" si="18"/>
        <v/>
      </c>
      <c r="AS21" t="str">
        <f>IF($A21="","",$A21&amp;"|"&amp;Allocation!BG21)</f>
        <v/>
      </c>
    </row>
    <row r="22" spans="1:45" x14ac:dyDescent="0.45">
      <c r="A22" t="str">
        <f>IF(Allocation!BI22="","",Allocation!BI22)</f>
        <v/>
      </c>
      <c r="B22" t="str">
        <f>IF(Allocation!BJ22="","",Allocation!BJ22)</f>
        <v/>
      </c>
      <c r="C22" t="str">
        <f>IF(Allocation!BK22="","",Allocation!BK22)</f>
        <v/>
      </c>
      <c r="D22" t="str">
        <f>IF(Allocation!BL22="","",Allocation!BL22)</f>
        <v/>
      </c>
      <c r="E22" t="str">
        <f>IF(Allocation!BM22="","",Allocation!BM22)</f>
        <v/>
      </c>
      <c r="F22" t="str">
        <f>IF(Allocation!BN22="","",Allocation!BN22)</f>
        <v/>
      </c>
      <c r="G22" t="str">
        <f>IF(Allocation!BO22="","",Allocation!BO22)</f>
        <v/>
      </c>
      <c r="H22" t="str">
        <f>IF(Allocation!BP22="","",Allocation!BP22)</f>
        <v/>
      </c>
      <c r="I22" t="str">
        <f>IF(Allocation!BQ22="","",Allocation!BQ22)</f>
        <v/>
      </c>
      <c r="J22" t="str">
        <f>IF(Allocation!CC22="","",Allocation!CC22)</f>
        <v/>
      </c>
      <c r="K22" t="str">
        <f t="shared" si="0"/>
        <v/>
      </c>
      <c r="L22" t="str">
        <f t="shared" si="1"/>
        <v/>
      </c>
      <c r="M22" t="str">
        <f t="shared" si="2"/>
        <v/>
      </c>
      <c r="N22" t="str">
        <f t="shared" si="3"/>
        <v/>
      </c>
      <c r="O22" t="str">
        <f t="shared" si="4"/>
        <v/>
      </c>
      <c r="P22" t="str">
        <f t="shared" si="5"/>
        <v/>
      </c>
      <c r="Q22" t="str">
        <f t="shared" si="6"/>
        <v/>
      </c>
      <c r="R22" t="str">
        <f t="shared" si="7"/>
        <v/>
      </c>
      <c r="S22" t="str">
        <f t="shared" si="8"/>
        <v/>
      </c>
      <c r="T22" t="str">
        <f t="shared" si="9"/>
        <v/>
      </c>
      <c r="U22" t="str">
        <f t="shared" si="10"/>
        <v/>
      </c>
      <c r="V22" t="str">
        <f t="shared" si="11"/>
        <v/>
      </c>
      <c r="W22" t="str">
        <f>IF($A22="","",Allocation!CD22)</f>
        <v/>
      </c>
      <c r="X22" t="str">
        <f>IF($A22="","",Allocation!CE22)</f>
        <v/>
      </c>
      <c r="Y22" t="str">
        <f>IF($A22="","",Allocation!CF22)</f>
        <v/>
      </c>
      <c r="Z22" t="str">
        <f>IF($A22="","",Allocation!CG22)</f>
        <v/>
      </c>
      <c r="AA22" t="str">
        <f>IF($A22="","",Allocation!CH22)</f>
        <v/>
      </c>
      <c r="AB22" t="str">
        <f>IF($A22="","",Allocation!CI22)</f>
        <v/>
      </c>
      <c r="AC22" t="str">
        <f>IF($A22="","",IF(Allocation!$N$4="VOL_EFF",$G22,IF(Allocation!$N$4="VOL_CLASS",$H22,$I22)))</f>
        <v/>
      </c>
      <c r="AD22" t="str">
        <f>IF($A22="","",IF(Allocation!$N$4="VOL_EFF",$L22,IF(Allocation!$N$4="VOL_CLASS",$M22,$N22)))</f>
        <v/>
      </c>
      <c r="AE22" t="str">
        <f>IF($A22="","",IF(Allocation!$N$3="VOL_EFF",$L22,IF(Allocation!$N$3="VOL_CLASS",$M22,$N22)))</f>
        <v/>
      </c>
      <c r="AF22" t="str">
        <f>IF($A22="","",IF(Allocation!$N$3="VOL_EFF",$Q22,IF(Allocation!$N$3="VOL_CLASS",$R22,$S22)))</f>
        <v/>
      </c>
      <c r="AG22" t="str">
        <f>IF($A22="","",IF(Allocation!$N$1="VOL_EFF",$Q22,IF(Allocation!$N$1="VOL_CLASS",$R22,$S22)))</f>
        <v/>
      </c>
      <c r="AH22" t="str">
        <f>IF($A22="","",IF(Allocation!$N$1="VOL_EFF",$T22,IF(Allocation!$N$1="VOL_CLASS",$U22,$V22)))</f>
        <v/>
      </c>
      <c r="AI22" t="str">
        <f t="shared" si="12"/>
        <v/>
      </c>
      <c r="AJ22" t="str">
        <f t="shared" si="13"/>
        <v/>
      </c>
      <c r="AK22" t="str">
        <f t="shared" si="14"/>
        <v/>
      </c>
      <c r="AL22" t="str">
        <f t="shared" si="15"/>
        <v/>
      </c>
      <c r="AM22" t="str">
        <f t="shared" si="16"/>
        <v/>
      </c>
      <c r="AN22" t="str">
        <f t="shared" si="17"/>
        <v/>
      </c>
      <c r="AO22" t="str">
        <f>IF($A22="","",Allocation!CJ22)</f>
        <v/>
      </c>
      <c r="AP22" t="str">
        <f>IF($A22="","",IF(Allocation!$N$2="VOL_EFF",$Q22,IF(Allocation!$N$2="VOL_CLASS",$R22,$S22)))</f>
        <v/>
      </c>
      <c r="AQ22" t="str">
        <f>IF($A22="","",IF(Allocation!$N$2="VOL_EFF",$T22,IF(Allocation!$N$2="VOL_CLASS",$U22,$V22)))</f>
        <v/>
      </c>
      <c r="AR22" t="str">
        <f t="shared" si="18"/>
        <v/>
      </c>
      <c r="AS22" t="str">
        <f>IF($A22="","",$A22&amp;"|"&amp;Allocation!BG22)</f>
        <v/>
      </c>
    </row>
    <row r="23" spans="1:45" x14ac:dyDescent="0.45">
      <c r="A23" t="str">
        <f>IF(Allocation!BI23="","",Allocation!BI23)</f>
        <v/>
      </c>
      <c r="B23" t="str">
        <f>IF(Allocation!BJ23="","",Allocation!BJ23)</f>
        <v/>
      </c>
      <c r="C23" t="str">
        <f>IF(Allocation!BK23="","",Allocation!BK23)</f>
        <v/>
      </c>
      <c r="D23" t="str">
        <f>IF(Allocation!BL23="","",Allocation!BL23)</f>
        <v/>
      </c>
      <c r="E23" t="str">
        <f>IF(Allocation!BM23="","",Allocation!BM23)</f>
        <v/>
      </c>
      <c r="F23" t="str">
        <f>IF(Allocation!BN23="","",Allocation!BN23)</f>
        <v/>
      </c>
      <c r="G23" t="str">
        <f>IF(Allocation!BO23="","",Allocation!BO23)</f>
        <v/>
      </c>
      <c r="H23" t="str">
        <f>IF(Allocation!BP23="","",Allocation!BP23)</f>
        <v/>
      </c>
      <c r="I23" t="str">
        <f>IF(Allocation!BQ23="","",Allocation!BQ23)</f>
        <v/>
      </c>
      <c r="J23" t="str">
        <f>IF(Allocation!CC23="","",Allocation!CC23)</f>
        <v/>
      </c>
      <c r="K23" t="str">
        <f t="shared" si="0"/>
        <v/>
      </c>
      <c r="L23" t="str">
        <f t="shared" si="1"/>
        <v/>
      </c>
      <c r="M23" t="str">
        <f t="shared" si="2"/>
        <v/>
      </c>
      <c r="N23" t="str">
        <f t="shared" si="3"/>
        <v/>
      </c>
      <c r="O23" t="str">
        <f t="shared" si="4"/>
        <v/>
      </c>
      <c r="P23" t="str">
        <f t="shared" si="5"/>
        <v/>
      </c>
      <c r="Q23" t="str">
        <f t="shared" si="6"/>
        <v/>
      </c>
      <c r="R23" t="str">
        <f t="shared" si="7"/>
        <v/>
      </c>
      <c r="S23" t="str">
        <f t="shared" si="8"/>
        <v/>
      </c>
      <c r="T23" t="str">
        <f t="shared" si="9"/>
        <v/>
      </c>
      <c r="U23" t="str">
        <f t="shared" si="10"/>
        <v/>
      </c>
      <c r="V23" t="str">
        <f t="shared" si="11"/>
        <v/>
      </c>
      <c r="W23" t="str">
        <f>IF($A23="","",Allocation!CD23)</f>
        <v/>
      </c>
      <c r="X23" t="str">
        <f>IF($A23="","",Allocation!CE23)</f>
        <v/>
      </c>
      <c r="Y23" t="str">
        <f>IF($A23="","",Allocation!CF23)</f>
        <v/>
      </c>
      <c r="Z23" t="str">
        <f>IF($A23="","",Allocation!CG23)</f>
        <v/>
      </c>
      <c r="AA23" t="str">
        <f>IF($A23="","",Allocation!CH23)</f>
        <v/>
      </c>
      <c r="AB23" t="str">
        <f>IF($A23="","",Allocation!CI23)</f>
        <v/>
      </c>
      <c r="AC23" t="str">
        <f>IF($A23="","",IF(Allocation!$N$4="VOL_EFF",$G23,IF(Allocation!$N$4="VOL_CLASS",$H23,$I23)))</f>
        <v/>
      </c>
      <c r="AD23" t="str">
        <f>IF($A23="","",IF(Allocation!$N$4="VOL_EFF",$L23,IF(Allocation!$N$4="VOL_CLASS",$M23,$N23)))</f>
        <v/>
      </c>
      <c r="AE23" t="str">
        <f>IF($A23="","",IF(Allocation!$N$3="VOL_EFF",$L23,IF(Allocation!$N$3="VOL_CLASS",$M23,$N23)))</f>
        <v/>
      </c>
      <c r="AF23" t="str">
        <f>IF($A23="","",IF(Allocation!$N$3="VOL_EFF",$Q23,IF(Allocation!$N$3="VOL_CLASS",$R23,$S23)))</f>
        <v/>
      </c>
      <c r="AG23" t="str">
        <f>IF($A23="","",IF(Allocation!$N$1="VOL_EFF",$Q23,IF(Allocation!$N$1="VOL_CLASS",$R23,$S23)))</f>
        <v/>
      </c>
      <c r="AH23" t="str">
        <f>IF($A23="","",IF(Allocation!$N$1="VOL_EFF",$T23,IF(Allocation!$N$1="VOL_CLASS",$U23,$V23)))</f>
        <v/>
      </c>
      <c r="AI23" t="str">
        <f t="shared" si="12"/>
        <v/>
      </c>
      <c r="AJ23" t="str">
        <f t="shared" si="13"/>
        <v/>
      </c>
      <c r="AK23" t="str">
        <f t="shared" si="14"/>
        <v/>
      </c>
      <c r="AL23" t="str">
        <f t="shared" si="15"/>
        <v/>
      </c>
      <c r="AM23" t="str">
        <f t="shared" si="16"/>
        <v/>
      </c>
      <c r="AN23" t="str">
        <f t="shared" si="17"/>
        <v/>
      </c>
      <c r="AO23" t="str">
        <f>IF($A23="","",Allocation!CJ23)</f>
        <v/>
      </c>
      <c r="AP23" t="str">
        <f>IF($A23="","",IF(Allocation!$N$2="VOL_EFF",$Q23,IF(Allocation!$N$2="VOL_CLASS",$R23,$S23)))</f>
        <v/>
      </c>
      <c r="AQ23" t="str">
        <f>IF($A23="","",IF(Allocation!$N$2="VOL_EFF",$T23,IF(Allocation!$N$2="VOL_CLASS",$U23,$V23)))</f>
        <v/>
      </c>
      <c r="AR23" t="str">
        <f t="shared" si="18"/>
        <v/>
      </c>
      <c r="AS23" t="str">
        <f>IF($A23="","",$A23&amp;"|"&amp;Allocation!BG23)</f>
        <v/>
      </c>
    </row>
    <row r="24" spans="1:45" x14ac:dyDescent="0.45">
      <c r="A24" t="str">
        <f>IF(Allocation!BI24="","",Allocation!BI24)</f>
        <v/>
      </c>
      <c r="B24" t="str">
        <f>IF(Allocation!BJ24="","",Allocation!BJ24)</f>
        <v/>
      </c>
      <c r="C24" t="str">
        <f>IF(Allocation!BK24="","",Allocation!BK24)</f>
        <v/>
      </c>
      <c r="D24" t="str">
        <f>IF(Allocation!BL24="","",Allocation!BL24)</f>
        <v/>
      </c>
      <c r="E24" t="str">
        <f>IF(Allocation!BM24="","",Allocation!BM24)</f>
        <v/>
      </c>
      <c r="F24" t="str">
        <f>IF(Allocation!BN24="","",Allocation!BN24)</f>
        <v/>
      </c>
      <c r="G24" t="str">
        <f>IF(Allocation!BO24="","",Allocation!BO24)</f>
        <v/>
      </c>
      <c r="H24" t="str">
        <f>IF(Allocation!BP24="","",Allocation!BP24)</f>
        <v/>
      </c>
      <c r="I24" t="str">
        <f>IF(Allocation!BQ24="","",Allocation!BQ24)</f>
        <v/>
      </c>
      <c r="J24" t="str">
        <f>IF(Allocation!CC24="","",Allocation!CC24)</f>
        <v/>
      </c>
      <c r="K24" t="str">
        <f t="shared" si="0"/>
        <v/>
      </c>
      <c r="L24" t="str">
        <f t="shared" si="1"/>
        <v/>
      </c>
      <c r="M24" t="str">
        <f t="shared" si="2"/>
        <v/>
      </c>
      <c r="N24" t="str">
        <f t="shared" si="3"/>
        <v/>
      </c>
      <c r="O24" t="str">
        <f t="shared" si="4"/>
        <v/>
      </c>
      <c r="P24" t="str">
        <f t="shared" si="5"/>
        <v/>
      </c>
      <c r="Q24" t="str">
        <f t="shared" si="6"/>
        <v/>
      </c>
      <c r="R24" t="str">
        <f t="shared" si="7"/>
        <v/>
      </c>
      <c r="S24" t="str">
        <f t="shared" si="8"/>
        <v/>
      </c>
      <c r="T24" t="str">
        <f t="shared" si="9"/>
        <v/>
      </c>
      <c r="U24" t="str">
        <f t="shared" si="10"/>
        <v/>
      </c>
      <c r="V24" t="str">
        <f t="shared" si="11"/>
        <v/>
      </c>
      <c r="W24" t="str">
        <f>IF($A24="","",Allocation!CD24)</f>
        <v/>
      </c>
      <c r="X24" t="str">
        <f>IF($A24="","",Allocation!CE24)</f>
        <v/>
      </c>
      <c r="Y24" t="str">
        <f>IF($A24="","",Allocation!CF24)</f>
        <v/>
      </c>
      <c r="Z24" t="str">
        <f>IF($A24="","",Allocation!CG24)</f>
        <v/>
      </c>
      <c r="AA24" t="str">
        <f>IF($A24="","",Allocation!CH24)</f>
        <v/>
      </c>
      <c r="AB24" t="str">
        <f>IF($A24="","",Allocation!CI24)</f>
        <v/>
      </c>
      <c r="AC24" t="str">
        <f>IF($A24="","",IF(Allocation!$N$4="VOL_EFF",$G24,IF(Allocation!$N$4="VOL_CLASS",$H24,$I24)))</f>
        <v/>
      </c>
      <c r="AD24" t="str">
        <f>IF($A24="","",IF(Allocation!$N$4="VOL_EFF",$L24,IF(Allocation!$N$4="VOL_CLASS",$M24,$N24)))</f>
        <v/>
      </c>
      <c r="AE24" t="str">
        <f>IF($A24="","",IF(Allocation!$N$3="VOL_EFF",$L24,IF(Allocation!$N$3="VOL_CLASS",$M24,$N24)))</f>
        <v/>
      </c>
      <c r="AF24" t="str">
        <f>IF($A24="","",IF(Allocation!$N$3="VOL_EFF",$Q24,IF(Allocation!$N$3="VOL_CLASS",$R24,$S24)))</f>
        <v/>
      </c>
      <c r="AG24" t="str">
        <f>IF($A24="","",IF(Allocation!$N$1="VOL_EFF",$Q24,IF(Allocation!$N$1="VOL_CLASS",$R24,$S24)))</f>
        <v/>
      </c>
      <c r="AH24" t="str">
        <f>IF($A24="","",IF(Allocation!$N$1="VOL_EFF",$T24,IF(Allocation!$N$1="VOL_CLASS",$U24,$V24)))</f>
        <v/>
      </c>
      <c r="AI24" t="str">
        <f t="shared" si="12"/>
        <v/>
      </c>
      <c r="AJ24" t="str">
        <f t="shared" si="13"/>
        <v/>
      </c>
      <c r="AK24" t="str">
        <f t="shared" si="14"/>
        <v/>
      </c>
      <c r="AL24" t="str">
        <f t="shared" si="15"/>
        <v/>
      </c>
      <c r="AM24" t="str">
        <f t="shared" si="16"/>
        <v/>
      </c>
      <c r="AN24" t="str">
        <f t="shared" si="17"/>
        <v/>
      </c>
      <c r="AO24" t="str">
        <f>IF($A24="","",Allocation!CJ24)</f>
        <v/>
      </c>
      <c r="AP24" t="str">
        <f>IF($A24="","",IF(Allocation!$N$2="VOL_EFF",$Q24,IF(Allocation!$N$2="VOL_CLASS",$R24,$S24)))</f>
        <v/>
      </c>
      <c r="AQ24" t="str">
        <f>IF($A24="","",IF(Allocation!$N$2="VOL_EFF",$T24,IF(Allocation!$N$2="VOL_CLASS",$U24,$V24)))</f>
        <v/>
      </c>
      <c r="AR24" t="str">
        <f t="shared" si="18"/>
        <v/>
      </c>
      <c r="AS24" t="str">
        <f>IF($A24="","",$A24&amp;"|"&amp;Allocation!BG24)</f>
        <v/>
      </c>
    </row>
    <row r="25" spans="1:45" x14ac:dyDescent="0.45">
      <c r="A25" t="str">
        <f>IF(Allocation!BI25="","",Allocation!BI25)</f>
        <v/>
      </c>
      <c r="B25" t="str">
        <f>IF(Allocation!BJ25="","",Allocation!BJ25)</f>
        <v/>
      </c>
      <c r="C25" t="str">
        <f>IF(Allocation!BK25="","",Allocation!BK25)</f>
        <v/>
      </c>
      <c r="D25" t="str">
        <f>IF(Allocation!BL25="","",Allocation!BL25)</f>
        <v/>
      </c>
      <c r="E25" t="str">
        <f>IF(Allocation!BM25="","",Allocation!BM25)</f>
        <v/>
      </c>
      <c r="F25" t="str">
        <f>IF(Allocation!BN25="","",Allocation!BN25)</f>
        <v/>
      </c>
      <c r="G25" t="str">
        <f>IF(Allocation!BO25="","",Allocation!BO25)</f>
        <v/>
      </c>
      <c r="H25" t="str">
        <f>IF(Allocation!BP25="","",Allocation!BP25)</f>
        <v/>
      </c>
      <c r="I25" t="str">
        <f>IF(Allocation!BQ25="","",Allocation!BQ25)</f>
        <v/>
      </c>
      <c r="J25" t="str">
        <f>IF(Allocation!CC25="","",Allocation!CC25)</f>
        <v/>
      </c>
      <c r="K25" t="str">
        <f t="shared" si="0"/>
        <v/>
      </c>
      <c r="L25" t="str">
        <f t="shared" si="1"/>
        <v/>
      </c>
      <c r="M25" t="str">
        <f t="shared" si="2"/>
        <v/>
      </c>
      <c r="N25" t="str">
        <f t="shared" si="3"/>
        <v/>
      </c>
      <c r="O25" t="str">
        <f t="shared" si="4"/>
        <v/>
      </c>
      <c r="P25" t="str">
        <f t="shared" si="5"/>
        <v/>
      </c>
      <c r="Q25" t="str">
        <f t="shared" si="6"/>
        <v/>
      </c>
      <c r="R25" t="str">
        <f t="shared" si="7"/>
        <v/>
      </c>
      <c r="S25" t="str">
        <f t="shared" si="8"/>
        <v/>
      </c>
      <c r="T25" t="str">
        <f t="shared" si="9"/>
        <v/>
      </c>
      <c r="U25" t="str">
        <f t="shared" si="10"/>
        <v/>
      </c>
      <c r="V25" t="str">
        <f t="shared" si="11"/>
        <v/>
      </c>
      <c r="W25" t="str">
        <f>IF($A25="","",Allocation!CD25)</f>
        <v/>
      </c>
      <c r="X25" t="str">
        <f>IF($A25="","",Allocation!CE25)</f>
        <v/>
      </c>
      <c r="Y25" t="str">
        <f>IF($A25="","",Allocation!CF25)</f>
        <v/>
      </c>
      <c r="Z25" t="str">
        <f>IF($A25="","",Allocation!CG25)</f>
        <v/>
      </c>
      <c r="AA25" t="str">
        <f>IF($A25="","",Allocation!CH25)</f>
        <v/>
      </c>
      <c r="AB25" t="str">
        <f>IF($A25="","",Allocation!CI25)</f>
        <v/>
      </c>
      <c r="AC25" t="str">
        <f>IF($A25="","",IF(Allocation!$N$4="VOL_EFF",$G25,IF(Allocation!$N$4="VOL_CLASS",$H25,$I25)))</f>
        <v/>
      </c>
      <c r="AD25" t="str">
        <f>IF($A25="","",IF(Allocation!$N$4="VOL_EFF",$L25,IF(Allocation!$N$4="VOL_CLASS",$M25,$N25)))</f>
        <v/>
      </c>
      <c r="AE25" t="str">
        <f>IF($A25="","",IF(Allocation!$N$3="VOL_EFF",$L25,IF(Allocation!$N$3="VOL_CLASS",$M25,$N25)))</f>
        <v/>
      </c>
      <c r="AF25" t="str">
        <f>IF($A25="","",IF(Allocation!$N$3="VOL_EFF",$Q25,IF(Allocation!$N$3="VOL_CLASS",$R25,$S25)))</f>
        <v/>
      </c>
      <c r="AG25" t="str">
        <f>IF($A25="","",IF(Allocation!$N$1="VOL_EFF",$Q25,IF(Allocation!$N$1="VOL_CLASS",$R25,$S25)))</f>
        <v/>
      </c>
      <c r="AH25" t="str">
        <f>IF($A25="","",IF(Allocation!$N$1="VOL_EFF",$T25,IF(Allocation!$N$1="VOL_CLASS",$U25,$V25)))</f>
        <v/>
      </c>
      <c r="AI25" t="str">
        <f t="shared" si="12"/>
        <v/>
      </c>
      <c r="AJ25" t="str">
        <f t="shared" si="13"/>
        <v/>
      </c>
      <c r="AK25" t="str">
        <f t="shared" si="14"/>
        <v/>
      </c>
      <c r="AL25" t="str">
        <f t="shared" si="15"/>
        <v/>
      </c>
      <c r="AM25" t="str">
        <f t="shared" si="16"/>
        <v/>
      </c>
      <c r="AN25" t="str">
        <f t="shared" si="17"/>
        <v/>
      </c>
      <c r="AO25" t="str">
        <f>IF($A25="","",Allocation!CJ25)</f>
        <v/>
      </c>
      <c r="AP25" t="str">
        <f>IF($A25="","",IF(Allocation!$N$2="VOL_EFF",$Q25,IF(Allocation!$N$2="VOL_CLASS",$R25,$S25)))</f>
        <v/>
      </c>
      <c r="AQ25" t="str">
        <f>IF($A25="","",IF(Allocation!$N$2="VOL_EFF",$T25,IF(Allocation!$N$2="VOL_CLASS",$U25,$V25)))</f>
        <v/>
      </c>
      <c r="AR25" t="str">
        <f t="shared" si="18"/>
        <v/>
      </c>
      <c r="AS25" t="str">
        <f>IF($A25="","",$A25&amp;"|"&amp;Allocation!BG25)</f>
        <v/>
      </c>
    </row>
    <row r="26" spans="1:45" x14ac:dyDescent="0.45">
      <c r="A26" t="str">
        <f>IF(Allocation!BI26="","",Allocation!BI26)</f>
        <v/>
      </c>
      <c r="B26" t="str">
        <f>IF(Allocation!BJ26="","",Allocation!BJ26)</f>
        <v/>
      </c>
      <c r="C26" t="str">
        <f>IF(Allocation!BK26="","",Allocation!BK26)</f>
        <v/>
      </c>
      <c r="D26" t="str">
        <f>IF(Allocation!BL26="","",Allocation!BL26)</f>
        <v/>
      </c>
      <c r="E26" t="str">
        <f>IF(Allocation!BM26="","",Allocation!BM26)</f>
        <v/>
      </c>
      <c r="F26" t="str">
        <f>IF(Allocation!BN26="","",Allocation!BN26)</f>
        <v/>
      </c>
      <c r="G26" t="str">
        <f>IF(Allocation!BO26="","",Allocation!BO26)</f>
        <v/>
      </c>
      <c r="H26" t="str">
        <f>IF(Allocation!BP26="","",Allocation!BP26)</f>
        <v/>
      </c>
      <c r="I26" t="str">
        <f>IF(Allocation!BQ26="","",Allocation!BQ26)</f>
        <v/>
      </c>
      <c r="J26" t="str">
        <f>IF(Allocation!CC26="","",Allocation!CC26)</f>
        <v/>
      </c>
      <c r="K26" t="str">
        <f t="shared" si="0"/>
        <v/>
      </c>
      <c r="L26" t="str">
        <f t="shared" si="1"/>
        <v/>
      </c>
      <c r="M26" t="str">
        <f t="shared" si="2"/>
        <v/>
      </c>
      <c r="N26" t="str">
        <f t="shared" si="3"/>
        <v/>
      </c>
      <c r="O26" t="str">
        <f t="shared" si="4"/>
        <v/>
      </c>
      <c r="P26" t="str">
        <f t="shared" si="5"/>
        <v/>
      </c>
      <c r="Q26" t="str">
        <f t="shared" si="6"/>
        <v/>
      </c>
      <c r="R26" t="str">
        <f t="shared" si="7"/>
        <v/>
      </c>
      <c r="S26" t="str">
        <f t="shared" si="8"/>
        <v/>
      </c>
      <c r="T26" t="str">
        <f t="shared" si="9"/>
        <v/>
      </c>
      <c r="U26" t="str">
        <f t="shared" si="10"/>
        <v/>
      </c>
      <c r="V26" t="str">
        <f t="shared" si="11"/>
        <v/>
      </c>
      <c r="W26" t="str">
        <f>IF($A26="","",Allocation!CD26)</f>
        <v/>
      </c>
      <c r="X26" t="str">
        <f>IF($A26="","",Allocation!CE26)</f>
        <v/>
      </c>
      <c r="Y26" t="str">
        <f>IF($A26="","",Allocation!CF26)</f>
        <v/>
      </c>
      <c r="Z26" t="str">
        <f>IF($A26="","",Allocation!CG26)</f>
        <v/>
      </c>
      <c r="AA26" t="str">
        <f>IF($A26="","",Allocation!CH26)</f>
        <v/>
      </c>
      <c r="AB26" t="str">
        <f>IF($A26="","",Allocation!CI26)</f>
        <v/>
      </c>
      <c r="AC26" t="str">
        <f>IF($A26="","",IF(Allocation!$N$4="VOL_EFF",$G26,IF(Allocation!$N$4="VOL_CLASS",$H26,$I26)))</f>
        <v/>
      </c>
      <c r="AD26" t="str">
        <f>IF($A26="","",IF(Allocation!$N$4="VOL_EFF",$L26,IF(Allocation!$N$4="VOL_CLASS",$M26,$N26)))</f>
        <v/>
      </c>
      <c r="AE26" t="str">
        <f>IF($A26="","",IF(Allocation!$N$3="VOL_EFF",$L26,IF(Allocation!$N$3="VOL_CLASS",$M26,$N26)))</f>
        <v/>
      </c>
      <c r="AF26" t="str">
        <f>IF($A26="","",IF(Allocation!$N$3="VOL_EFF",$Q26,IF(Allocation!$N$3="VOL_CLASS",$R26,$S26)))</f>
        <v/>
      </c>
      <c r="AG26" t="str">
        <f>IF($A26="","",IF(Allocation!$N$1="VOL_EFF",$Q26,IF(Allocation!$N$1="VOL_CLASS",$R26,$S26)))</f>
        <v/>
      </c>
      <c r="AH26" t="str">
        <f>IF($A26="","",IF(Allocation!$N$1="VOL_EFF",$T26,IF(Allocation!$N$1="VOL_CLASS",$U26,$V26)))</f>
        <v/>
      </c>
      <c r="AI26" t="str">
        <f t="shared" si="12"/>
        <v/>
      </c>
      <c r="AJ26" t="str">
        <f t="shared" si="13"/>
        <v/>
      </c>
      <c r="AK26" t="str">
        <f t="shared" si="14"/>
        <v/>
      </c>
      <c r="AL26" t="str">
        <f t="shared" si="15"/>
        <v/>
      </c>
      <c r="AM26" t="str">
        <f t="shared" si="16"/>
        <v/>
      </c>
      <c r="AN26" t="str">
        <f t="shared" si="17"/>
        <v/>
      </c>
      <c r="AO26" t="str">
        <f>IF($A26="","",Allocation!CJ26)</f>
        <v/>
      </c>
      <c r="AP26" t="str">
        <f>IF($A26="","",IF(Allocation!$N$2="VOL_EFF",$Q26,IF(Allocation!$N$2="VOL_CLASS",$R26,$S26)))</f>
        <v/>
      </c>
      <c r="AQ26" t="str">
        <f>IF($A26="","",IF(Allocation!$N$2="VOL_EFF",$T26,IF(Allocation!$N$2="VOL_CLASS",$U26,$V26)))</f>
        <v/>
      </c>
      <c r="AR26" t="str">
        <f t="shared" si="18"/>
        <v/>
      </c>
      <c r="AS26" t="str">
        <f>IF($A26="","",$A26&amp;"|"&amp;Allocation!BG26)</f>
        <v/>
      </c>
    </row>
    <row r="27" spans="1:45" x14ac:dyDescent="0.45">
      <c r="A27" t="str">
        <f>IF(Allocation!BI27="","",Allocation!BI27)</f>
        <v/>
      </c>
      <c r="B27" t="str">
        <f>IF(Allocation!BJ27="","",Allocation!BJ27)</f>
        <v/>
      </c>
      <c r="C27" t="str">
        <f>IF(Allocation!BK27="","",Allocation!BK27)</f>
        <v/>
      </c>
      <c r="D27" t="str">
        <f>IF(Allocation!BL27="","",Allocation!BL27)</f>
        <v/>
      </c>
      <c r="E27" t="str">
        <f>IF(Allocation!BM27="","",Allocation!BM27)</f>
        <v/>
      </c>
      <c r="F27" t="str">
        <f>IF(Allocation!BN27="","",Allocation!BN27)</f>
        <v/>
      </c>
      <c r="G27" t="str">
        <f>IF(Allocation!BO27="","",Allocation!BO27)</f>
        <v/>
      </c>
      <c r="H27" t="str">
        <f>IF(Allocation!BP27="","",Allocation!BP27)</f>
        <v/>
      </c>
      <c r="I27" t="str">
        <f>IF(Allocation!BQ27="","",Allocation!BQ27)</f>
        <v/>
      </c>
      <c r="J27" t="str">
        <f>IF(Allocation!CC27="","",Allocation!CC27)</f>
        <v/>
      </c>
      <c r="K27" t="str">
        <f t="shared" si="0"/>
        <v/>
      </c>
      <c r="L27" t="str">
        <f t="shared" si="1"/>
        <v/>
      </c>
      <c r="M27" t="str">
        <f t="shared" si="2"/>
        <v/>
      </c>
      <c r="N27" t="str">
        <f t="shared" si="3"/>
        <v/>
      </c>
      <c r="O27" t="str">
        <f t="shared" si="4"/>
        <v/>
      </c>
      <c r="P27" t="str">
        <f t="shared" si="5"/>
        <v/>
      </c>
      <c r="Q27" t="str">
        <f t="shared" si="6"/>
        <v/>
      </c>
      <c r="R27" t="str">
        <f t="shared" si="7"/>
        <v/>
      </c>
      <c r="S27" t="str">
        <f t="shared" si="8"/>
        <v/>
      </c>
      <c r="T27" t="str">
        <f t="shared" si="9"/>
        <v/>
      </c>
      <c r="U27" t="str">
        <f t="shared" si="10"/>
        <v/>
      </c>
      <c r="V27" t="str">
        <f t="shared" si="11"/>
        <v/>
      </c>
      <c r="W27" t="str">
        <f>IF($A27="","",Allocation!CD27)</f>
        <v/>
      </c>
      <c r="X27" t="str">
        <f>IF($A27="","",Allocation!CE27)</f>
        <v/>
      </c>
      <c r="Y27" t="str">
        <f>IF($A27="","",Allocation!CF27)</f>
        <v/>
      </c>
      <c r="Z27" t="str">
        <f>IF($A27="","",Allocation!CG27)</f>
        <v/>
      </c>
      <c r="AA27" t="str">
        <f>IF($A27="","",Allocation!CH27)</f>
        <v/>
      </c>
      <c r="AB27" t="str">
        <f>IF($A27="","",Allocation!CI27)</f>
        <v/>
      </c>
      <c r="AC27" t="str">
        <f>IF($A27="","",IF(Allocation!$N$4="VOL_EFF",$G27,IF(Allocation!$N$4="VOL_CLASS",$H27,$I27)))</f>
        <v/>
      </c>
      <c r="AD27" t="str">
        <f>IF($A27="","",IF(Allocation!$N$4="VOL_EFF",$L27,IF(Allocation!$N$4="VOL_CLASS",$M27,$N27)))</f>
        <v/>
      </c>
      <c r="AE27" t="str">
        <f>IF($A27="","",IF(Allocation!$N$3="VOL_EFF",$L27,IF(Allocation!$N$3="VOL_CLASS",$M27,$N27)))</f>
        <v/>
      </c>
      <c r="AF27" t="str">
        <f>IF($A27="","",IF(Allocation!$N$3="VOL_EFF",$Q27,IF(Allocation!$N$3="VOL_CLASS",$R27,$S27)))</f>
        <v/>
      </c>
      <c r="AG27" t="str">
        <f>IF($A27="","",IF(Allocation!$N$1="VOL_EFF",$Q27,IF(Allocation!$N$1="VOL_CLASS",$R27,$S27)))</f>
        <v/>
      </c>
      <c r="AH27" t="str">
        <f>IF($A27="","",IF(Allocation!$N$1="VOL_EFF",$T27,IF(Allocation!$N$1="VOL_CLASS",$U27,$V27)))</f>
        <v/>
      </c>
      <c r="AI27" t="str">
        <f t="shared" si="12"/>
        <v/>
      </c>
      <c r="AJ27" t="str">
        <f t="shared" si="13"/>
        <v/>
      </c>
      <c r="AK27" t="str">
        <f t="shared" si="14"/>
        <v/>
      </c>
      <c r="AL27" t="str">
        <f t="shared" si="15"/>
        <v/>
      </c>
      <c r="AM27" t="str">
        <f t="shared" si="16"/>
        <v/>
      </c>
      <c r="AN27" t="str">
        <f t="shared" si="17"/>
        <v/>
      </c>
      <c r="AO27" t="str">
        <f>IF($A27="","",Allocation!CJ27)</f>
        <v/>
      </c>
      <c r="AP27" t="str">
        <f>IF($A27="","",IF(Allocation!$N$2="VOL_EFF",$Q27,IF(Allocation!$N$2="VOL_CLASS",$R27,$S27)))</f>
        <v/>
      </c>
      <c r="AQ27" t="str">
        <f>IF($A27="","",IF(Allocation!$N$2="VOL_EFF",$T27,IF(Allocation!$N$2="VOL_CLASS",$U27,$V27)))</f>
        <v/>
      </c>
      <c r="AR27" t="str">
        <f t="shared" si="18"/>
        <v/>
      </c>
      <c r="AS27" t="str">
        <f>IF($A27="","",$A27&amp;"|"&amp;Allocation!BG27)</f>
        <v/>
      </c>
    </row>
    <row r="28" spans="1:45" x14ac:dyDescent="0.45">
      <c r="A28" t="str">
        <f>IF(Allocation!BI28="","",Allocation!BI28)</f>
        <v/>
      </c>
      <c r="B28" t="str">
        <f>IF(Allocation!BJ28="","",Allocation!BJ28)</f>
        <v/>
      </c>
      <c r="C28" t="str">
        <f>IF(Allocation!BK28="","",Allocation!BK28)</f>
        <v/>
      </c>
      <c r="D28" t="str">
        <f>IF(Allocation!BL28="","",Allocation!BL28)</f>
        <v/>
      </c>
      <c r="E28" t="str">
        <f>IF(Allocation!BM28="","",Allocation!BM28)</f>
        <v/>
      </c>
      <c r="F28" t="str">
        <f>IF(Allocation!BN28="","",Allocation!BN28)</f>
        <v/>
      </c>
      <c r="G28" t="str">
        <f>IF(Allocation!BO28="","",Allocation!BO28)</f>
        <v/>
      </c>
      <c r="H28" t="str">
        <f>IF(Allocation!BP28="","",Allocation!BP28)</f>
        <v/>
      </c>
      <c r="I28" t="str">
        <f>IF(Allocation!BQ28="","",Allocation!BQ28)</f>
        <v/>
      </c>
      <c r="J28" t="str">
        <f>IF(Allocation!CC28="","",Allocation!CC28)</f>
        <v/>
      </c>
      <c r="K28" t="str">
        <f t="shared" si="0"/>
        <v/>
      </c>
      <c r="L28" t="str">
        <f t="shared" si="1"/>
        <v/>
      </c>
      <c r="M28" t="str">
        <f t="shared" si="2"/>
        <v/>
      </c>
      <c r="N28" t="str">
        <f t="shared" si="3"/>
        <v/>
      </c>
      <c r="O28" t="str">
        <f t="shared" si="4"/>
        <v/>
      </c>
      <c r="P28" t="str">
        <f t="shared" si="5"/>
        <v/>
      </c>
      <c r="Q28" t="str">
        <f t="shared" si="6"/>
        <v/>
      </c>
      <c r="R28" t="str">
        <f t="shared" si="7"/>
        <v/>
      </c>
      <c r="S28" t="str">
        <f t="shared" si="8"/>
        <v/>
      </c>
      <c r="T28" t="str">
        <f t="shared" si="9"/>
        <v/>
      </c>
      <c r="U28" t="str">
        <f t="shared" si="10"/>
        <v/>
      </c>
      <c r="V28" t="str">
        <f t="shared" si="11"/>
        <v/>
      </c>
      <c r="W28" t="str">
        <f>IF($A28="","",Allocation!CD28)</f>
        <v/>
      </c>
      <c r="X28" t="str">
        <f>IF($A28="","",Allocation!CE28)</f>
        <v/>
      </c>
      <c r="Y28" t="str">
        <f>IF($A28="","",Allocation!CF28)</f>
        <v/>
      </c>
      <c r="Z28" t="str">
        <f>IF($A28="","",Allocation!CG28)</f>
        <v/>
      </c>
      <c r="AA28" t="str">
        <f>IF($A28="","",Allocation!CH28)</f>
        <v/>
      </c>
      <c r="AB28" t="str">
        <f>IF($A28="","",Allocation!CI28)</f>
        <v/>
      </c>
      <c r="AC28" t="str">
        <f>IF($A28="","",IF(Allocation!$N$4="VOL_EFF",$G28,IF(Allocation!$N$4="VOL_CLASS",$H28,$I28)))</f>
        <v/>
      </c>
      <c r="AD28" t="str">
        <f>IF($A28="","",IF(Allocation!$N$4="VOL_EFF",$L28,IF(Allocation!$N$4="VOL_CLASS",$M28,$N28)))</f>
        <v/>
      </c>
      <c r="AE28" t="str">
        <f>IF($A28="","",IF(Allocation!$N$3="VOL_EFF",$L28,IF(Allocation!$N$3="VOL_CLASS",$M28,$N28)))</f>
        <v/>
      </c>
      <c r="AF28" t="str">
        <f>IF($A28="","",IF(Allocation!$N$3="VOL_EFF",$Q28,IF(Allocation!$N$3="VOL_CLASS",$R28,$S28)))</f>
        <v/>
      </c>
      <c r="AG28" t="str">
        <f>IF($A28="","",IF(Allocation!$N$1="VOL_EFF",$Q28,IF(Allocation!$N$1="VOL_CLASS",$R28,$S28)))</f>
        <v/>
      </c>
      <c r="AH28" t="str">
        <f>IF($A28="","",IF(Allocation!$N$1="VOL_EFF",$T28,IF(Allocation!$N$1="VOL_CLASS",$U28,$V28)))</f>
        <v/>
      </c>
      <c r="AI28" t="str">
        <f t="shared" si="12"/>
        <v/>
      </c>
      <c r="AJ28" t="str">
        <f t="shared" si="13"/>
        <v/>
      </c>
      <c r="AK28" t="str">
        <f t="shared" si="14"/>
        <v/>
      </c>
      <c r="AL28" t="str">
        <f t="shared" si="15"/>
        <v/>
      </c>
      <c r="AM28" t="str">
        <f t="shared" si="16"/>
        <v/>
      </c>
      <c r="AN28" t="str">
        <f t="shared" si="17"/>
        <v/>
      </c>
      <c r="AO28" t="str">
        <f>IF($A28="","",Allocation!CJ28)</f>
        <v/>
      </c>
      <c r="AP28" t="str">
        <f>IF($A28="","",IF(Allocation!$N$2="VOL_EFF",$Q28,IF(Allocation!$N$2="VOL_CLASS",$R28,$S28)))</f>
        <v/>
      </c>
      <c r="AQ28" t="str">
        <f>IF($A28="","",IF(Allocation!$N$2="VOL_EFF",$T28,IF(Allocation!$N$2="VOL_CLASS",$U28,$V28)))</f>
        <v/>
      </c>
      <c r="AR28" t="str">
        <f t="shared" si="18"/>
        <v/>
      </c>
      <c r="AS28" t="str">
        <f>IF($A28="","",$A28&amp;"|"&amp;Allocation!BG28)</f>
        <v/>
      </c>
    </row>
    <row r="29" spans="1:45" x14ac:dyDescent="0.45">
      <c r="A29" t="str">
        <f>IF(Allocation!BI29="","",Allocation!BI29)</f>
        <v/>
      </c>
      <c r="B29" t="str">
        <f>IF(Allocation!BJ29="","",Allocation!BJ29)</f>
        <v/>
      </c>
      <c r="C29" t="str">
        <f>IF(Allocation!BK29="","",Allocation!BK29)</f>
        <v/>
      </c>
      <c r="D29" t="str">
        <f>IF(Allocation!BL29="","",Allocation!BL29)</f>
        <v/>
      </c>
      <c r="E29" t="str">
        <f>IF(Allocation!BM29="","",Allocation!BM29)</f>
        <v/>
      </c>
      <c r="F29" t="str">
        <f>IF(Allocation!BN29="","",Allocation!BN29)</f>
        <v/>
      </c>
      <c r="G29" t="str">
        <f>IF(Allocation!BO29="","",Allocation!BO29)</f>
        <v/>
      </c>
      <c r="H29" t="str">
        <f>IF(Allocation!BP29="","",Allocation!BP29)</f>
        <v/>
      </c>
      <c r="I29" t="str">
        <f>IF(Allocation!BQ29="","",Allocation!BQ29)</f>
        <v/>
      </c>
      <c r="J29" t="str">
        <f>IF(Allocation!CC29="","",Allocation!CC29)</f>
        <v/>
      </c>
      <c r="K29" t="str">
        <f t="shared" si="0"/>
        <v/>
      </c>
      <c r="L29" t="str">
        <f t="shared" si="1"/>
        <v/>
      </c>
      <c r="M29" t="str">
        <f t="shared" si="2"/>
        <v/>
      </c>
      <c r="N29" t="str">
        <f t="shared" si="3"/>
        <v/>
      </c>
      <c r="O29" t="str">
        <f t="shared" si="4"/>
        <v/>
      </c>
      <c r="P29" t="str">
        <f t="shared" si="5"/>
        <v/>
      </c>
      <c r="Q29" t="str">
        <f t="shared" si="6"/>
        <v/>
      </c>
      <c r="R29" t="str">
        <f t="shared" si="7"/>
        <v/>
      </c>
      <c r="S29" t="str">
        <f t="shared" si="8"/>
        <v/>
      </c>
      <c r="T29" t="str">
        <f t="shared" si="9"/>
        <v/>
      </c>
      <c r="U29" t="str">
        <f t="shared" si="10"/>
        <v/>
      </c>
      <c r="V29" t="str">
        <f t="shared" si="11"/>
        <v/>
      </c>
      <c r="W29" t="str">
        <f>IF($A29="","",Allocation!CD29)</f>
        <v/>
      </c>
      <c r="X29" t="str">
        <f>IF($A29="","",Allocation!CE29)</f>
        <v/>
      </c>
      <c r="Y29" t="str">
        <f>IF($A29="","",Allocation!CF29)</f>
        <v/>
      </c>
      <c r="Z29" t="str">
        <f>IF($A29="","",Allocation!CG29)</f>
        <v/>
      </c>
      <c r="AA29" t="str">
        <f>IF($A29="","",Allocation!CH29)</f>
        <v/>
      </c>
      <c r="AB29" t="str">
        <f>IF($A29="","",Allocation!CI29)</f>
        <v/>
      </c>
      <c r="AC29" t="str">
        <f>IF($A29="","",IF(Allocation!$N$4="VOL_EFF",$G29,IF(Allocation!$N$4="VOL_CLASS",$H29,$I29)))</f>
        <v/>
      </c>
      <c r="AD29" t="str">
        <f>IF($A29="","",IF(Allocation!$N$4="VOL_EFF",$L29,IF(Allocation!$N$4="VOL_CLASS",$M29,$N29)))</f>
        <v/>
      </c>
      <c r="AE29" t="str">
        <f>IF($A29="","",IF(Allocation!$N$3="VOL_EFF",$L29,IF(Allocation!$N$3="VOL_CLASS",$M29,$N29)))</f>
        <v/>
      </c>
      <c r="AF29" t="str">
        <f>IF($A29="","",IF(Allocation!$N$3="VOL_EFF",$Q29,IF(Allocation!$N$3="VOL_CLASS",$R29,$S29)))</f>
        <v/>
      </c>
      <c r="AG29" t="str">
        <f>IF($A29="","",IF(Allocation!$N$1="VOL_EFF",$Q29,IF(Allocation!$N$1="VOL_CLASS",$R29,$S29)))</f>
        <v/>
      </c>
      <c r="AH29" t="str">
        <f>IF($A29="","",IF(Allocation!$N$1="VOL_EFF",$T29,IF(Allocation!$N$1="VOL_CLASS",$U29,$V29)))</f>
        <v/>
      </c>
      <c r="AI29" t="str">
        <f t="shared" si="12"/>
        <v/>
      </c>
      <c r="AJ29" t="str">
        <f t="shared" si="13"/>
        <v/>
      </c>
      <c r="AK29" t="str">
        <f t="shared" si="14"/>
        <v/>
      </c>
      <c r="AL29" t="str">
        <f t="shared" si="15"/>
        <v/>
      </c>
      <c r="AM29" t="str">
        <f t="shared" si="16"/>
        <v/>
      </c>
      <c r="AN29" t="str">
        <f t="shared" si="17"/>
        <v/>
      </c>
      <c r="AO29" t="str">
        <f>IF($A29="","",Allocation!CJ29)</f>
        <v/>
      </c>
      <c r="AP29" t="str">
        <f>IF($A29="","",IF(Allocation!$N$2="VOL_EFF",$Q29,IF(Allocation!$N$2="VOL_CLASS",$R29,$S29)))</f>
        <v/>
      </c>
      <c r="AQ29" t="str">
        <f>IF($A29="","",IF(Allocation!$N$2="VOL_EFF",$T29,IF(Allocation!$N$2="VOL_CLASS",$U29,$V29)))</f>
        <v/>
      </c>
      <c r="AR29" t="str">
        <f t="shared" si="18"/>
        <v/>
      </c>
      <c r="AS29" t="str">
        <f>IF($A29="","",$A29&amp;"|"&amp;Allocation!BG29)</f>
        <v/>
      </c>
    </row>
    <row r="30" spans="1:45" x14ac:dyDescent="0.45">
      <c r="A30" t="str">
        <f>IF(Allocation!BI30="","",Allocation!BI30)</f>
        <v/>
      </c>
      <c r="B30" t="str">
        <f>IF(Allocation!BJ30="","",Allocation!BJ30)</f>
        <v/>
      </c>
      <c r="C30" t="str">
        <f>IF(Allocation!BK30="","",Allocation!BK30)</f>
        <v/>
      </c>
      <c r="D30" t="str">
        <f>IF(Allocation!BL30="","",Allocation!BL30)</f>
        <v/>
      </c>
      <c r="E30" t="str">
        <f>IF(Allocation!BM30="","",Allocation!BM30)</f>
        <v/>
      </c>
      <c r="F30" t="str">
        <f>IF(Allocation!BN30="","",Allocation!BN30)</f>
        <v/>
      </c>
      <c r="G30" t="str">
        <f>IF(Allocation!BO30="","",Allocation!BO30)</f>
        <v/>
      </c>
      <c r="H30" t="str">
        <f>IF(Allocation!BP30="","",Allocation!BP30)</f>
        <v/>
      </c>
      <c r="I30" t="str">
        <f>IF(Allocation!BQ30="","",Allocation!BQ30)</f>
        <v/>
      </c>
      <c r="J30" t="str">
        <f>IF(Allocation!CC30="","",Allocation!CC30)</f>
        <v/>
      </c>
      <c r="K30" t="str">
        <f t="shared" si="0"/>
        <v/>
      </c>
      <c r="L30" t="str">
        <f t="shared" si="1"/>
        <v/>
      </c>
      <c r="M30" t="str">
        <f t="shared" si="2"/>
        <v/>
      </c>
      <c r="N30" t="str">
        <f t="shared" si="3"/>
        <v/>
      </c>
      <c r="O30" t="str">
        <f t="shared" si="4"/>
        <v/>
      </c>
      <c r="P30" t="str">
        <f t="shared" si="5"/>
        <v/>
      </c>
      <c r="Q30" t="str">
        <f t="shared" si="6"/>
        <v/>
      </c>
      <c r="R30" t="str">
        <f t="shared" si="7"/>
        <v/>
      </c>
      <c r="S30" t="str">
        <f t="shared" si="8"/>
        <v/>
      </c>
      <c r="T30" t="str">
        <f t="shared" si="9"/>
        <v/>
      </c>
      <c r="U30" t="str">
        <f t="shared" si="10"/>
        <v/>
      </c>
      <c r="V30" t="str">
        <f t="shared" si="11"/>
        <v/>
      </c>
      <c r="W30" t="str">
        <f>IF($A30="","",Allocation!CD30)</f>
        <v/>
      </c>
      <c r="X30" t="str">
        <f>IF($A30="","",Allocation!CE30)</f>
        <v/>
      </c>
      <c r="Y30" t="str">
        <f>IF($A30="","",Allocation!CF30)</f>
        <v/>
      </c>
      <c r="Z30" t="str">
        <f>IF($A30="","",Allocation!CG30)</f>
        <v/>
      </c>
      <c r="AA30" t="str">
        <f>IF($A30="","",Allocation!CH30)</f>
        <v/>
      </c>
      <c r="AB30" t="str">
        <f>IF($A30="","",Allocation!CI30)</f>
        <v/>
      </c>
      <c r="AC30" t="str">
        <f>IF($A30="","",IF(Allocation!$N$4="VOL_EFF",$G30,IF(Allocation!$N$4="VOL_CLASS",$H30,$I30)))</f>
        <v/>
      </c>
      <c r="AD30" t="str">
        <f>IF($A30="","",IF(Allocation!$N$4="VOL_EFF",$L30,IF(Allocation!$N$4="VOL_CLASS",$M30,$N30)))</f>
        <v/>
      </c>
      <c r="AE30" t="str">
        <f>IF($A30="","",IF(Allocation!$N$3="VOL_EFF",$L30,IF(Allocation!$N$3="VOL_CLASS",$M30,$N30)))</f>
        <v/>
      </c>
      <c r="AF30" t="str">
        <f>IF($A30="","",IF(Allocation!$N$3="VOL_EFF",$Q30,IF(Allocation!$N$3="VOL_CLASS",$R30,$S30)))</f>
        <v/>
      </c>
      <c r="AG30" t="str">
        <f>IF($A30="","",IF(Allocation!$N$1="VOL_EFF",$Q30,IF(Allocation!$N$1="VOL_CLASS",$R30,$S30)))</f>
        <v/>
      </c>
      <c r="AH30" t="str">
        <f>IF($A30="","",IF(Allocation!$N$1="VOL_EFF",$T30,IF(Allocation!$N$1="VOL_CLASS",$U30,$V30)))</f>
        <v/>
      </c>
      <c r="AI30" t="str">
        <f t="shared" si="12"/>
        <v/>
      </c>
      <c r="AJ30" t="str">
        <f t="shared" si="13"/>
        <v/>
      </c>
      <c r="AK30" t="str">
        <f t="shared" si="14"/>
        <v/>
      </c>
      <c r="AL30" t="str">
        <f t="shared" si="15"/>
        <v/>
      </c>
      <c r="AM30" t="str">
        <f t="shared" si="16"/>
        <v/>
      </c>
      <c r="AN30" t="str">
        <f t="shared" si="17"/>
        <v/>
      </c>
      <c r="AO30" t="str">
        <f>IF($A30="","",Allocation!CJ30)</f>
        <v/>
      </c>
      <c r="AP30" t="str">
        <f>IF($A30="","",IF(Allocation!$N$2="VOL_EFF",$Q30,IF(Allocation!$N$2="VOL_CLASS",$R30,$S30)))</f>
        <v/>
      </c>
      <c r="AQ30" t="str">
        <f>IF($A30="","",IF(Allocation!$N$2="VOL_EFF",$T30,IF(Allocation!$N$2="VOL_CLASS",$U30,$V30)))</f>
        <v/>
      </c>
      <c r="AR30" t="str">
        <f t="shared" si="18"/>
        <v/>
      </c>
      <c r="AS30" t="str">
        <f>IF($A30="","",$A30&amp;"|"&amp;Allocation!BG30)</f>
        <v/>
      </c>
    </row>
    <row r="31" spans="1:45" x14ac:dyDescent="0.45">
      <c r="A31" t="str">
        <f>IF(Allocation!BI31="","",Allocation!BI31)</f>
        <v/>
      </c>
      <c r="B31" t="str">
        <f>IF(Allocation!BJ31="","",Allocation!BJ31)</f>
        <v/>
      </c>
      <c r="C31" t="str">
        <f>IF(Allocation!BK31="","",Allocation!BK31)</f>
        <v/>
      </c>
      <c r="D31" t="str">
        <f>IF(Allocation!BL31="","",Allocation!BL31)</f>
        <v/>
      </c>
      <c r="E31" t="str">
        <f>IF(Allocation!BM31="","",Allocation!BM31)</f>
        <v/>
      </c>
      <c r="F31" t="str">
        <f>IF(Allocation!BN31="","",Allocation!BN31)</f>
        <v/>
      </c>
      <c r="G31" t="str">
        <f>IF(Allocation!BO31="","",Allocation!BO31)</f>
        <v/>
      </c>
      <c r="H31" t="str">
        <f>IF(Allocation!BP31="","",Allocation!BP31)</f>
        <v/>
      </c>
      <c r="I31" t="str">
        <f>IF(Allocation!BQ31="","",Allocation!BQ31)</f>
        <v/>
      </c>
      <c r="J31" t="str">
        <f>IF(Allocation!CC31="","",Allocation!CC31)</f>
        <v/>
      </c>
      <c r="K31" t="str">
        <f t="shared" si="0"/>
        <v/>
      </c>
      <c r="L31" t="str">
        <f t="shared" si="1"/>
        <v/>
      </c>
      <c r="M31" t="str">
        <f t="shared" si="2"/>
        <v/>
      </c>
      <c r="N31" t="str">
        <f t="shared" si="3"/>
        <v/>
      </c>
      <c r="O31" t="str">
        <f t="shared" si="4"/>
        <v/>
      </c>
      <c r="P31" t="str">
        <f t="shared" si="5"/>
        <v/>
      </c>
      <c r="Q31" t="str">
        <f t="shared" si="6"/>
        <v/>
      </c>
      <c r="R31" t="str">
        <f t="shared" si="7"/>
        <v/>
      </c>
      <c r="S31" t="str">
        <f t="shared" si="8"/>
        <v/>
      </c>
      <c r="T31" t="str">
        <f t="shared" si="9"/>
        <v/>
      </c>
      <c r="U31" t="str">
        <f t="shared" si="10"/>
        <v/>
      </c>
      <c r="V31" t="str">
        <f t="shared" si="11"/>
        <v/>
      </c>
      <c r="W31" t="str">
        <f>IF($A31="","",Allocation!CD31)</f>
        <v/>
      </c>
      <c r="X31" t="str">
        <f>IF($A31="","",Allocation!CE31)</f>
        <v/>
      </c>
      <c r="Y31" t="str">
        <f>IF($A31="","",Allocation!CF31)</f>
        <v/>
      </c>
      <c r="Z31" t="str">
        <f>IF($A31="","",Allocation!CG31)</f>
        <v/>
      </c>
      <c r="AA31" t="str">
        <f>IF($A31="","",Allocation!CH31)</f>
        <v/>
      </c>
      <c r="AB31" t="str">
        <f>IF($A31="","",Allocation!CI31)</f>
        <v/>
      </c>
      <c r="AC31" t="str">
        <f>IF($A31="","",IF(Allocation!$N$4="VOL_EFF",$G31,IF(Allocation!$N$4="VOL_CLASS",$H31,$I31)))</f>
        <v/>
      </c>
      <c r="AD31" t="str">
        <f>IF($A31="","",IF(Allocation!$N$4="VOL_EFF",$L31,IF(Allocation!$N$4="VOL_CLASS",$M31,$N31)))</f>
        <v/>
      </c>
      <c r="AE31" t="str">
        <f>IF($A31="","",IF(Allocation!$N$3="VOL_EFF",$L31,IF(Allocation!$N$3="VOL_CLASS",$M31,$N31)))</f>
        <v/>
      </c>
      <c r="AF31" t="str">
        <f>IF($A31="","",IF(Allocation!$N$3="VOL_EFF",$Q31,IF(Allocation!$N$3="VOL_CLASS",$R31,$S31)))</f>
        <v/>
      </c>
      <c r="AG31" t="str">
        <f>IF($A31="","",IF(Allocation!$N$1="VOL_EFF",$Q31,IF(Allocation!$N$1="VOL_CLASS",$R31,$S31)))</f>
        <v/>
      </c>
      <c r="AH31" t="str">
        <f>IF($A31="","",IF(Allocation!$N$1="VOL_EFF",$T31,IF(Allocation!$N$1="VOL_CLASS",$U31,$V31)))</f>
        <v/>
      </c>
      <c r="AI31" t="str">
        <f t="shared" si="12"/>
        <v/>
      </c>
      <c r="AJ31" t="str">
        <f t="shared" si="13"/>
        <v/>
      </c>
      <c r="AK31" t="str">
        <f t="shared" si="14"/>
        <v/>
      </c>
      <c r="AL31" t="str">
        <f t="shared" si="15"/>
        <v/>
      </c>
      <c r="AM31" t="str">
        <f t="shared" si="16"/>
        <v/>
      </c>
      <c r="AN31" t="str">
        <f t="shared" si="17"/>
        <v/>
      </c>
      <c r="AO31" t="str">
        <f>IF($A31="","",Allocation!CJ31)</f>
        <v/>
      </c>
      <c r="AP31" t="str">
        <f>IF($A31="","",IF(Allocation!$N$2="VOL_EFF",$Q31,IF(Allocation!$N$2="VOL_CLASS",$R31,$S31)))</f>
        <v/>
      </c>
      <c r="AQ31" t="str">
        <f>IF($A31="","",IF(Allocation!$N$2="VOL_EFF",$T31,IF(Allocation!$N$2="VOL_CLASS",$U31,$V31)))</f>
        <v/>
      </c>
      <c r="AR31" t="str">
        <f t="shared" si="18"/>
        <v/>
      </c>
      <c r="AS31" t="str">
        <f>IF($A31="","",$A31&amp;"|"&amp;Allocation!BG31)</f>
        <v/>
      </c>
    </row>
    <row r="32" spans="1:45" x14ac:dyDescent="0.45">
      <c r="A32" t="str">
        <f>IF(Allocation!BI32="","",Allocation!BI32)</f>
        <v/>
      </c>
      <c r="B32" t="str">
        <f>IF(Allocation!BJ32="","",Allocation!BJ32)</f>
        <v/>
      </c>
      <c r="C32" t="str">
        <f>IF(Allocation!BK32="","",Allocation!BK32)</f>
        <v/>
      </c>
      <c r="D32" t="str">
        <f>IF(Allocation!BL32="","",Allocation!BL32)</f>
        <v/>
      </c>
      <c r="E32" t="str">
        <f>IF(Allocation!BM32="","",Allocation!BM32)</f>
        <v/>
      </c>
      <c r="F32" t="str">
        <f>IF(Allocation!BN32="","",Allocation!BN32)</f>
        <v/>
      </c>
      <c r="G32" t="str">
        <f>IF(Allocation!BO32="","",Allocation!BO32)</f>
        <v/>
      </c>
      <c r="H32" t="str">
        <f>IF(Allocation!BP32="","",Allocation!BP32)</f>
        <v/>
      </c>
      <c r="I32" t="str">
        <f>IF(Allocation!BQ32="","",Allocation!BQ32)</f>
        <v/>
      </c>
      <c r="J32" t="str">
        <f>IF(Allocation!CC32="","",Allocation!CC32)</f>
        <v/>
      </c>
      <c r="K32" t="str">
        <f t="shared" si="0"/>
        <v/>
      </c>
      <c r="L32" t="str">
        <f t="shared" si="1"/>
        <v/>
      </c>
      <c r="M32" t="str">
        <f t="shared" si="2"/>
        <v/>
      </c>
      <c r="N32" t="str">
        <f t="shared" si="3"/>
        <v/>
      </c>
      <c r="O32" t="str">
        <f t="shared" si="4"/>
        <v/>
      </c>
      <c r="P32" t="str">
        <f t="shared" si="5"/>
        <v/>
      </c>
      <c r="Q32" t="str">
        <f t="shared" si="6"/>
        <v/>
      </c>
      <c r="R32" t="str">
        <f t="shared" si="7"/>
        <v/>
      </c>
      <c r="S32" t="str">
        <f t="shared" si="8"/>
        <v/>
      </c>
      <c r="T32" t="str">
        <f t="shared" si="9"/>
        <v/>
      </c>
      <c r="U32" t="str">
        <f t="shared" si="10"/>
        <v/>
      </c>
      <c r="V32" t="str">
        <f t="shared" si="11"/>
        <v/>
      </c>
      <c r="W32" t="str">
        <f>IF($A32="","",Allocation!CD32)</f>
        <v/>
      </c>
      <c r="X32" t="str">
        <f>IF($A32="","",Allocation!CE32)</f>
        <v/>
      </c>
      <c r="Y32" t="str">
        <f>IF($A32="","",Allocation!CF32)</f>
        <v/>
      </c>
      <c r="Z32" t="str">
        <f>IF($A32="","",Allocation!CG32)</f>
        <v/>
      </c>
      <c r="AA32" t="str">
        <f>IF($A32="","",Allocation!CH32)</f>
        <v/>
      </c>
      <c r="AB32" t="str">
        <f>IF($A32="","",Allocation!CI32)</f>
        <v/>
      </c>
      <c r="AC32" t="str">
        <f>IF($A32="","",IF(Allocation!$N$4="VOL_EFF",$G32,IF(Allocation!$N$4="VOL_CLASS",$H32,$I32)))</f>
        <v/>
      </c>
      <c r="AD32" t="str">
        <f>IF($A32="","",IF(Allocation!$N$4="VOL_EFF",$L32,IF(Allocation!$N$4="VOL_CLASS",$M32,$N32)))</f>
        <v/>
      </c>
      <c r="AE32" t="str">
        <f>IF($A32="","",IF(Allocation!$N$3="VOL_EFF",$L32,IF(Allocation!$N$3="VOL_CLASS",$M32,$N32)))</f>
        <v/>
      </c>
      <c r="AF32" t="str">
        <f>IF($A32="","",IF(Allocation!$N$3="VOL_EFF",$Q32,IF(Allocation!$N$3="VOL_CLASS",$R32,$S32)))</f>
        <v/>
      </c>
      <c r="AG32" t="str">
        <f>IF($A32="","",IF(Allocation!$N$1="VOL_EFF",$Q32,IF(Allocation!$N$1="VOL_CLASS",$R32,$S32)))</f>
        <v/>
      </c>
      <c r="AH32" t="str">
        <f>IF($A32="","",IF(Allocation!$N$1="VOL_EFF",$T32,IF(Allocation!$N$1="VOL_CLASS",$U32,$V32)))</f>
        <v/>
      </c>
      <c r="AI32" t="str">
        <f t="shared" si="12"/>
        <v/>
      </c>
      <c r="AJ32" t="str">
        <f t="shared" si="13"/>
        <v/>
      </c>
      <c r="AK32" t="str">
        <f t="shared" si="14"/>
        <v/>
      </c>
      <c r="AL32" t="str">
        <f t="shared" si="15"/>
        <v/>
      </c>
      <c r="AM32" t="str">
        <f t="shared" si="16"/>
        <v/>
      </c>
      <c r="AN32" t="str">
        <f t="shared" si="17"/>
        <v/>
      </c>
      <c r="AO32" t="str">
        <f>IF($A32="","",Allocation!CJ32)</f>
        <v/>
      </c>
      <c r="AP32" t="str">
        <f>IF($A32="","",IF(Allocation!$N$2="VOL_EFF",$Q32,IF(Allocation!$N$2="VOL_CLASS",$R32,$S32)))</f>
        <v/>
      </c>
      <c r="AQ32" t="str">
        <f>IF($A32="","",IF(Allocation!$N$2="VOL_EFF",$T32,IF(Allocation!$N$2="VOL_CLASS",$U32,$V32)))</f>
        <v/>
      </c>
      <c r="AR32" t="str">
        <f t="shared" si="18"/>
        <v/>
      </c>
      <c r="AS32" t="str">
        <f>IF($A32="","",$A32&amp;"|"&amp;Allocation!BG32)</f>
        <v/>
      </c>
    </row>
    <row r="33" spans="1:45" x14ac:dyDescent="0.45">
      <c r="A33" t="str">
        <f>IF(Allocation!BI33="","",Allocation!BI33)</f>
        <v/>
      </c>
      <c r="B33" t="str">
        <f>IF(Allocation!BJ33="","",Allocation!BJ33)</f>
        <v/>
      </c>
      <c r="C33" t="str">
        <f>IF(Allocation!BK33="","",Allocation!BK33)</f>
        <v/>
      </c>
      <c r="D33" t="str">
        <f>IF(Allocation!BL33="","",Allocation!BL33)</f>
        <v/>
      </c>
      <c r="E33" t="str">
        <f>IF(Allocation!BM33="","",Allocation!BM33)</f>
        <v/>
      </c>
      <c r="F33" t="str">
        <f>IF(Allocation!BN33="","",Allocation!BN33)</f>
        <v/>
      </c>
      <c r="G33" t="str">
        <f>IF(Allocation!BO33="","",Allocation!BO33)</f>
        <v/>
      </c>
      <c r="H33" t="str">
        <f>IF(Allocation!BP33="","",Allocation!BP33)</f>
        <v/>
      </c>
      <c r="I33" t="str">
        <f>IF(Allocation!BQ33="","",Allocation!BQ33)</f>
        <v/>
      </c>
      <c r="J33" t="str">
        <f>IF(Allocation!CC33="","",Allocation!CC33)</f>
        <v/>
      </c>
      <c r="K33" t="str">
        <f t="shared" si="0"/>
        <v/>
      </c>
      <c r="L33" t="str">
        <f t="shared" si="1"/>
        <v/>
      </c>
      <c r="M33" t="str">
        <f t="shared" si="2"/>
        <v/>
      </c>
      <c r="N33" t="str">
        <f t="shared" si="3"/>
        <v/>
      </c>
      <c r="O33" t="str">
        <f t="shared" si="4"/>
        <v/>
      </c>
      <c r="P33" t="str">
        <f t="shared" si="5"/>
        <v/>
      </c>
      <c r="Q33" t="str">
        <f t="shared" si="6"/>
        <v/>
      </c>
      <c r="R33" t="str">
        <f t="shared" si="7"/>
        <v/>
      </c>
      <c r="S33" t="str">
        <f t="shared" si="8"/>
        <v/>
      </c>
      <c r="T33" t="str">
        <f t="shared" si="9"/>
        <v/>
      </c>
      <c r="U33" t="str">
        <f t="shared" si="10"/>
        <v/>
      </c>
      <c r="V33" t="str">
        <f t="shared" si="11"/>
        <v/>
      </c>
      <c r="W33" t="str">
        <f>IF($A33="","",Allocation!CD33)</f>
        <v/>
      </c>
      <c r="X33" t="str">
        <f>IF($A33="","",Allocation!CE33)</f>
        <v/>
      </c>
      <c r="Y33" t="str">
        <f>IF($A33="","",Allocation!CF33)</f>
        <v/>
      </c>
      <c r="Z33" t="str">
        <f>IF($A33="","",Allocation!CG33)</f>
        <v/>
      </c>
      <c r="AA33" t="str">
        <f>IF($A33="","",Allocation!CH33)</f>
        <v/>
      </c>
      <c r="AB33" t="str">
        <f>IF($A33="","",Allocation!CI33)</f>
        <v/>
      </c>
      <c r="AC33" t="str">
        <f>IF($A33="","",IF(Allocation!$N$4="VOL_EFF",$G33,IF(Allocation!$N$4="VOL_CLASS",$H33,$I33)))</f>
        <v/>
      </c>
      <c r="AD33" t="str">
        <f>IF($A33="","",IF(Allocation!$N$4="VOL_EFF",$L33,IF(Allocation!$N$4="VOL_CLASS",$M33,$N33)))</f>
        <v/>
      </c>
      <c r="AE33" t="str">
        <f>IF($A33="","",IF(Allocation!$N$3="VOL_EFF",$L33,IF(Allocation!$N$3="VOL_CLASS",$M33,$N33)))</f>
        <v/>
      </c>
      <c r="AF33" t="str">
        <f>IF($A33="","",IF(Allocation!$N$3="VOL_EFF",$Q33,IF(Allocation!$N$3="VOL_CLASS",$R33,$S33)))</f>
        <v/>
      </c>
      <c r="AG33" t="str">
        <f>IF($A33="","",IF(Allocation!$N$1="VOL_EFF",$Q33,IF(Allocation!$N$1="VOL_CLASS",$R33,$S33)))</f>
        <v/>
      </c>
      <c r="AH33" t="str">
        <f>IF($A33="","",IF(Allocation!$N$1="VOL_EFF",$T33,IF(Allocation!$N$1="VOL_CLASS",$U33,$V33)))</f>
        <v/>
      </c>
      <c r="AI33" t="str">
        <f t="shared" si="12"/>
        <v/>
      </c>
      <c r="AJ33" t="str">
        <f t="shared" si="13"/>
        <v/>
      </c>
      <c r="AK33" t="str">
        <f t="shared" si="14"/>
        <v/>
      </c>
      <c r="AL33" t="str">
        <f t="shared" si="15"/>
        <v/>
      </c>
      <c r="AM33" t="str">
        <f t="shared" si="16"/>
        <v/>
      </c>
      <c r="AN33" t="str">
        <f t="shared" si="17"/>
        <v/>
      </c>
      <c r="AO33" t="str">
        <f>IF($A33="","",Allocation!CJ33)</f>
        <v/>
      </c>
      <c r="AP33" t="str">
        <f>IF($A33="","",IF(Allocation!$N$2="VOL_EFF",$Q33,IF(Allocation!$N$2="VOL_CLASS",$R33,$S33)))</f>
        <v/>
      </c>
      <c r="AQ33" t="str">
        <f>IF($A33="","",IF(Allocation!$N$2="VOL_EFF",$T33,IF(Allocation!$N$2="VOL_CLASS",$U33,$V33)))</f>
        <v/>
      </c>
      <c r="AR33" t="str">
        <f t="shared" si="18"/>
        <v/>
      </c>
      <c r="AS33" t="str">
        <f>IF($A33="","",$A33&amp;"|"&amp;Allocation!BG33)</f>
        <v/>
      </c>
    </row>
    <row r="34" spans="1:45" x14ac:dyDescent="0.45">
      <c r="A34" t="str">
        <f>IF(Allocation!BI34="","",Allocation!BI34)</f>
        <v/>
      </c>
      <c r="B34" t="str">
        <f>IF(Allocation!BJ34="","",Allocation!BJ34)</f>
        <v/>
      </c>
      <c r="C34" t="str">
        <f>IF(Allocation!BK34="","",Allocation!BK34)</f>
        <v/>
      </c>
      <c r="D34" t="str">
        <f>IF(Allocation!BL34="","",Allocation!BL34)</f>
        <v/>
      </c>
      <c r="E34" t="str">
        <f>IF(Allocation!BM34="","",Allocation!BM34)</f>
        <v/>
      </c>
      <c r="F34" t="str">
        <f>IF(Allocation!BN34="","",Allocation!BN34)</f>
        <v/>
      </c>
      <c r="G34" t="str">
        <f>IF(Allocation!BO34="","",Allocation!BO34)</f>
        <v/>
      </c>
      <c r="H34" t="str">
        <f>IF(Allocation!BP34="","",Allocation!BP34)</f>
        <v/>
      </c>
      <c r="I34" t="str">
        <f>IF(Allocation!BQ34="","",Allocation!BQ34)</f>
        <v/>
      </c>
      <c r="J34" t="str">
        <f>IF(Allocation!CC34="","",Allocation!CC34)</f>
        <v/>
      </c>
      <c r="K34" t="str">
        <f t="shared" si="0"/>
        <v/>
      </c>
      <c r="L34" t="str">
        <f t="shared" si="1"/>
        <v/>
      </c>
      <c r="M34" t="str">
        <f t="shared" si="2"/>
        <v/>
      </c>
      <c r="N34" t="str">
        <f t="shared" si="3"/>
        <v/>
      </c>
      <c r="O34" t="str">
        <f t="shared" si="4"/>
        <v/>
      </c>
      <c r="P34" t="str">
        <f t="shared" si="5"/>
        <v/>
      </c>
      <c r="Q34" t="str">
        <f t="shared" si="6"/>
        <v/>
      </c>
      <c r="R34" t="str">
        <f t="shared" si="7"/>
        <v/>
      </c>
      <c r="S34" t="str">
        <f t="shared" si="8"/>
        <v/>
      </c>
      <c r="T34" t="str">
        <f t="shared" si="9"/>
        <v/>
      </c>
      <c r="U34" t="str">
        <f t="shared" si="10"/>
        <v/>
      </c>
      <c r="V34" t="str">
        <f t="shared" si="11"/>
        <v/>
      </c>
      <c r="W34" t="str">
        <f>IF($A34="","",Allocation!CD34)</f>
        <v/>
      </c>
      <c r="X34" t="str">
        <f>IF($A34="","",Allocation!CE34)</f>
        <v/>
      </c>
      <c r="Y34" t="str">
        <f>IF($A34="","",Allocation!CF34)</f>
        <v/>
      </c>
      <c r="Z34" t="str">
        <f>IF($A34="","",Allocation!CG34)</f>
        <v/>
      </c>
      <c r="AA34" t="str">
        <f>IF($A34="","",Allocation!CH34)</f>
        <v/>
      </c>
      <c r="AB34" t="str">
        <f>IF($A34="","",Allocation!CI34)</f>
        <v/>
      </c>
      <c r="AC34" t="str">
        <f>IF($A34="","",IF(Allocation!$N$4="VOL_EFF",$G34,IF(Allocation!$N$4="VOL_CLASS",$H34,$I34)))</f>
        <v/>
      </c>
      <c r="AD34" t="str">
        <f>IF($A34="","",IF(Allocation!$N$4="VOL_EFF",$L34,IF(Allocation!$N$4="VOL_CLASS",$M34,$N34)))</f>
        <v/>
      </c>
      <c r="AE34" t="str">
        <f>IF($A34="","",IF(Allocation!$N$3="VOL_EFF",$L34,IF(Allocation!$N$3="VOL_CLASS",$M34,$N34)))</f>
        <v/>
      </c>
      <c r="AF34" t="str">
        <f>IF($A34="","",IF(Allocation!$N$3="VOL_EFF",$Q34,IF(Allocation!$N$3="VOL_CLASS",$R34,$S34)))</f>
        <v/>
      </c>
      <c r="AG34" t="str">
        <f>IF($A34="","",IF(Allocation!$N$1="VOL_EFF",$Q34,IF(Allocation!$N$1="VOL_CLASS",$R34,$S34)))</f>
        <v/>
      </c>
      <c r="AH34" t="str">
        <f>IF($A34="","",IF(Allocation!$N$1="VOL_EFF",$T34,IF(Allocation!$N$1="VOL_CLASS",$U34,$V34)))</f>
        <v/>
      </c>
      <c r="AI34" t="str">
        <f t="shared" si="12"/>
        <v/>
      </c>
      <c r="AJ34" t="str">
        <f t="shared" si="13"/>
        <v/>
      </c>
      <c r="AK34" t="str">
        <f t="shared" si="14"/>
        <v/>
      </c>
      <c r="AL34" t="str">
        <f t="shared" si="15"/>
        <v/>
      </c>
      <c r="AM34" t="str">
        <f t="shared" si="16"/>
        <v/>
      </c>
      <c r="AN34" t="str">
        <f t="shared" si="17"/>
        <v/>
      </c>
      <c r="AO34" t="str">
        <f>IF($A34="","",Allocation!CJ34)</f>
        <v/>
      </c>
      <c r="AP34" t="str">
        <f>IF($A34="","",IF(Allocation!$N$2="VOL_EFF",$Q34,IF(Allocation!$N$2="VOL_CLASS",$R34,$S34)))</f>
        <v/>
      </c>
      <c r="AQ34" t="str">
        <f>IF($A34="","",IF(Allocation!$N$2="VOL_EFF",$T34,IF(Allocation!$N$2="VOL_CLASS",$U34,$V34)))</f>
        <v/>
      </c>
      <c r="AR34" t="str">
        <f t="shared" si="18"/>
        <v/>
      </c>
      <c r="AS34" t="str">
        <f>IF($A34="","",$A34&amp;"|"&amp;Allocation!BG34)</f>
        <v/>
      </c>
    </row>
    <row r="35" spans="1:45" x14ac:dyDescent="0.45">
      <c r="A35" t="str">
        <f>IF(Allocation!BI35="","",Allocation!BI35)</f>
        <v/>
      </c>
      <c r="B35" t="str">
        <f>IF(Allocation!BJ35="","",Allocation!BJ35)</f>
        <v/>
      </c>
      <c r="C35" t="str">
        <f>IF(Allocation!BK35="","",Allocation!BK35)</f>
        <v/>
      </c>
      <c r="D35" t="str">
        <f>IF(Allocation!BL35="","",Allocation!BL35)</f>
        <v/>
      </c>
      <c r="E35" t="str">
        <f>IF(Allocation!BM35="","",Allocation!BM35)</f>
        <v/>
      </c>
      <c r="F35" t="str">
        <f>IF(Allocation!BN35="","",Allocation!BN35)</f>
        <v/>
      </c>
      <c r="G35" t="str">
        <f>IF(Allocation!BO35="","",Allocation!BO35)</f>
        <v/>
      </c>
      <c r="H35" t="str">
        <f>IF(Allocation!BP35="","",Allocation!BP35)</f>
        <v/>
      </c>
      <c r="I35" t="str">
        <f>IF(Allocation!BQ35="","",Allocation!BQ35)</f>
        <v/>
      </c>
      <c r="J35" t="str">
        <f>IF(Allocation!CC35="","",Allocation!CC35)</f>
        <v/>
      </c>
      <c r="K35" t="str">
        <f t="shared" si="0"/>
        <v/>
      </c>
      <c r="L35" t="str">
        <f t="shared" si="1"/>
        <v/>
      </c>
      <c r="M35" t="str">
        <f t="shared" si="2"/>
        <v/>
      </c>
      <c r="N35" t="str">
        <f t="shared" si="3"/>
        <v/>
      </c>
      <c r="O35" t="str">
        <f t="shared" si="4"/>
        <v/>
      </c>
      <c r="P35" t="str">
        <f t="shared" si="5"/>
        <v/>
      </c>
      <c r="Q35" t="str">
        <f t="shared" si="6"/>
        <v/>
      </c>
      <c r="R35" t="str">
        <f t="shared" si="7"/>
        <v/>
      </c>
      <c r="S35" t="str">
        <f t="shared" si="8"/>
        <v/>
      </c>
      <c r="T35" t="str">
        <f t="shared" si="9"/>
        <v/>
      </c>
      <c r="U35" t="str">
        <f t="shared" si="10"/>
        <v/>
      </c>
      <c r="V35" t="str">
        <f t="shared" si="11"/>
        <v/>
      </c>
      <c r="W35" t="str">
        <f>IF($A35="","",Allocation!CD35)</f>
        <v/>
      </c>
      <c r="X35" t="str">
        <f>IF($A35="","",Allocation!CE35)</f>
        <v/>
      </c>
      <c r="Y35" t="str">
        <f>IF($A35="","",Allocation!CF35)</f>
        <v/>
      </c>
      <c r="Z35" t="str">
        <f>IF($A35="","",Allocation!CG35)</f>
        <v/>
      </c>
      <c r="AA35" t="str">
        <f>IF($A35="","",Allocation!CH35)</f>
        <v/>
      </c>
      <c r="AB35" t="str">
        <f>IF($A35="","",Allocation!CI35)</f>
        <v/>
      </c>
      <c r="AC35" t="str">
        <f>IF($A35="","",IF(Allocation!$N$4="VOL_EFF",$G35,IF(Allocation!$N$4="VOL_CLASS",$H35,$I35)))</f>
        <v/>
      </c>
      <c r="AD35" t="str">
        <f>IF($A35="","",IF(Allocation!$N$4="VOL_EFF",$L35,IF(Allocation!$N$4="VOL_CLASS",$M35,$N35)))</f>
        <v/>
      </c>
      <c r="AE35" t="str">
        <f>IF($A35="","",IF(Allocation!$N$3="VOL_EFF",$L35,IF(Allocation!$N$3="VOL_CLASS",$M35,$N35)))</f>
        <v/>
      </c>
      <c r="AF35" t="str">
        <f>IF($A35="","",IF(Allocation!$N$3="VOL_EFF",$Q35,IF(Allocation!$N$3="VOL_CLASS",$R35,$S35)))</f>
        <v/>
      </c>
      <c r="AG35" t="str">
        <f>IF($A35="","",IF(Allocation!$N$1="VOL_EFF",$Q35,IF(Allocation!$N$1="VOL_CLASS",$R35,$S35)))</f>
        <v/>
      </c>
      <c r="AH35" t="str">
        <f>IF($A35="","",IF(Allocation!$N$1="VOL_EFF",$T35,IF(Allocation!$N$1="VOL_CLASS",$U35,$V35)))</f>
        <v/>
      </c>
      <c r="AI35" t="str">
        <f t="shared" si="12"/>
        <v/>
      </c>
      <c r="AJ35" t="str">
        <f t="shared" si="13"/>
        <v/>
      </c>
      <c r="AK35" t="str">
        <f t="shared" si="14"/>
        <v/>
      </c>
      <c r="AL35" t="str">
        <f t="shared" si="15"/>
        <v/>
      </c>
      <c r="AM35" t="str">
        <f t="shared" si="16"/>
        <v/>
      </c>
      <c r="AN35" t="str">
        <f t="shared" si="17"/>
        <v/>
      </c>
      <c r="AO35" t="str">
        <f>IF($A35="","",Allocation!CJ35)</f>
        <v/>
      </c>
      <c r="AP35" t="str">
        <f>IF($A35="","",IF(Allocation!$N$2="VOL_EFF",$Q35,IF(Allocation!$N$2="VOL_CLASS",$R35,$S35)))</f>
        <v/>
      </c>
      <c r="AQ35" t="str">
        <f>IF($A35="","",IF(Allocation!$N$2="VOL_EFF",$T35,IF(Allocation!$N$2="VOL_CLASS",$U35,$V35)))</f>
        <v/>
      </c>
      <c r="AR35" t="str">
        <f t="shared" si="18"/>
        <v/>
      </c>
      <c r="AS35" t="str">
        <f>IF($A35="","",$A35&amp;"|"&amp;Allocation!BG35)</f>
        <v/>
      </c>
    </row>
    <row r="36" spans="1:45" x14ac:dyDescent="0.45">
      <c r="A36" t="str">
        <f>IF(Allocation!BI36="","",Allocation!BI36)</f>
        <v/>
      </c>
      <c r="B36" t="str">
        <f>IF(Allocation!BJ36="","",Allocation!BJ36)</f>
        <v/>
      </c>
      <c r="C36" t="str">
        <f>IF(Allocation!BK36="","",Allocation!BK36)</f>
        <v/>
      </c>
      <c r="D36" t="str">
        <f>IF(Allocation!BL36="","",Allocation!BL36)</f>
        <v/>
      </c>
      <c r="E36" t="str">
        <f>IF(Allocation!BM36="","",Allocation!BM36)</f>
        <v/>
      </c>
      <c r="F36" t="str">
        <f>IF(Allocation!BN36="","",Allocation!BN36)</f>
        <v/>
      </c>
      <c r="G36" t="str">
        <f>IF(Allocation!BO36="","",Allocation!BO36)</f>
        <v/>
      </c>
      <c r="H36" t="str">
        <f>IF(Allocation!BP36="","",Allocation!BP36)</f>
        <v/>
      </c>
      <c r="I36" t="str">
        <f>IF(Allocation!BQ36="","",Allocation!BQ36)</f>
        <v/>
      </c>
      <c r="J36" t="str">
        <f>IF(Allocation!CC36="","",Allocation!CC36)</f>
        <v/>
      </c>
      <c r="K36" t="str">
        <f t="shared" si="0"/>
        <v/>
      </c>
      <c r="L36" t="str">
        <f t="shared" si="1"/>
        <v/>
      </c>
      <c r="M36" t="str">
        <f t="shared" si="2"/>
        <v/>
      </c>
      <c r="N36" t="str">
        <f t="shared" si="3"/>
        <v/>
      </c>
      <c r="O36" t="str">
        <f t="shared" si="4"/>
        <v/>
      </c>
      <c r="P36" t="str">
        <f t="shared" si="5"/>
        <v/>
      </c>
      <c r="Q36" t="str">
        <f t="shared" si="6"/>
        <v/>
      </c>
      <c r="R36" t="str">
        <f t="shared" si="7"/>
        <v/>
      </c>
      <c r="S36" t="str">
        <f t="shared" si="8"/>
        <v/>
      </c>
      <c r="T36" t="str">
        <f t="shared" si="9"/>
        <v/>
      </c>
      <c r="U36" t="str">
        <f t="shared" si="10"/>
        <v/>
      </c>
      <c r="V36" t="str">
        <f t="shared" si="11"/>
        <v/>
      </c>
      <c r="W36" t="str">
        <f>IF($A36="","",Allocation!CD36)</f>
        <v/>
      </c>
      <c r="X36" t="str">
        <f>IF($A36="","",Allocation!CE36)</f>
        <v/>
      </c>
      <c r="Y36" t="str">
        <f>IF($A36="","",Allocation!CF36)</f>
        <v/>
      </c>
      <c r="Z36" t="str">
        <f>IF($A36="","",Allocation!CG36)</f>
        <v/>
      </c>
      <c r="AA36" t="str">
        <f>IF($A36="","",Allocation!CH36)</f>
        <v/>
      </c>
      <c r="AB36" t="str">
        <f>IF($A36="","",Allocation!CI36)</f>
        <v/>
      </c>
      <c r="AC36" t="str">
        <f>IF($A36="","",IF(Allocation!$N$4="VOL_EFF",$G36,IF(Allocation!$N$4="VOL_CLASS",$H36,$I36)))</f>
        <v/>
      </c>
      <c r="AD36" t="str">
        <f>IF($A36="","",IF(Allocation!$N$4="VOL_EFF",$L36,IF(Allocation!$N$4="VOL_CLASS",$M36,$N36)))</f>
        <v/>
      </c>
      <c r="AE36" t="str">
        <f>IF($A36="","",IF(Allocation!$N$3="VOL_EFF",$L36,IF(Allocation!$N$3="VOL_CLASS",$M36,$N36)))</f>
        <v/>
      </c>
      <c r="AF36" t="str">
        <f>IF($A36="","",IF(Allocation!$N$3="VOL_EFF",$Q36,IF(Allocation!$N$3="VOL_CLASS",$R36,$S36)))</f>
        <v/>
      </c>
      <c r="AG36" t="str">
        <f>IF($A36="","",IF(Allocation!$N$1="VOL_EFF",$Q36,IF(Allocation!$N$1="VOL_CLASS",$R36,$S36)))</f>
        <v/>
      </c>
      <c r="AH36" t="str">
        <f>IF($A36="","",IF(Allocation!$N$1="VOL_EFF",$T36,IF(Allocation!$N$1="VOL_CLASS",$U36,$V36)))</f>
        <v/>
      </c>
      <c r="AI36" t="str">
        <f t="shared" si="12"/>
        <v/>
      </c>
      <c r="AJ36" t="str">
        <f t="shared" si="13"/>
        <v/>
      </c>
      <c r="AK36" t="str">
        <f t="shared" si="14"/>
        <v/>
      </c>
      <c r="AL36" t="str">
        <f t="shared" si="15"/>
        <v/>
      </c>
      <c r="AM36" t="str">
        <f t="shared" si="16"/>
        <v/>
      </c>
      <c r="AN36" t="str">
        <f t="shared" si="17"/>
        <v/>
      </c>
      <c r="AO36" t="str">
        <f>IF($A36="","",Allocation!CJ36)</f>
        <v/>
      </c>
      <c r="AP36" t="str">
        <f>IF($A36="","",IF(Allocation!$N$2="VOL_EFF",$Q36,IF(Allocation!$N$2="VOL_CLASS",$R36,$S36)))</f>
        <v/>
      </c>
      <c r="AQ36" t="str">
        <f>IF($A36="","",IF(Allocation!$N$2="VOL_EFF",$T36,IF(Allocation!$N$2="VOL_CLASS",$U36,$V36)))</f>
        <v/>
      </c>
      <c r="AR36" t="str">
        <f t="shared" si="18"/>
        <v/>
      </c>
      <c r="AS36" t="str">
        <f>IF($A36="","",$A36&amp;"|"&amp;Allocation!BG36)</f>
        <v/>
      </c>
    </row>
    <row r="37" spans="1:45" x14ac:dyDescent="0.45">
      <c r="A37" t="str">
        <f>IF(Allocation!BI37="","",Allocation!BI37)</f>
        <v/>
      </c>
      <c r="B37" t="str">
        <f>IF(Allocation!BJ37="","",Allocation!BJ37)</f>
        <v/>
      </c>
      <c r="C37" t="str">
        <f>IF(Allocation!BK37="","",Allocation!BK37)</f>
        <v/>
      </c>
      <c r="D37" t="str">
        <f>IF(Allocation!BL37="","",Allocation!BL37)</f>
        <v/>
      </c>
      <c r="E37" t="str">
        <f>IF(Allocation!BM37="","",Allocation!BM37)</f>
        <v/>
      </c>
      <c r="F37" t="str">
        <f>IF(Allocation!BN37="","",Allocation!BN37)</f>
        <v/>
      </c>
      <c r="G37" t="str">
        <f>IF(Allocation!BO37="","",Allocation!BO37)</f>
        <v/>
      </c>
      <c r="H37" t="str">
        <f>IF(Allocation!BP37="","",Allocation!BP37)</f>
        <v/>
      </c>
      <c r="I37" t="str">
        <f>IF(Allocation!BQ37="","",Allocation!BQ37)</f>
        <v/>
      </c>
      <c r="J37" t="str">
        <f>IF(Allocation!CC37="","",Allocation!CC37)</f>
        <v/>
      </c>
      <c r="K37" t="str">
        <f t="shared" si="0"/>
        <v/>
      </c>
      <c r="L37" t="str">
        <f t="shared" si="1"/>
        <v/>
      </c>
      <c r="M37" t="str">
        <f t="shared" si="2"/>
        <v/>
      </c>
      <c r="N37" t="str">
        <f t="shared" si="3"/>
        <v/>
      </c>
      <c r="O37" t="str">
        <f t="shared" si="4"/>
        <v/>
      </c>
      <c r="P37" t="str">
        <f t="shared" si="5"/>
        <v/>
      </c>
      <c r="Q37" t="str">
        <f t="shared" si="6"/>
        <v/>
      </c>
      <c r="R37" t="str">
        <f t="shared" si="7"/>
        <v/>
      </c>
      <c r="S37" t="str">
        <f t="shared" si="8"/>
        <v/>
      </c>
      <c r="T37" t="str">
        <f t="shared" si="9"/>
        <v/>
      </c>
      <c r="U37" t="str">
        <f t="shared" si="10"/>
        <v/>
      </c>
      <c r="V37" t="str">
        <f t="shared" si="11"/>
        <v/>
      </c>
      <c r="W37" t="str">
        <f>IF($A37="","",Allocation!CD37)</f>
        <v/>
      </c>
      <c r="X37" t="str">
        <f>IF($A37="","",Allocation!CE37)</f>
        <v/>
      </c>
      <c r="Y37" t="str">
        <f>IF($A37="","",Allocation!CF37)</f>
        <v/>
      </c>
      <c r="Z37" t="str">
        <f>IF($A37="","",Allocation!CG37)</f>
        <v/>
      </c>
      <c r="AA37" t="str">
        <f>IF($A37="","",Allocation!CH37)</f>
        <v/>
      </c>
      <c r="AB37" t="str">
        <f>IF($A37="","",Allocation!CI37)</f>
        <v/>
      </c>
      <c r="AC37" t="str">
        <f>IF($A37="","",IF(Allocation!$N$4="VOL_EFF",$G37,IF(Allocation!$N$4="VOL_CLASS",$H37,$I37)))</f>
        <v/>
      </c>
      <c r="AD37" t="str">
        <f>IF($A37="","",IF(Allocation!$N$4="VOL_EFF",$L37,IF(Allocation!$N$4="VOL_CLASS",$M37,$N37)))</f>
        <v/>
      </c>
      <c r="AE37" t="str">
        <f>IF($A37="","",IF(Allocation!$N$3="VOL_EFF",$L37,IF(Allocation!$N$3="VOL_CLASS",$M37,$N37)))</f>
        <v/>
      </c>
      <c r="AF37" t="str">
        <f>IF($A37="","",IF(Allocation!$N$3="VOL_EFF",$Q37,IF(Allocation!$N$3="VOL_CLASS",$R37,$S37)))</f>
        <v/>
      </c>
      <c r="AG37" t="str">
        <f>IF($A37="","",IF(Allocation!$N$1="VOL_EFF",$Q37,IF(Allocation!$N$1="VOL_CLASS",$R37,$S37)))</f>
        <v/>
      </c>
      <c r="AH37" t="str">
        <f>IF($A37="","",IF(Allocation!$N$1="VOL_EFF",$T37,IF(Allocation!$N$1="VOL_CLASS",$U37,$V37)))</f>
        <v/>
      </c>
      <c r="AI37" t="str">
        <f t="shared" si="12"/>
        <v/>
      </c>
      <c r="AJ37" t="str">
        <f t="shared" si="13"/>
        <v/>
      </c>
      <c r="AK37" t="str">
        <f t="shared" si="14"/>
        <v/>
      </c>
      <c r="AL37" t="str">
        <f t="shared" si="15"/>
        <v/>
      </c>
      <c r="AM37" t="str">
        <f t="shared" si="16"/>
        <v/>
      </c>
      <c r="AN37" t="str">
        <f t="shared" si="17"/>
        <v/>
      </c>
      <c r="AO37" t="str">
        <f>IF($A37="","",Allocation!CJ37)</f>
        <v/>
      </c>
      <c r="AP37" t="str">
        <f>IF($A37="","",IF(Allocation!$N$2="VOL_EFF",$Q37,IF(Allocation!$N$2="VOL_CLASS",$R37,$S37)))</f>
        <v/>
      </c>
      <c r="AQ37" t="str">
        <f>IF($A37="","",IF(Allocation!$N$2="VOL_EFF",$T37,IF(Allocation!$N$2="VOL_CLASS",$U37,$V37)))</f>
        <v/>
      </c>
      <c r="AR37" t="str">
        <f t="shared" si="18"/>
        <v/>
      </c>
      <c r="AS37" t="str">
        <f>IF($A37="","",$A37&amp;"|"&amp;Allocation!BG37)</f>
        <v/>
      </c>
    </row>
    <row r="38" spans="1:45" x14ac:dyDescent="0.45">
      <c r="A38" t="str">
        <f>IF(Allocation!BI38="","",Allocation!BI38)</f>
        <v/>
      </c>
      <c r="B38" t="str">
        <f>IF(Allocation!BJ38="","",Allocation!BJ38)</f>
        <v/>
      </c>
      <c r="C38" t="str">
        <f>IF(Allocation!BK38="","",Allocation!BK38)</f>
        <v/>
      </c>
      <c r="D38" t="str">
        <f>IF(Allocation!BL38="","",Allocation!BL38)</f>
        <v/>
      </c>
      <c r="E38" t="str">
        <f>IF(Allocation!BM38="","",Allocation!BM38)</f>
        <v/>
      </c>
      <c r="F38" t="str">
        <f>IF(Allocation!BN38="","",Allocation!BN38)</f>
        <v/>
      </c>
      <c r="G38" t="str">
        <f>IF(Allocation!BO38="","",Allocation!BO38)</f>
        <v/>
      </c>
      <c r="H38" t="str">
        <f>IF(Allocation!BP38="","",Allocation!BP38)</f>
        <v/>
      </c>
      <c r="I38" t="str">
        <f>IF(Allocation!BQ38="","",Allocation!BQ38)</f>
        <v/>
      </c>
      <c r="J38" t="str">
        <f>IF(Allocation!CC38="","",Allocation!CC38)</f>
        <v/>
      </c>
      <c r="K38" t="str">
        <f t="shared" si="0"/>
        <v/>
      </c>
      <c r="L38" t="str">
        <f t="shared" si="1"/>
        <v/>
      </c>
      <c r="M38" t="str">
        <f t="shared" si="2"/>
        <v/>
      </c>
      <c r="N38" t="str">
        <f t="shared" si="3"/>
        <v/>
      </c>
      <c r="O38" t="str">
        <f t="shared" si="4"/>
        <v/>
      </c>
      <c r="P38" t="str">
        <f t="shared" si="5"/>
        <v/>
      </c>
      <c r="Q38" t="str">
        <f t="shared" si="6"/>
        <v/>
      </c>
      <c r="R38" t="str">
        <f t="shared" si="7"/>
        <v/>
      </c>
      <c r="S38" t="str">
        <f t="shared" si="8"/>
        <v/>
      </c>
      <c r="T38" t="str">
        <f t="shared" si="9"/>
        <v/>
      </c>
      <c r="U38" t="str">
        <f t="shared" si="10"/>
        <v/>
      </c>
      <c r="V38" t="str">
        <f t="shared" si="11"/>
        <v/>
      </c>
      <c r="W38" t="str">
        <f>IF($A38="","",Allocation!CD38)</f>
        <v/>
      </c>
      <c r="X38" t="str">
        <f>IF($A38="","",Allocation!CE38)</f>
        <v/>
      </c>
      <c r="Y38" t="str">
        <f>IF($A38="","",Allocation!CF38)</f>
        <v/>
      </c>
      <c r="Z38" t="str">
        <f>IF($A38="","",Allocation!CG38)</f>
        <v/>
      </c>
      <c r="AA38" t="str">
        <f>IF($A38="","",Allocation!CH38)</f>
        <v/>
      </c>
      <c r="AB38" t="str">
        <f>IF($A38="","",Allocation!CI38)</f>
        <v/>
      </c>
      <c r="AC38" t="str">
        <f>IF($A38="","",IF(Allocation!$N$4="VOL_EFF",$G38,IF(Allocation!$N$4="VOL_CLASS",$H38,$I38)))</f>
        <v/>
      </c>
      <c r="AD38" t="str">
        <f>IF($A38="","",IF(Allocation!$N$4="VOL_EFF",$L38,IF(Allocation!$N$4="VOL_CLASS",$M38,$N38)))</f>
        <v/>
      </c>
      <c r="AE38" t="str">
        <f>IF($A38="","",IF(Allocation!$N$3="VOL_EFF",$L38,IF(Allocation!$N$3="VOL_CLASS",$M38,$N38)))</f>
        <v/>
      </c>
      <c r="AF38" t="str">
        <f>IF($A38="","",IF(Allocation!$N$3="VOL_EFF",$Q38,IF(Allocation!$N$3="VOL_CLASS",$R38,$S38)))</f>
        <v/>
      </c>
      <c r="AG38" t="str">
        <f>IF($A38="","",IF(Allocation!$N$1="VOL_EFF",$Q38,IF(Allocation!$N$1="VOL_CLASS",$R38,$S38)))</f>
        <v/>
      </c>
      <c r="AH38" t="str">
        <f>IF($A38="","",IF(Allocation!$N$1="VOL_EFF",$T38,IF(Allocation!$N$1="VOL_CLASS",$U38,$V38)))</f>
        <v/>
      </c>
      <c r="AI38" t="str">
        <f t="shared" si="12"/>
        <v/>
      </c>
      <c r="AJ38" t="str">
        <f t="shared" si="13"/>
        <v/>
      </c>
      <c r="AK38" t="str">
        <f t="shared" si="14"/>
        <v/>
      </c>
      <c r="AL38" t="str">
        <f t="shared" si="15"/>
        <v/>
      </c>
      <c r="AM38" t="str">
        <f t="shared" si="16"/>
        <v/>
      </c>
      <c r="AN38" t="str">
        <f t="shared" si="17"/>
        <v/>
      </c>
      <c r="AO38" t="str">
        <f>IF($A38="","",Allocation!CJ38)</f>
        <v/>
      </c>
      <c r="AP38" t="str">
        <f>IF($A38="","",IF(Allocation!$N$2="VOL_EFF",$Q38,IF(Allocation!$N$2="VOL_CLASS",$R38,$S38)))</f>
        <v/>
      </c>
      <c r="AQ38" t="str">
        <f>IF($A38="","",IF(Allocation!$N$2="VOL_EFF",$T38,IF(Allocation!$N$2="VOL_CLASS",$U38,$V38)))</f>
        <v/>
      </c>
      <c r="AR38" t="str">
        <f t="shared" si="18"/>
        <v/>
      </c>
      <c r="AS38" t="str">
        <f>IF($A38="","",$A38&amp;"|"&amp;Allocation!BG38)</f>
        <v/>
      </c>
    </row>
    <row r="39" spans="1:45" x14ac:dyDescent="0.45">
      <c r="A39" t="str">
        <f>IF(Allocation!BI39="","",Allocation!BI39)</f>
        <v/>
      </c>
      <c r="B39" t="str">
        <f>IF(Allocation!BJ39="","",Allocation!BJ39)</f>
        <v/>
      </c>
      <c r="C39" t="str">
        <f>IF(Allocation!BK39="","",Allocation!BK39)</f>
        <v/>
      </c>
      <c r="D39" t="str">
        <f>IF(Allocation!BL39="","",Allocation!BL39)</f>
        <v/>
      </c>
      <c r="E39" t="str">
        <f>IF(Allocation!BM39="","",Allocation!BM39)</f>
        <v/>
      </c>
      <c r="F39" t="str">
        <f>IF(Allocation!BN39="","",Allocation!BN39)</f>
        <v/>
      </c>
      <c r="G39" t="str">
        <f>IF(Allocation!BO39="","",Allocation!BO39)</f>
        <v/>
      </c>
      <c r="H39" t="str">
        <f>IF(Allocation!BP39="","",Allocation!BP39)</f>
        <v/>
      </c>
      <c r="I39" t="str">
        <f>IF(Allocation!BQ39="","",Allocation!BQ39)</f>
        <v/>
      </c>
      <c r="J39" t="str">
        <f>IF(Allocation!CC39="","",Allocation!CC39)</f>
        <v/>
      </c>
      <c r="K39" t="str">
        <f t="shared" si="0"/>
        <v/>
      </c>
      <c r="L39" t="str">
        <f t="shared" si="1"/>
        <v/>
      </c>
      <c r="M39" t="str">
        <f t="shared" si="2"/>
        <v/>
      </c>
      <c r="N39" t="str">
        <f t="shared" si="3"/>
        <v/>
      </c>
      <c r="O39" t="str">
        <f t="shared" si="4"/>
        <v/>
      </c>
      <c r="P39" t="str">
        <f t="shared" si="5"/>
        <v/>
      </c>
      <c r="Q39" t="str">
        <f t="shared" si="6"/>
        <v/>
      </c>
      <c r="R39" t="str">
        <f t="shared" si="7"/>
        <v/>
      </c>
      <c r="S39" t="str">
        <f t="shared" si="8"/>
        <v/>
      </c>
      <c r="T39" t="str">
        <f t="shared" si="9"/>
        <v/>
      </c>
      <c r="U39" t="str">
        <f t="shared" si="10"/>
        <v/>
      </c>
      <c r="V39" t="str">
        <f t="shared" si="11"/>
        <v/>
      </c>
      <c r="W39" t="str">
        <f>IF($A39="","",Allocation!CD39)</f>
        <v/>
      </c>
      <c r="X39" t="str">
        <f>IF($A39="","",Allocation!CE39)</f>
        <v/>
      </c>
      <c r="Y39" t="str">
        <f>IF($A39="","",Allocation!CF39)</f>
        <v/>
      </c>
      <c r="Z39" t="str">
        <f>IF($A39="","",Allocation!CG39)</f>
        <v/>
      </c>
      <c r="AA39" t="str">
        <f>IF($A39="","",Allocation!CH39)</f>
        <v/>
      </c>
      <c r="AB39" t="str">
        <f>IF($A39="","",Allocation!CI39)</f>
        <v/>
      </c>
      <c r="AC39" t="str">
        <f>IF($A39="","",IF(Allocation!$N$4="VOL_EFF",$G39,IF(Allocation!$N$4="VOL_CLASS",$H39,$I39)))</f>
        <v/>
      </c>
      <c r="AD39" t="str">
        <f>IF($A39="","",IF(Allocation!$N$4="VOL_EFF",$L39,IF(Allocation!$N$4="VOL_CLASS",$M39,$N39)))</f>
        <v/>
      </c>
      <c r="AE39" t="str">
        <f>IF($A39="","",IF(Allocation!$N$3="VOL_EFF",$L39,IF(Allocation!$N$3="VOL_CLASS",$M39,$N39)))</f>
        <v/>
      </c>
      <c r="AF39" t="str">
        <f>IF($A39="","",IF(Allocation!$N$3="VOL_EFF",$Q39,IF(Allocation!$N$3="VOL_CLASS",$R39,$S39)))</f>
        <v/>
      </c>
      <c r="AG39" t="str">
        <f>IF($A39="","",IF(Allocation!$N$1="VOL_EFF",$Q39,IF(Allocation!$N$1="VOL_CLASS",$R39,$S39)))</f>
        <v/>
      </c>
      <c r="AH39" t="str">
        <f>IF($A39="","",IF(Allocation!$N$1="VOL_EFF",$T39,IF(Allocation!$N$1="VOL_CLASS",$U39,$V39)))</f>
        <v/>
      </c>
      <c r="AI39" t="str">
        <f t="shared" si="12"/>
        <v/>
      </c>
      <c r="AJ39" t="str">
        <f t="shared" si="13"/>
        <v/>
      </c>
      <c r="AK39" t="str">
        <f t="shared" si="14"/>
        <v/>
      </c>
      <c r="AL39" t="str">
        <f t="shared" si="15"/>
        <v/>
      </c>
      <c r="AM39" t="str">
        <f t="shared" si="16"/>
        <v/>
      </c>
      <c r="AN39" t="str">
        <f t="shared" si="17"/>
        <v/>
      </c>
      <c r="AO39" t="str">
        <f>IF($A39="","",Allocation!CJ39)</f>
        <v/>
      </c>
      <c r="AP39" t="str">
        <f>IF($A39="","",IF(Allocation!$N$2="VOL_EFF",$Q39,IF(Allocation!$N$2="VOL_CLASS",$R39,$S39)))</f>
        <v/>
      </c>
      <c r="AQ39" t="str">
        <f>IF($A39="","",IF(Allocation!$N$2="VOL_EFF",$T39,IF(Allocation!$N$2="VOL_CLASS",$U39,$V39)))</f>
        <v/>
      </c>
      <c r="AR39" t="str">
        <f t="shared" si="18"/>
        <v/>
      </c>
      <c r="AS39" t="str">
        <f>IF($A39="","",$A39&amp;"|"&amp;Allocation!BG39)</f>
        <v/>
      </c>
    </row>
    <row r="40" spans="1:45" x14ac:dyDescent="0.45">
      <c r="A40" t="str">
        <f>IF(Allocation!BI40="","",Allocation!BI40)</f>
        <v/>
      </c>
      <c r="B40" t="str">
        <f>IF(Allocation!BJ40="","",Allocation!BJ40)</f>
        <v/>
      </c>
      <c r="C40" t="str">
        <f>IF(Allocation!BK40="","",Allocation!BK40)</f>
        <v/>
      </c>
      <c r="D40" t="str">
        <f>IF(Allocation!BL40="","",Allocation!BL40)</f>
        <v/>
      </c>
      <c r="E40" t="str">
        <f>IF(Allocation!BM40="","",Allocation!BM40)</f>
        <v/>
      </c>
      <c r="F40" t="str">
        <f>IF(Allocation!BN40="","",Allocation!BN40)</f>
        <v/>
      </c>
      <c r="G40" t="str">
        <f>IF(Allocation!BO40="","",Allocation!BO40)</f>
        <v/>
      </c>
      <c r="H40" t="str">
        <f>IF(Allocation!BP40="","",Allocation!BP40)</f>
        <v/>
      </c>
      <c r="I40" t="str">
        <f>IF(Allocation!BQ40="","",Allocation!BQ40)</f>
        <v/>
      </c>
      <c r="J40" t="str">
        <f>IF(Allocation!CC40="","",Allocation!CC40)</f>
        <v/>
      </c>
      <c r="K40" t="str">
        <f t="shared" si="0"/>
        <v/>
      </c>
      <c r="L40" t="str">
        <f t="shared" si="1"/>
        <v/>
      </c>
      <c r="M40" t="str">
        <f t="shared" si="2"/>
        <v/>
      </c>
      <c r="N40" t="str">
        <f t="shared" si="3"/>
        <v/>
      </c>
      <c r="O40" t="str">
        <f t="shared" si="4"/>
        <v/>
      </c>
      <c r="P40" t="str">
        <f t="shared" si="5"/>
        <v/>
      </c>
      <c r="Q40" t="str">
        <f t="shared" si="6"/>
        <v/>
      </c>
      <c r="R40" t="str">
        <f t="shared" si="7"/>
        <v/>
      </c>
      <c r="S40" t="str">
        <f t="shared" si="8"/>
        <v/>
      </c>
      <c r="T40" t="str">
        <f t="shared" si="9"/>
        <v/>
      </c>
      <c r="U40" t="str">
        <f t="shared" si="10"/>
        <v/>
      </c>
      <c r="V40" t="str">
        <f t="shared" si="11"/>
        <v/>
      </c>
      <c r="W40" t="str">
        <f>IF($A40="","",Allocation!CD40)</f>
        <v/>
      </c>
      <c r="X40" t="str">
        <f>IF($A40="","",Allocation!CE40)</f>
        <v/>
      </c>
      <c r="Y40" t="str">
        <f>IF($A40="","",Allocation!CF40)</f>
        <v/>
      </c>
      <c r="Z40" t="str">
        <f>IF($A40="","",Allocation!CG40)</f>
        <v/>
      </c>
      <c r="AA40" t="str">
        <f>IF($A40="","",Allocation!CH40)</f>
        <v/>
      </c>
      <c r="AB40" t="str">
        <f>IF($A40="","",Allocation!CI40)</f>
        <v/>
      </c>
      <c r="AC40" t="str">
        <f>IF($A40="","",IF(Allocation!$N$4="VOL_EFF",$G40,IF(Allocation!$N$4="VOL_CLASS",$H40,$I40)))</f>
        <v/>
      </c>
      <c r="AD40" t="str">
        <f>IF($A40="","",IF(Allocation!$N$4="VOL_EFF",$L40,IF(Allocation!$N$4="VOL_CLASS",$M40,$N40)))</f>
        <v/>
      </c>
      <c r="AE40" t="str">
        <f>IF($A40="","",IF(Allocation!$N$3="VOL_EFF",$L40,IF(Allocation!$N$3="VOL_CLASS",$M40,$N40)))</f>
        <v/>
      </c>
      <c r="AF40" t="str">
        <f>IF($A40="","",IF(Allocation!$N$3="VOL_EFF",$Q40,IF(Allocation!$N$3="VOL_CLASS",$R40,$S40)))</f>
        <v/>
      </c>
      <c r="AG40" t="str">
        <f>IF($A40="","",IF(Allocation!$N$1="VOL_EFF",$Q40,IF(Allocation!$N$1="VOL_CLASS",$R40,$S40)))</f>
        <v/>
      </c>
      <c r="AH40" t="str">
        <f>IF($A40="","",IF(Allocation!$N$1="VOL_EFF",$T40,IF(Allocation!$N$1="VOL_CLASS",$U40,$V40)))</f>
        <v/>
      </c>
      <c r="AI40" t="str">
        <f t="shared" si="12"/>
        <v/>
      </c>
      <c r="AJ40" t="str">
        <f t="shared" si="13"/>
        <v/>
      </c>
      <c r="AK40" t="str">
        <f t="shared" si="14"/>
        <v/>
      </c>
      <c r="AL40" t="str">
        <f t="shared" si="15"/>
        <v/>
      </c>
      <c r="AM40" t="str">
        <f t="shared" si="16"/>
        <v/>
      </c>
      <c r="AN40" t="str">
        <f t="shared" si="17"/>
        <v/>
      </c>
      <c r="AO40" t="str">
        <f>IF($A40="","",Allocation!CJ40)</f>
        <v/>
      </c>
      <c r="AP40" t="str">
        <f>IF($A40="","",IF(Allocation!$N$2="VOL_EFF",$Q40,IF(Allocation!$N$2="VOL_CLASS",$R40,$S40)))</f>
        <v/>
      </c>
      <c r="AQ40" t="str">
        <f>IF($A40="","",IF(Allocation!$N$2="VOL_EFF",$T40,IF(Allocation!$N$2="VOL_CLASS",$U40,$V40)))</f>
        <v/>
      </c>
      <c r="AR40" t="str">
        <f t="shared" si="18"/>
        <v/>
      </c>
      <c r="AS40" t="str">
        <f>IF($A40="","",$A40&amp;"|"&amp;Allocation!BG40)</f>
        <v/>
      </c>
    </row>
    <row r="41" spans="1:45" x14ac:dyDescent="0.45">
      <c r="A41" t="str">
        <f>IF(Allocation!BI41="","",Allocation!BI41)</f>
        <v/>
      </c>
      <c r="B41" t="str">
        <f>IF(Allocation!BJ41="","",Allocation!BJ41)</f>
        <v/>
      </c>
      <c r="C41" t="str">
        <f>IF(Allocation!BK41="","",Allocation!BK41)</f>
        <v/>
      </c>
      <c r="D41" t="str">
        <f>IF(Allocation!BL41="","",Allocation!BL41)</f>
        <v/>
      </c>
      <c r="E41" t="str">
        <f>IF(Allocation!BM41="","",Allocation!BM41)</f>
        <v/>
      </c>
      <c r="F41" t="str">
        <f>IF(Allocation!BN41="","",Allocation!BN41)</f>
        <v/>
      </c>
      <c r="G41" t="str">
        <f>IF(Allocation!BO41="","",Allocation!BO41)</f>
        <v/>
      </c>
      <c r="H41" t="str">
        <f>IF(Allocation!BP41="","",Allocation!BP41)</f>
        <v/>
      </c>
      <c r="I41" t="str">
        <f>IF(Allocation!BQ41="","",Allocation!BQ41)</f>
        <v/>
      </c>
      <c r="J41" t="str">
        <f>IF(Allocation!CC41="","",Allocation!CC41)</f>
        <v/>
      </c>
      <c r="K41" t="str">
        <f t="shared" si="0"/>
        <v/>
      </c>
      <c r="L41" t="str">
        <f t="shared" si="1"/>
        <v/>
      </c>
      <c r="M41" t="str">
        <f t="shared" si="2"/>
        <v/>
      </c>
      <c r="N41" t="str">
        <f t="shared" si="3"/>
        <v/>
      </c>
      <c r="O41" t="str">
        <f t="shared" si="4"/>
        <v/>
      </c>
      <c r="P41" t="str">
        <f t="shared" si="5"/>
        <v/>
      </c>
      <c r="Q41" t="str">
        <f t="shared" si="6"/>
        <v/>
      </c>
      <c r="R41" t="str">
        <f t="shared" si="7"/>
        <v/>
      </c>
      <c r="S41" t="str">
        <f t="shared" si="8"/>
        <v/>
      </c>
      <c r="T41" t="str">
        <f t="shared" si="9"/>
        <v/>
      </c>
      <c r="U41" t="str">
        <f t="shared" si="10"/>
        <v/>
      </c>
      <c r="V41" t="str">
        <f t="shared" si="11"/>
        <v/>
      </c>
      <c r="W41" t="str">
        <f>IF($A41="","",Allocation!CD41)</f>
        <v/>
      </c>
      <c r="X41" t="str">
        <f>IF($A41="","",Allocation!CE41)</f>
        <v/>
      </c>
      <c r="Y41" t="str">
        <f>IF($A41="","",Allocation!CF41)</f>
        <v/>
      </c>
      <c r="Z41" t="str">
        <f>IF($A41="","",Allocation!CG41)</f>
        <v/>
      </c>
      <c r="AA41" t="str">
        <f>IF($A41="","",Allocation!CH41)</f>
        <v/>
      </c>
      <c r="AB41" t="str">
        <f>IF($A41="","",Allocation!CI41)</f>
        <v/>
      </c>
      <c r="AC41" t="str">
        <f>IF($A41="","",IF(Allocation!$N$4="VOL_EFF",$G41,IF(Allocation!$N$4="VOL_CLASS",$H41,$I41)))</f>
        <v/>
      </c>
      <c r="AD41" t="str">
        <f>IF($A41="","",IF(Allocation!$N$4="VOL_EFF",$L41,IF(Allocation!$N$4="VOL_CLASS",$M41,$N41)))</f>
        <v/>
      </c>
      <c r="AE41" t="str">
        <f>IF($A41="","",IF(Allocation!$N$3="VOL_EFF",$L41,IF(Allocation!$N$3="VOL_CLASS",$M41,$N41)))</f>
        <v/>
      </c>
      <c r="AF41" t="str">
        <f>IF($A41="","",IF(Allocation!$N$3="VOL_EFF",$Q41,IF(Allocation!$N$3="VOL_CLASS",$R41,$S41)))</f>
        <v/>
      </c>
      <c r="AG41" t="str">
        <f>IF($A41="","",IF(Allocation!$N$1="VOL_EFF",$Q41,IF(Allocation!$N$1="VOL_CLASS",$R41,$S41)))</f>
        <v/>
      </c>
      <c r="AH41" t="str">
        <f>IF($A41="","",IF(Allocation!$N$1="VOL_EFF",$T41,IF(Allocation!$N$1="VOL_CLASS",$U41,$V41)))</f>
        <v/>
      </c>
      <c r="AI41" t="str">
        <f t="shared" si="12"/>
        <v/>
      </c>
      <c r="AJ41" t="str">
        <f t="shared" si="13"/>
        <v/>
      </c>
      <c r="AK41" t="str">
        <f t="shared" si="14"/>
        <v/>
      </c>
      <c r="AL41" t="str">
        <f t="shared" si="15"/>
        <v/>
      </c>
      <c r="AM41" t="str">
        <f t="shared" si="16"/>
        <v/>
      </c>
      <c r="AN41" t="str">
        <f t="shared" si="17"/>
        <v/>
      </c>
      <c r="AO41" t="str">
        <f>IF($A41="","",Allocation!CJ41)</f>
        <v/>
      </c>
      <c r="AP41" t="str">
        <f>IF($A41="","",IF(Allocation!$N$2="VOL_EFF",$Q41,IF(Allocation!$N$2="VOL_CLASS",$R41,$S41)))</f>
        <v/>
      </c>
      <c r="AQ41" t="str">
        <f>IF($A41="","",IF(Allocation!$N$2="VOL_EFF",$T41,IF(Allocation!$N$2="VOL_CLASS",$U41,$V41)))</f>
        <v/>
      </c>
      <c r="AR41" t="str">
        <f t="shared" si="18"/>
        <v/>
      </c>
      <c r="AS41" t="str">
        <f>IF($A41="","",$A41&amp;"|"&amp;Allocation!BG41)</f>
        <v/>
      </c>
    </row>
    <row r="42" spans="1:45" x14ac:dyDescent="0.45">
      <c r="A42" t="str">
        <f>IF(Allocation!BI42="","",Allocation!BI42)</f>
        <v/>
      </c>
      <c r="B42" t="str">
        <f>IF(Allocation!BJ42="","",Allocation!BJ42)</f>
        <v/>
      </c>
      <c r="C42" t="str">
        <f>IF(Allocation!BK42="","",Allocation!BK42)</f>
        <v/>
      </c>
      <c r="D42" t="str">
        <f>IF(Allocation!BL42="","",Allocation!BL42)</f>
        <v/>
      </c>
      <c r="E42" t="str">
        <f>IF(Allocation!BM42="","",Allocation!BM42)</f>
        <v/>
      </c>
      <c r="F42" t="str">
        <f>IF(Allocation!BN42="","",Allocation!BN42)</f>
        <v/>
      </c>
      <c r="G42" t="str">
        <f>IF(Allocation!BO42="","",Allocation!BO42)</f>
        <v/>
      </c>
      <c r="H42" t="str">
        <f>IF(Allocation!BP42="","",Allocation!BP42)</f>
        <v/>
      </c>
      <c r="I42" t="str">
        <f>IF(Allocation!BQ42="","",Allocation!BQ42)</f>
        <v/>
      </c>
      <c r="J42" t="str">
        <f>IF(Allocation!CC42="","",Allocation!CC42)</f>
        <v/>
      </c>
      <c r="K42" t="str">
        <f t="shared" si="0"/>
        <v/>
      </c>
      <c r="L42" t="str">
        <f t="shared" si="1"/>
        <v/>
      </c>
      <c r="M42" t="str">
        <f t="shared" si="2"/>
        <v/>
      </c>
      <c r="N42" t="str">
        <f t="shared" si="3"/>
        <v/>
      </c>
      <c r="O42" t="str">
        <f t="shared" si="4"/>
        <v/>
      </c>
      <c r="P42" t="str">
        <f t="shared" si="5"/>
        <v/>
      </c>
      <c r="Q42" t="str">
        <f t="shared" si="6"/>
        <v/>
      </c>
      <c r="R42" t="str">
        <f t="shared" si="7"/>
        <v/>
      </c>
      <c r="S42" t="str">
        <f t="shared" si="8"/>
        <v/>
      </c>
      <c r="T42" t="str">
        <f t="shared" si="9"/>
        <v/>
      </c>
      <c r="U42" t="str">
        <f t="shared" si="10"/>
        <v/>
      </c>
      <c r="V42" t="str">
        <f t="shared" si="11"/>
        <v/>
      </c>
      <c r="W42" t="str">
        <f>IF($A42="","",Allocation!CD42)</f>
        <v/>
      </c>
      <c r="X42" t="str">
        <f>IF($A42="","",Allocation!CE42)</f>
        <v/>
      </c>
      <c r="Y42" t="str">
        <f>IF($A42="","",Allocation!CF42)</f>
        <v/>
      </c>
      <c r="Z42" t="str">
        <f>IF($A42="","",Allocation!CG42)</f>
        <v/>
      </c>
      <c r="AA42" t="str">
        <f>IF($A42="","",Allocation!CH42)</f>
        <v/>
      </c>
      <c r="AB42" t="str">
        <f>IF($A42="","",Allocation!CI42)</f>
        <v/>
      </c>
      <c r="AC42" t="str">
        <f>IF($A42="","",IF(Allocation!$N$4="VOL_EFF",$G42,IF(Allocation!$N$4="VOL_CLASS",$H42,$I42)))</f>
        <v/>
      </c>
      <c r="AD42" t="str">
        <f>IF($A42="","",IF(Allocation!$N$4="VOL_EFF",$L42,IF(Allocation!$N$4="VOL_CLASS",$M42,$N42)))</f>
        <v/>
      </c>
      <c r="AE42" t="str">
        <f>IF($A42="","",IF(Allocation!$N$3="VOL_EFF",$L42,IF(Allocation!$N$3="VOL_CLASS",$M42,$N42)))</f>
        <v/>
      </c>
      <c r="AF42" t="str">
        <f>IF($A42="","",IF(Allocation!$N$3="VOL_EFF",$Q42,IF(Allocation!$N$3="VOL_CLASS",$R42,$S42)))</f>
        <v/>
      </c>
      <c r="AG42" t="str">
        <f>IF($A42="","",IF(Allocation!$N$1="VOL_EFF",$Q42,IF(Allocation!$N$1="VOL_CLASS",$R42,$S42)))</f>
        <v/>
      </c>
      <c r="AH42" t="str">
        <f>IF($A42="","",IF(Allocation!$N$1="VOL_EFF",$T42,IF(Allocation!$N$1="VOL_CLASS",$U42,$V42)))</f>
        <v/>
      </c>
      <c r="AI42" t="str">
        <f t="shared" si="12"/>
        <v/>
      </c>
      <c r="AJ42" t="str">
        <f t="shared" si="13"/>
        <v/>
      </c>
      <c r="AK42" t="str">
        <f t="shared" si="14"/>
        <v/>
      </c>
      <c r="AL42" t="str">
        <f t="shared" si="15"/>
        <v/>
      </c>
      <c r="AM42" t="str">
        <f t="shared" si="16"/>
        <v/>
      </c>
      <c r="AN42" t="str">
        <f t="shared" si="17"/>
        <v/>
      </c>
      <c r="AO42" t="str">
        <f>IF($A42="","",Allocation!CJ42)</f>
        <v/>
      </c>
      <c r="AP42" t="str">
        <f>IF($A42="","",IF(Allocation!$N$2="VOL_EFF",$Q42,IF(Allocation!$N$2="VOL_CLASS",$R42,$S42)))</f>
        <v/>
      </c>
      <c r="AQ42" t="str">
        <f>IF($A42="","",IF(Allocation!$N$2="VOL_EFF",$T42,IF(Allocation!$N$2="VOL_CLASS",$U42,$V42)))</f>
        <v/>
      </c>
      <c r="AR42" t="str">
        <f t="shared" si="18"/>
        <v/>
      </c>
      <c r="AS42" t="str">
        <f>IF($A42="","",$A42&amp;"|"&amp;Allocation!BG42)</f>
        <v/>
      </c>
    </row>
    <row r="43" spans="1:45" x14ac:dyDescent="0.45">
      <c r="A43" t="str">
        <f>IF(Allocation!BI43="","",Allocation!BI43)</f>
        <v/>
      </c>
      <c r="B43" t="str">
        <f>IF(Allocation!BJ43="","",Allocation!BJ43)</f>
        <v/>
      </c>
      <c r="C43" t="str">
        <f>IF(Allocation!BK43="","",Allocation!BK43)</f>
        <v/>
      </c>
      <c r="D43" t="str">
        <f>IF(Allocation!BL43="","",Allocation!BL43)</f>
        <v/>
      </c>
      <c r="E43" t="str">
        <f>IF(Allocation!BM43="","",Allocation!BM43)</f>
        <v/>
      </c>
      <c r="F43" t="str">
        <f>IF(Allocation!BN43="","",Allocation!BN43)</f>
        <v/>
      </c>
      <c r="G43" t="str">
        <f>IF(Allocation!BO43="","",Allocation!BO43)</f>
        <v/>
      </c>
      <c r="H43" t="str">
        <f>IF(Allocation!BP43="","",Allocation!BP43)</f>
        <v/>
      </c>
      <c r="I43" t="str">
        <f>IF(Allocation!BQ43="","",Allocation!BQ43)</f>
        <v/>
      </c>
      <c r="J43" t="str">
        <f>IF(Allocation!CC43="","",Allocation!CC43)</f>
        <v/>
      </c>
      <c r="K43" t="str">
        <f t="shared" si="0"/>
        <v/>
      </c>
      <c r="L43" t="str">
        <f t="shared" si="1"/>
        <v/>
      </c>
      <c r="M43" t="str">
        <f t="shared" si="2"/>
        <v/>
      </c>
      <c r="N43" t="str">
        <f t="shared" si="3"/>
        <v/>
      </c>
      <c r="O43" t="str">
        <f t="shared" si="4"/>
        <v/>
      </c>
      <c r="P43" t="str">
        <f t="shared" si="5"/>
        <v/>
      </c>
      <c r="Q43" t="str">
        <f t="shared" si="6"/>
        <v/>
      </c>
      <c r="R43" t="str">
        <f t="shared" si="7"/>
        <v/>
      </c>
      <c r="S43" t="str">
        <f t="shared" si="8"/>
        <v/>
      </c>
      <c r="T43" t="str">
        <f t="shared" si="9"/>
        <v/>
      </c>
      <c r="U43" t="str">
        <f t="shared" si="10"/>
        <v/>
      </c>
      <c r="V43" t="str">
        <f t="shared" si="11"/>
        <v/>
      </c>
      <c r="W43" t="str">
        <f>IF($A43="","",Allocation!CD43)</f>
        <v/>
      </c>
      <c r="X43" t="str">
        <f>IF($A43="","",Allocation!CE43)</f>
        <v/>
      </c>
      <c r="Y43" t="str">
        <f>IF($A43="","",Allocation!CF43)</f>
        <v/>
      </c>
      <c r="Z43" t="str">
        <f>IF($A43="","",Allocation!CG43)</f>
        <v/>
      </c>
      <c r="AA43" t="str">
        <f>IF($A43="","",Allocation!CH43)</f>
        <v/>
      </c>
      <c r="AB43" t="str">
        <f>IF($A43="","",Allocation!CI43)</f>
        <v/>
      </c>
      <c r="AC43" t="str">
        <f>IF($A43="","",IF(Allocation!$N$4="VOL_EFF",$G43,IF(Allocation!$N$4="VOL_CLASS",$H43,$I43)))</f>
        <v/>
      </c>
      <c r="AD43" t="str">
        <f>IF($A43="","",IF(Allocation!$N$4="VOL_EFF",$L43,IF(Allocation!$N$4="VOL_CLASS",$M43,$N43)))</f>
        <v/>
      </c>
      <c r="AE43" t="str">
        <f>IF($A43="","",IF(Allocation!$N$3="VOL_EFF",$L43,IF(Allocation!$N$3="VOL_CLASS",$M43,$N43)))</f>
        <v/>
      </c>
      <c r="AF43" t="str">
        <f>IF($A43="","",IF(Allocation!$N$3="VOL_EFF",$Q43,IF(Allocation!$N$3="VOL_CLASS",$R43,$S43)))</f>
        <v/>
      </c>
      <c r="AG43" t="str">
        <f>IF($A43="","",IF(Allocation!$N$1="VOL_EFF",$Q43,IF(Allocation!$N$1="VOL_CLASS",$R43,$S43)))</f>
        <v/>
      </c>
      <c r="AH43" t="str">
        <f>IF($A43="","",IF(Allocation!$N$1="VOL_EFF",$T43,IF(Allocation!$N$1="VOL_CLASS",$U43,$V43)))</f>
        <v/>
      </c>
      <c r="AI43" t="str">
        <f t="shared" si="12"/>
        <v/>
      </c>
      <c r="AJ43" t="str">
        <f t="shared" si="13"/>
        <v/>
      </c>
      <c r="AK43" t="str">
        <f t="shared" si="14"/>
        <v/>
      </c>
      <c r="AL43" t="str">
        <f t="shared" si="15"/>
        <v/>
      </c>
      <c r="AM43" t="str">
        <f t="shared" si="16"/>
        <v/>
      </c>
      <c r="AN43" t="str">
        <f t="shared" si="17"/>
        <v/>
      </c>
      <c r="AO43" t="str">
        <f>IF($A43="","",Allocation!CJ43)</f>
        <v/>
      </c>
      <c r="AP43" t="str">
        <f>IF($A43="","",IF(Allocation!$N$2="VOL_EFF",$Q43,IF(Allocation!$N$2="VOL_CLASS",$R43,$S43)))</f>
        <v/>
      </c>
      <c r="AQ43" t="str">
        <f>IF($A43="","",IF(Allocation!$N$2="VOL_EFF",$T43,IF(Allocation!$N$2="VOL_CLASS",$U43,$V43)))</f>
        <v/>
      </c>
      <c r="AR43" t="str">
        <f t="shared" si="18"/>
        <v/>
      </c>
      <c r="AS43" t="str">
        <f>IF($A43="","",$A43&amp;"|"&amp;Allocation!BG43)</f>
        <v/>
      </c>
    </row>
    <row r="44" spans="1:45" x14ac:dyDescent="0.45">
      <c r="A44" t="str">
        <f>IF(Allocation!BI44="","",Allocation!BI44)</f>
        <v/>
      </c>
      <c r="B44" t="str">
        <f>IF(Allocation!BJ44="","",Allocation!BJ44)</f>
        <v/>
      </c>
      <c r="C44" t="str">
        <f>IF(Allocation!BK44="","",Allocation!BK44)</f>
        <v/>
      </c>
      <c r="D44" t="str">
        <f>IF(Allocation!BL44="","",Allocation!BL44)</f>
        <v/>
      </c>
      <c r="E44" t="str">
        <f>IF(Allocation!BM44="","",Allocation!BM44)</f>
        <v/>
      </c>
      <c r="F44" t="str">
        <f>IF(Allocation!BN44="","",Allocation!BN44)</f>
        <v/>
      </c>
      <c r="G44" t="str">
        <f>IF(Allocation!BO44="","",Allocation!BO44)</f>
        <v/>
      </c>
      <c r="H44" t="str">
        <f>IF(Allocation!BP44="","",Allocation!BP44)</f>
        <v/>
      </c>
      <c r="I44" t="str">
        <f>IF(Allocation!BQ44="","",Allocation!BQ44)</f>
        <v/>
      </c>
      <c r="J44" t="str">
        <f>IF(Allocation!CC44="","",Allocation!CC44)</f>
        <v/>
      </c>
      <c r="K44" t="str">
        <f t="shared" si="0"/>
        <v/>
      </c>
      <c r="L44" t="str">
        <f t="shared" si="1"/>
        <v/>
      </c>
      <c r="M44" t="str">
        <f t="shared" si="2"/>
        <v/>
      </c>
      <c r="N44" t="str">
        <f t="shared" si="3"/>
        <v/>
      </c>
      <c r="O44" t="str">
        <f t="shared" si="4"/>
        <v/>
      </c>
      <c r="P44" t="str">
        <f t="shared" si="5"/>
        <v/>
      </c>
      <c r="Q44" t="str">
        <f t="shared" si="6"/>
        <v/>
      </c>
      <c r="R44" t="str">
        <f t="shared" si="7"/>
        <v/>
      </c>
      <c r="S44" t="str">
        <f t="shared" si="8"/>
        <v/>
      </c>
      <c r="T44" t="str">
        <f t="shared" si="9"/>
        <v/>
      </c>
      <c r="U44" t="str">
        <f t="shared" si="10"/>
        <v/>
      </c>
      <c r="V44" t="str">
        <f t="shared" si="11"/>
        <v/>
      </c>
      <c r="W44" t="str">
        <f>IF($A44="","",Allocation!CD44)</f>
        <v/>
      </c>
      <c r="X44" t="str">
        <f>IF($A44="","",Allocation!CE44)</f>
        <v/>
      </c>
      <c r="Y44" t="str">
        <f>IF($A44="","",Allocation!CF44)</f>
        <v/>
      </c>
      <c r="Z44" t="str">
        <f>IF($A44="","",Allocation!CG44)</f>
        <v/>
      </c>
      <c r="AA44" t="str">
        <f>IF($A44="","",Allocation!CH44)</f>
        <v/>
      </c>
      <c r="AB44" t="str">
        <f>IF($A44="","",Allocation!CI44)</f>
        <v/>
      </c>
      <c r="AC44" t="str">
        <f>IF($A44="","",IF(Allocation!$N$4="VOL_EFF",$G44,IF(Allocation!$N$4="VOL_CLASS",$H44,$I44)))</f>
        <v/>
      </c>
      <c r="AD44" t="str">
        <f>IF($A44="","",IF(Allocation!$N$4="VOL_EFF",$L44,IF(Allocation!$N$4="VOL_CLASS",$M44,$N44)))</f>
        <v/>
      </c>
      <c r="AE44" t="str">
        <f>IF($A44="","",IF(Allocation!$N$3="VOL_EFF",$L44,IF(Allocation!$N$3="VOL_CLASS",$M44,$N44)))</f>
        <v/>
      </c>
      <c r="AF44" t="str">
        <f>IF($A44="","",IF(Allocation!$N$3="VOL_EFF",$Q44,IF(Allocation!$N$3="VOL_CLASS",$R44,$S44)))</f>
        <v/>
      </c>
      <c r="AG44" t="str">
        <f>IF($A44="","",IF(Allocation!$N$1="VOL_EFF",$Q44,IF(Allocation!$N$1="VOL_CLASS",$R44,$S44)))</f>
        <v/>
      </c>
      <c r="AH44" t="str">
        <f>IF($A44="","",IF(Allocation!$N$1="VOL_EFF",$T44,IF(Allocation!$N$1="VOL_CLASS",$U44,$V44)))</f>
        <v/>
      </c>
      <c r="AI44" t="str">
        <f t="shared" si="12"/>
        <v/>
      </c>
      <c r="AJ44" t="str">
        <f t="shared" si="13"/>
        <v/>
      </c>
      <c r="AK44" t="str">
        <f t="shared" si="14"/>
        <v/>
      </c>
      <c r="AL44" t="str">
        <f t="shared" si="15"/>
        <v/>
      </c>
      <c r="AM44" t="str">
        <f t="shared" si="16"/>
        <v/>
      </c>
      <c r="AN44" t="str">
        <f t="shared" si="17"/>
        <v/>
      </c>
      <c r="AO44" t="str">
        <f>IF($A44="","",Allocation!CJ44)</f>
        <v/>
      </c>
      <c r="AP44" t="str">
        <f>IF($A44="","",IF(Allocation!$N$2="VOL_EFF",$Q44,IF(Allocation!$N$2="VOL_CLASS",$R44,$S44)))</f>
        <v/>
      </c>
      <c r="AQ44" t="str">
        <f>IF($A44="","",IF(Allocation!$N$2="VOL_EFF",$T44,IF(Allocation!$N$2="VOL_CLASS",$U44,$V44)))</f>
        <v/>
      </c>
      <c r="AR44" t="str">
        <f t="shared" si="18"/>
        <v/>
      </c>
      <c r="AS44" t="str">
        <f>IF($A44="","",$A44&amp;"|"&amp;Allocation!BG44)</f>
        <v/>
      </c>
    </row>
    <row r="45" spans="1:45" x14ac:dyDescent="0.45">
      <c r="A45" t="str">
        <f>IF(Allocation!BI45="","",Allocation!BI45)</f>
        <v/>
      </c>
      <c r="B45" t="str">
        <f>IF(Allocation!BJ45="","",Allocation!BJ45)</f>
        <v/>
      </c>
      <c r="C45" t="str">
        <f>IF(Allocation!BK45="","",Allocation!BK45)</f>
        <v/>
      </c>
      <c r="D45" t="str">
        <f>IF(Allocation!BL45="","",Allocation!BL45)</f>
        <v/>
      </c>
      <c r="E45" t="str">
        <f>IF(Allocation!BM45="","",Allocation!BM45)</f>
        <v/>
      </c>
      <c r="F45" t="str">
        <f>IF(Allocation!BN45="","",Allocation!BN45)</f>
        <v/>
      </c>
      <c r="G45" t="str">
        <f>IF(Allocation!BO45="","",Allocation!BO45)</f>
        <v/>
      </c>
      <c r="H45" t="str">
        <f>IF(Allocation!BP45="","",Allocation!BP45)</f>
        <v/>
      </c>
      <c r="I45" t="str">
        <f>IF(Allocation!BQ45="","",Allocation!BQ45)</f>
        <v/>
      </c>
      <c r="J45" t="str">
        <f>IF(Allocation!CC45="","",Allocation!CC45)</f>
        <v/>
      </c>
      <c r="K45" t="str">
        <f t="shared" si="0"/>
        <v/>
      </c>
      <c r="L45" t="str">
        <f t="shared" si="1"/>
        <v/>
      </c>
      <c r="M45" t="str">
        <f t="shared" si="2"/>
        <v/>
      </c>
      <c r="N45" t="str">
        <f t="shared" si="3"/>
        <v/>
      </c>
      <c r="O45" t="str">
        <f t="shared" si="4"/>
        <v/>
      </c>
      <c r="P45" t="str">
        <f t="shared" si="5"/>
        <v/>
      </c>
      <c r="Q45" t="str">
        <f t="shared" si="6"/>
        <v/>
      </c>
      <c r="R45" t="str">
        <f t="shared" si="7"/>
        <v/>
      </c>
      <c r="S45" t="str">
        <f t="shared" si="8"/>
        <v/>
      </c>
      <c r="T45" t="str">
        <f t="shared" si="9"/>
        <v/>
      </c>
      <c r="U45" t="str">
        <f t="shared" si="10"/>
        <v/>
      </c>
      <c r="V45" t="str">
        <f t="shared" si="11"/>
        <v/>
      </c>
      <c r="W45" t="str">
        <f>IF($A45="","",Allocation!CD45)</f>
        <v/>
      </c>
      <c r="X45" t="str">
        <f>IF($A45="","",Allocation!CE45)</f>
        <v/>
      </c>
      <c r="Y45" t="str">
        <f>IF($A45="","",Allocation!CF45)</f>
        <v/>
      </c>
      <c r="Z45" t="str">
        <f>IF($A45="","",Allocation!CG45)</f>
        <v/>
      </c>
      <c r="AA45" t="str">
        <f>IF($A45="","",Allocation!CH45)</f>
        <v/>
      </c>
      <c r="AB45" t="str">
        <f>IF($A45="","",Allocation!CI45)</f>
        <v/>
      </c>
      <c r="AC45" t="str">
        <f>IF($A45="","",IF(Allocation!$N$4="VOL_EFF",$G45,IF(Allocation!$N$4="VOL_CLASS",$H45,$I45)))</f>
        <v/>
      </c>
      <c r="AD45" t="str">
        <f>IF($A45="","",IF(Allocation!$N$4="VOL_EFF",$L45,IF(Allocation!$N$4="VOL_CLASS",$M45,$N45)))</f>
        <v/>
      </c>
      <c r="AE45" t="str">
        <f>IF($A45="","",IF(Allocation!$N$3="VOL_EFF",$L45,IF(Allocation!$N$3="VOL_CLASS",$M45,$N45)))</f>
        <v/>
      </c>
      <c r="AF45" t="str">
        <f>IF($A45="","",IF(Allocation!$N$3="VOL_EFF",$Q45,IF(Allocation!$N$3="VOL_CLASS",$R45,$S45)))</f>
        <v/>
      </c>
      <c r="AG45" t="str">
        <f>IF($A45="","",IF(Allocation!$N$1="VOL_EFF",$Q45,IF(Allocation!$N$1="VOL_CLASS",$R45,$S45)))</f>
        <v/>
      </c>
      <c r="AH45" t="str">
        <f>IF($A45="","",IF(Allocation!$N$1="VOL_EFF",$T45,IF(Allocation!$N$1="VOL_CLASS",$U45,$V45)))</f>
        <v/>
      </c>
      <c r="AI45" t="str">
        <f t="shared" si="12"/>
        <v/>
      </c>
      <c r="AJ45" t="str">
        <f t="shared" si="13"/>
        <v/>
      </c>
      <c r="AK45" t="str">
        <f t="shared" si="14"/>
        <v/>
      </c>
      <c r="AL45" t="str">
        <f t="shared" si="15"/>
        <v/>
      </c>
      <c r="AM45" t="str">
        <f t="shared" si="16"/>
        <v/>
      </c>
      <c r="AN45" t="str">
        <f t="shared" si="17"/>
        <v/>
      </c>
      <c r="AO45" t="str">
        <f>IF($A45="","",Allocation!CJ45)</f>
        <v/>
      </c>
      <c r="AP45" t="str">
        <f>IF($A45="","",IF(Allocation!$N$2="VOL_EFF",$Q45,IF(Allocation!$N$2="VOL_CLASS",$R45,$S45)))</f>
        <v/>
      </c>
      <c r="AQ45" t="str">
        <f>IF($A45="","",IF(Allocation!$N$2="VOL_EFF",$T45,IF(Allocation!$N$2="VOL_CLASS",$U45,$V45)))</f>
        <v/>
      </c>
      <c r="AR45" t="str">
        <f t="shared" si="18"/>
        <v/>
      </c>
      <c r="AS45" t="str">
        <f>IF($A45="","",$A45&amp;"|"&amp;Allocation!BG45)</f>
        <v/>
      </c>
    </row>
    <row r="46" spans="1:45" x14ac:dyDescent="0.45">
      <c r="A46" t="str">
        <f>IF(Allocation!BI46="","",Allocation!BI46)</f>
        <v/>
      </c>
      <c r="B46" t="str">
        <f>IF(Allocation!BJ46="","",Allocation!BJ46)</f>
        <v/>
      </c>
      <c r="C46" t="str">
        <f>IF(Allocation!BK46="","",Allocation!BK46)</f>
        <v/>
      </c>
      <c r="D46" t="str">
        <f>IF(Allocation!BL46="","",Allocation!BL46)</f>
        <v/>
      </c>
      <c r="E46" t="str">
        <f>IF(Allocation!BM46="","",Allocation!BM46)</f>
        <v/>
      </c>
      <c r="F46" t="str">
        <f>IF(Allocation!BN46="","",Allocation!BN46)</f>
        <v/>
      </c>
      <c r="G46" t="str">
        <f>IF(Allocation!BO46="","",Allocation!BO46)</f>
        <v/>
      </c>
      <c r="H46" t="str">
        <f>IF(Allocation!BP46="","",Allocation!BP46)</f>
        <v/>
      </c>
      <c r="I46" t="str">
        <f>IF(Allocation!BQ46="","",Allocation!BQ46)</f>
        <v/>
      </c>
      <c r="J46" t="str">
        <f>IF(Allocation!CC46="","",Allocation!CC46)</f>
        <v/>
      </c>
      <c r="K46" t="str">
        <f t="shared" si="0"/>
        <v/>
      </c>
      <c r="L46" t="str">
        <f t="shared" si="1"/>
        <v/>
      </c>
      <c r="M46" t="str">
        <f t="shared" si="2"/>
        <v/>
      </c>
      <c r="N46" t="str">
        <f t="shared" si="3"/>
        <v/>
      </c>
      <c r="O46" t="str">
        <f t="shared" si="4"/>
        <v/>
      </c>
      <c r="P46" t="str">
        <f t="shared" si="5"/>
        <v/>
      </c>
      <c r="Q46" t="str">
        <f t="shared" si="6"/>
        <v/>
      </c>
      <c r="R46" t="str">
        <f t="shared" si="7"/>
        <v/>
      </c>
      <c r="S46" t="str">
        <f t="shared" si="8"/>
        <v/>
      </c>
      <c r="T46" t="str">
        <f t="shared" si="9"/>
        <v/>
      </c>
      <c r="U46" t="str">
        <f t="shared" si="10"/>
        <v/>
      </c>
      <c r="V46" t="str">
        <f t="shared" si="11"/>
        <v/>
      </c>
      <c r="W46" t="str">
        <f>IF($A46="","",Allocation!CD46)</f>
        <v/>
      </c>
      <c r="X46" t="str">
        <f>IF($A46="","",Allocation!CE46)</f>
        <v/>
      </c>
      <c r="Y46" t="str">
        <f>IF($A46="","",Allocation!CF46)</f>
        <v/>
      </c>
      <c r="Z46" t="str">
        <f>IF($A46="","",Allocation!CG46)</f>
        <v/>
      </c>
      <c r="AA46" t="str">
        <f>IF($A46="","",Allocation!CH46)</f>
        <v/>
      </c>
      <c r="AB46" t="str">
        <f>IF($A46="","",Allocation!CI46)</f>
        <v/>
      </c>
      <c r="AC46" t="str">
        <f>IF($A46="","",IF(Allocation!$N$4="VOL_EFF",$G46,IF(Allocation!$N$4="VOL_CLASS",$H46,$I46)))</f>
        <v/>
      </c>
      <c r="AD46" t="str">
        <f>IF($A46="","",IF(Allocation!$N$4="VOL_EFF",$L46,IF(Allocation!$N$4="VOL_CLASS",$M46,$N46)))</f>
        <v/>
      </c>
      <c r="AE46" t="str">
        <f>IF($A46="","",IF(Allocation!$N$3="VOL_EFF",$L46,IF(Allocation!$N$3="VOL_CLASS",$M46,$N46)))</f>
        <v/>
      </c>
      <c r="AF46" t="str">
        <f>IF($A46="","",IF(Allocation!$N$3="VOL_EFF",$Q46,IF(Allocation!$N$3="VOL_CLASS",$R46,$S46)))</f>
        <v/>
      </c>
      <c r="AG46" t="str">
        <f>IF($A46="","",IF(Allocation!$N$1="VOL_EFF",$Q46,IF(Allocation!$N$1="VOL_CLASS",$R46,$S46)))</f>
        <v/>
      </c>
      <c r="AH46" t="str">
        <f>IF($A46="","",IF(Allocation!$N$1="VOL_EFF",$T46,IF(Allocation!$N$1="VOL_CLASS",$U46,$V46)))</f>
        <v/>
      </c>
      <c r="AI46" t="str">
        <f t="shared" si="12"/>
        <v/>
      </c>
      <c r="AJ46" t="str">
        <f t="shared" si="13"/>
        <v/>
      </c>
      <c r="AK46" t="str">
        <f t="shared" si="14"/>
        <v/>
      </c>
      <c r="AL46" t="str">
        <f t="shared" si="15"/>
        <v/>
      </c>
      <c r="AM46" t="str">
        <f t="shared" si="16"/>
        <v/>
      </c>
      <c r="AN46" t="str">
        <f t="shared" si="17"/>
        <v/>
      </c>
      <c r="AO46" t="str">
        <f>IF($A46="","",Allocation!CJ46)</f>
        <v/>
      </c>
      <c r="AP46" t="str">
        <f>IF($A46="","",IF(Allocation!$N$2="VOL_EFF",$Q46,IF(Allocation!$N$2="VOL_CLASS",$R46,$S46)))</f>
        <v/>
      </c>
      <c r="AQ46" t="str">
        <f>IF($A46="","",IF(Allocation!$N$2="VOL_EFF",$T46,IF(Allocation!$N$2="VOL_CLASS",$U46,$V46)))</f>
        <v/>
      </c>
      <c r="AR46" t="str">
        <f t="shared" si="18"/>
        <v/>
      </c>
      <c r="AS46" t="str">
        <f>IF($A46="","",$A46&amp;"|"&amp;Allocation!BG46)</f>
        <v/>
      </c>
    </row>
    <row r="47" spans="1:45" x14ac:dyDescent="0.45">
      <c r="A47" t="str">
        <f>IF(Allocation!BI47="","",Allocation!BI47)</f>
        <v/>
      </c>
      <c r="B47" t="str">
        <f>IF(Allocation!BJ47="","",Allocation!BJ47)</f>
        <v/>
      </c>
      <c r="C47" t="str">
        <f>IF(Allocation!BK47="","",Allocation!BK47)</f>
        <v/>
      </c>
      <c r="D47" t="str">
        <f>IF(Allocation!BL47="","",Allocation!BL47)</f>
        <v/>
      </c>
      <c r="E47" t="str">
        <f>IF(Allocation!BM47="","",Allocation!BM47)</f>
        <v/>
      </c>
      <c r="F47" t="str">
        <f>IF(Allocation!BN47="","",Allocation!BN47)</f>
        <v/>
      </c>
      <c r="G47" t="str">
        <f>IF(Allocation!BO47="","",Allocation!BO47)</f>
        <v/>
      </c>
      <c r="H47" t="str">
        <f>IF(Allocation!BP47="","",Allocation!BP47)</f>
        <v/>
      </c>
      <c r="I47" t="str">
        <f>IF(Allocation!BQ47="","",Allocation!BQ47)</f>
        <v/>
      </c>
      <c r="J47" t="str">
        <f>IF(Allocation!CC47="","",Allocation!CC47)</f>
        <v/>
      </c>
      <c r="K47" t="str">
        <f t="shared" si="0"/>
        <v/>
      </c>
      <c r="L47" t="str">
        <f t="shared" si="1"/>
        <v/>
      </c>
      <c r="M47" t="str">
        <f t="shared" si="2"/>
        <v/>
      </c>
      <c r="N47" t="str">
        <f t="shared" si="3"/>
        <v/>
      </c>
      <c r="O47" t="str">
        <f t="shared" si="4"/>
        <v/>
      </c>
      <c r="P47" t="str">
        <f t="shared" si="5"/>
        <v/>
      </c>
      <c r="Q47" t="str">
        <f t="shared" si="6"/>
        <v/>
      </c>
      <c r="R47" t="str">
        <f t="shared" si="7"/>
        <v/>
      </c>
      <c r="S47" t="str">
        <f t="shared" si="8"/>
        <v/>
      </c>
      <c r="T47" t="str">
        <f t="shared" si="9"/>
        <v/>
      </c>
      <c r="U47" t="str">
        <f t="shared" si="10"/>
        <v/>
      </c>
      <c r="V47" t="str">
        <f t="shared" si="11"/>
        <v/>
      </c>
      <c r="W47" t="str">
        <f>IF($A47="","",Allocation!CD47)</f>
        <v/>
      </c>
      <c r="X47" t="str">
        <f>IF($A47="","",Allocation!CE47)</f>
        <v/>
      </c>
      <c r="Y47" t="str">
        <f>IF($A47="","",Allocation!CF47)</f>
        <v/>
      </c>
      <c r="Z47" t="str">
        <f>IF($A47="","",Allocation!CG47)</f>
        <v/>
      </c>
      <c r="AA47" t="str">
        <f>IF($A47="","",Allocation!CH47)</f>
        <v/>
      </c>
      <c r="AB47" t="str">
        <f>IF($A47="","",Allocation!CI47)</f>
        <v/>
      </c>
      <c r="AC47" t="str">
        <f>IF($A47="","",IF(Allocation!$N$4="VOL_EFF",$G47,IF(Allocation!$N$4="VOL_CLASS",$H47,$I47)))</f>
        <v/>
      </c>
      <c r="AD47" t="str">
        <f>IF($A47="","",IF(Allocation!$N$4="VOL_EFF",$L47,IF(Allocation!$N$4="VOL_CLASS",$M47,$N47)))</f>
        <v/>
      </c>
      <c r="AE47" t="str">
        <f>IF($A47="","",IF(Allocation!$N$3="VOL_EFF",$L47,IF(Allocation!$N$3="VOL_CLASS",$M47,$N47)))</f>
        <v/>
      </c>
      <c r="AF47" t="str">
        <f>IF($A47="","",IF(Allocation!$N$3="VOL_EFF",$Q47,IF(Allocation!$N$3="VOL_CLASS",$R47,$S47)))</f>
        <v/>
      </c>
      <c r="AG47" t="str">
        <f>IF($A47="","",IF(Allocation!$N$1="VOL_EFF",$Q47,IF(Allocation!$N$1="VOL_CLASS",$R47,$S47)))</f>
        <v/>
      </c>
      <c r="AH47" t="str">
        <f>IF($A47="","",IF(Allocation!$N$1="VOL_EFF",$T47,IF(Allocation!$N$1="VOL_CLASS",$U47,$V47)))</f>
        <v/>
      </c>
      <c r="AI47" t="str">
        <f t="shared" si="12"/>
        <v/>
      </c>
      <c r="AJ47" t="str">
        <f t="shared" si="13"/>
        <v/>
      </c>
      <c r="AK47" t="str">
        <f t="shared" si="14"/>
        <v/>
      </c>
      <c r="AL47" t="str">
        <f t="shared" si="15"/>
        <v/>
      </c>
      <c r="AM47" t="str">
        <f t="shared" si="16"/>
        <v/>
      </c>
      <c r="AN47" t="str">
        <f t="shared" si="17"/>
        <v/>
      </c>
      <c r="AO47" t="str">
        <f>IF($A47="","",Allocation!CJ47)</f>
        <v/>
      </c>
      <c r="AP47" t="str">
        <f>IF($A47="","",IF(Allocation!$N$2="VOL_EFF",$Q47,IF(Allocation!$N$2="VOL_CLASS",$R47,$S47)))</f>
        <v/>
      </c>
      <c r="AQ47" t="str">
        <f>IF($A47="","",IF(Allocation!$N$2="VOL_EFF",$T47,IF(Allocation!$N$2="VOL_CLASS",$U47,$V47)))</f>
        <v/>
      </c>
      <c r="AR47" t="str">
        <f t="shared" si="18"/>
        <v/>
      </c>
      <c r="AS47" t="str">
        <f>IF($A47="","",$A47&amp;"|"&amp;Allocation!BG47)</f>
        <v/>
      </c>
    </row>
    <row r="48" spans="1:45" x14ac:dyDescent="0.45">
      <c r="A48" t="str">
        <f>IF(Allocation!BI48="","",Allocation!BI48)</f>
        <v/>
      </c>
      <c r="B48" t="str">
        <f>IF(Allocation!BJ48="","",Allocation!BJ48)</f>
        <v/>
      </c>
      <c r="C48" t="str">
        <f>IF(Allocation!BK48="","",Allocation!BK48)</f>
        <v/>
      </c>
      <c r="D48" t="str">
        <f>IF(Allocation!BL48="","",Allocation!BL48)</f>
        <v/>
      </c>
      <c r="E48" t="str">
        <f>IF(Allocation!BM48="","",Allocation!BM48)</f>
        <v/>
      </c>
      <c r="F48" t="str">
        <f>IF(Allocation!BN48="","",Allocation!BN48)</f>
        <v/>
      </c>
      <c r="G48" t="str">
        <f>IF(Allocation!BO48="","",Allocation!BO48)</f>
        <v/>
      </c>
      <c r="H48" t="str">
        <f>IF(Allocation!BP48="","",Allocation!BP48)</f>
        <v/>
      </c>
      <c r="I48" t="str">
        <f>IF(Allocation!BQ48="","",Allocation!BQ48)</f>
        <v/>
      </c>
      <c r="J48" t="str">
        <f>IF(Allocation!CC48="","",Allocation!CC48)</f>
        <v/>
      </c>
      <c r="K48" t="str">
        <f t="shared" si="0"/>
        <v/>
      </c>
      <c r="L48" t="str">
        <f t="shared" si="1"/>
        <v/>
      </c>
      <c r="M48" t="str">
        <f t="shared" si="2"/>
        <v/>
      </c>
      <c r="N48" t="str">
        <f t="shared" si="3"/>
        <v/>
      </c>
      <c r="O48" t="str">
        <f t="shared" si="4"/>
        <v/>
      </c>
      <c r="P48" t="str">
        <f t="shared" si="5"/>
        <v/>
      </c>
      <c r="Q48" t="str">
        <f t="shared" si="6"/>
        <v/>
      </c>
      <c r="R48" t="str">
        <f t="shared" si="7"/>
        <v/>
      </c>
      <c r="S48" t="str">
        <f t="shared" si="8"/>
        <v/>
      </c>
      <c r="T48" t="str">
        <f t="shared" si="9"/>
        <v/>
      </c>
      <c r="U48" t="str">
        <f t="shared" si="10"/>
        <v/>
      </c>
      <c r="V48" t="str">
        <f t="shared" si="11"/>
        <v/>
      </c>
      <c r="W48" t="str">
        <f>IF($A48="","",Allocation!CD48)</f>
        <v/>
      </c>
      <c r="X48" t="str">
        <f>IF($A48="","",Allocation!CE48)</f>
        <v/>
      </c>
      <c r="Y48" t="str">
        <f>IF($A48="","",Allocation!CF48)</f>
        <v/>
      </c>
      <c r="Z48" t="str">
        <f>IF($A48="","",Allocation!CG48)</f>
        <v/>
      </c>
      <c r="AA48" t="str">
        <f>IF($A48="","",Allocation!CH48)</f>
        <v/>
      </c>
      <c r="AB48" t="str">
        <f>IF($A48="","",Allocation!CI48)</f>
        <v/>
      </c>
      <c r="AC48" t="str">
        <f>IF($A48="","",IF(Allocation!$N$4="VOL_EFF",$G48,IF(Allocation!$N$4="VOL_CLASS",$H48,$I48)))</f>
        <v/>
      </c>
      <c r="AD48" t="str">
        <f>IF($A48="","",IF(Allocation!$N$4="VOL_EFF",$L48,IF(Allocation!$N$4="VOL_CLASS",$M48,$N48)))</f>
        <v/>
      </c>
      <c r="AE48" t="str">
        <f>IF($A48="","",IF(Allocation!$N$3="VOL_EFF",$L48,IF(Allocation!$N$3="VOL_CLASS",$M48,$N48)))</f>
        <v/>
      </c>
      <c r="AF48" t="str">
        <f>IF($A48="","",IF(Allocation!$N$3="VOL_EFF",$Q48,IF(Allocation!$N$3="VOL_CLASS",$R48,$S48)))</f>
        <v/>
      </c>
      <c r="AG48" t="str">
        <f>IF($A48="","",IF(Allocation!$N$1="VOL_EFF",$Q48,IF(Allocation!$N$1="VOL_CLASS",$R48,$S48)))</f>
        <v/>
      </c>
      <c r="AH48" t="str">
        <f>IF($A48="","",IF(Allocation!$N$1="VOL_EFF",$T48,IF(Allocation!$N$1="VOL_CLASS",$U48,$V48)))</f>
        <v/>
      </c>
      <c r="AI48" t="str">
        <f t="shared" si="12"/>
        <v/>
      </c>
      <c r="AJ48" t="str">
        <f t="shared" si="13"/>
        <v/>
      </c>
      <c r="AK48" t="str">
        <f t="shared" si="14"/>
        <v/>
      </c>
      <c r="AL48" t="str">
        <f t="shared" si="15"/>
        <v/>
      </c>
      <c r="AM48" t="str">
        <f t="shared" si="16"/>
        <v/>
      </c>
      <c r="AN48" t="str">
        <f t="shared" si="17"/>
        <v/>
      </c>
      <c r="AO48" t="str">
        <f>IF($A48="","",Allocation!CJ48)</f>
        <v/>
      </c>
      <c r="AP48" t="str">
        <f>IF($A48="","",IF(Allocation!$N$2="VOL_EFF",$Q48,IF(Allocation!$N$2="VOL_CLASS",$R48,$S48)))</f>
        <v/>
      </c>
      <c r="AQ48" t="str">
        <f>IF($A48="","",IF(Allocation!$N$2="VOL_EFF",$T48,IF(Allocation!$N$2="VOL_CLASS",$U48,$V48)))</f>
        <v/>
      </c>
      <c r="AR48" t="str">
        <f t="shared" si="18"/>
        <v/>
      </c>
      <c r="AS48" t="str">
        <f>IF($A48="","",$A48&amp;"|"&amp;Allocation!BG48)</f>
        <v/>
      </c>
    </row>
    <row r="49" spans="1:45" x14ac:dyDescent="0.45">
      <c r="A49" t="str">
        <f>IF(Allocation!BI49="","",Allocation!BI49)</f>
        <v/>
      </c>
      <c r="B49" t="str">
        <f>IF(Allocation!BJ49="","",Allocation!BJ49)</f>
        <v/>
      </c>
      <c r="C49" t="str">
        <f>IF(Allocation!BK49="","",Allocation!BK49)</f>
        <v/>
      </c>
      <c r="D49" t="str">
        <f>IF(Allocation!BL49="","",Allocation!BL49)</f>
        <v/>
      </c>
      <c r="E49" t="str">
        <f>IF(Allocation!BM49="","",Allocation!BM49)</f>
        <v/>
      </c>
      <c r="F49" t="str">
        <f>IF(Allocation!BN49="","",Allocation!BN49)</f>
        <v/>
      </c>
      <c r="G49" t="str">
        <f>IF(Allocation!BO49="","",Allocation!BO49)</f>
        <v/>
      </c>
      <c r="H49" t="str">
        <f>IF(Allocation!BP49="","",Allocation!BP49)</f>
        <v/>
      </c>
      <c r="I49" t="str">
        <f>IF(Allocation!BQ49="","",Allocation!BQ49)</f>
        <v/>
      </c>
      <c r="J49" t="str">
        <f>IF(Allocation!CC49="","",Allocation!CC49)</f>
        <v/>
      </c>
      <c r="K49" t="str">
        <f t="shared" si="0"/>
        <v/>
      </c>
      <c r="L49" t="str">
        <f t="shared" si="1"/>
        <v/>
      </c>
      <c r="M49" t="str">
        <f t="shared" si="2"/>
        <v/>
      </c>
      <c r="N49" t="str">
        <f t="shared" si="3"/>
        <v/>
      </c>
      <c r="O49" t="str">
        <f t="shared" si="4"/>
        <v/>
      </c>
      <c r="P49" t="str">
        <f t="shared" si="5"/>
        <v/>
      </c>
      <c r="Q49" t="str">
        <f t="shared" si="6"/>
        <v/>
      </c>
      <c r="R49" t="str">
        <f t="shared" si="7"/>
        <v/>
      </c>
      <c r="S49" t="str">
        <f t="shared" si="8"/>
        <v/>
      </c>
      <c r="T49" t="str">
        <f t="shared" si="9"/>
        <v/>
      </c>
      <c r="U49" t="str">
        <f t="shared" si="10"/>
        <v/>
      </c>
      <c r="V49" t="str">
        <f t="shared" si="11"/>
        <v/>
      </c>
      <c r="W49" t="str">
        <f>IF($A49="","",Allocation!CD49)</f>
        <v/>
      </c>
      <c r="X49" t="str">
        <f>IF($A49="","",Allocation!CE49)</f>
        <v/>
      </c>
      <c r="Y49" t="str">
        <f>IF($A49="","",Allocation!CF49)</f>
        <v/>
      </c>
      <c r="Z49" t="str">
        <f>IF($A49="","",Allocation!CG49)</f>
        <v/>
      </c>
      <c r="AA49" t="str">
        <f>IF($A49="","",Allocation!CH49)</f>
        <v/>
      </c>
      <c r="AB49" t="str">
        <f>IF($A49="","",Allocation!CI49)</f>
        <v/>
      </c>
      <c r="AC49" t="str">
        <f>IF($A49="","",IF(Allocation!$N$4="VOL_EFF",$G49,IF(Allocation!$N$4="VOL_CLASS",$H49,$I49)))</f>
        <v/>
      </c>
      <c r="AD49" t="str">
        <f>IF($A49="","",IF(Allocation!$N$4="VOL_EFF",$L49,IF(Allocation!$N$4="VOL_CLASS",$M49,$N49)))</f>
        <v/>
      </c>
      <c r="AE49" t="str">
        <f>IF($A49="","",IF(Allocation!$N$3="VOL_EFF",$L49,IF(Allocation!$N$3="VOL_CLASS",$M49,$N49)))</f>
        <v/>
      </c>
      <c r="AF49" t="str">
        <f>IF($A49="","",IF(Allocation!$N$3="VOL_EFF",$Q49,IF(Allocation!$N$3="VOL_CLASS",$R49,$S49)))</f>
        <v/>
      </c>
      <c r="AG49" t="str">
        <f>IF($A49="","",IF(Allocation!$N$1="VOL_EFF",$Q49,IF(Allocation!$N$1="VOL_CLASS",$R49,$S49)))</f>
        <v/>
      </c>
      <c r="AH49" t="str">
        <f>IF($A49="","",IF(Allocation!$N$1="VOL_EFF",$T49,IF(Allocation!$N$1="VOL_CLASS",$U49,$V49)))</f>
        <v/>
      </c>
      <c r="AI49" t="str">
        <f t="shared" si="12"/>
        <v/>
      </c>
      <c r="AJ49" t="str">
        <f t="shared" si="13"/>
        <v/>
      </c>
      <c r="AK49" t="str">
        <f t="shared" si="14"/>
        <v/>
      </c>
      <c r="AL49" t="str">
        <f t="shared" si="15"/>
        <v/>
      </c>
      <c r="AM49" t="str">
        <f t="shared" si="16"/>
        <v/>
      </c>
      <c r="AN49" t="str">
        <f t="shared" si="17"/>
        <v/>
      </c>
      <c r="AO49" t="str">
        <f>IF($A49="","",Allocation!CJ49)</f>
        <v/>
      </c>
      <c r="AP49" t="str">
        <f>IF($A49="","",IF(Allocation!$N$2="VOL_EFF",$Q49,IF(Allocation!$N$2="VOL_CLASS",$R49,$S49)))</f>
        <v/>
      </c>
      <c r="AQ49" t="str">
        <f>IF($A49="","",IF(Allocation!$N$2="VOL_EFF",$T49,IF(Allocation!$N$2="VOL_CLASS",$U49,$V49)))</f>
        <v/>
      </c>
      <c r="AR49" t="str">
        <f t="shared" si="18"/>
        <v/>
      </c>
      <c r="AS49" t="str">
        <f>IF($A49="","",$A49&amp;"|"&amp;Allocation!BG49)</f>
        <v/>
      </c>
    </row>
    <row r="50" spans="1:45" x14ac:dyDescent="0.45">
      <c r="A50" t="str">
        <f>IF(Allocation!BI50="","",Allocation!BI50)</f>
        <v/>
      </c>
      <c r="B50" t="str">
        <f>IF(Allocation!BJ50="","",Allocation!BJ50)</f>
        <v/>
      </c>
      <c r="C50" t="str">
        <f>IF(Allocation!BK50="","",Allocation!BK50)</f>
        <v/>
      </c>
      <c r="D50" t="str">
        <f>IF(Allocation!BL50="","",Allocation!BL50)</f>
        <v/>
      </c>
      <c r="E50" t="str">
        <f>IF(Allocation!BM50="","",Allocation!BM50)</f>
        <v/>
      </c>
      <c r="F50" t="str">
        <f>IF(Allocation!BN50="","",Allocation!BN50)</f>
        <v/>
      </c>
      <c r="G50" t="str">
        <f>IF(Allocation!BO50="","",Allocation!BO50)</f>
        <v/>
      </c>
      <c r="H50" t="str">
        <f>IF(Allocation!BP50="","",Allocation!BP50)</f>
        <v/>
      </c>
      <c r="I50" t="str">
        <f>IF(Allocation!BQ50="","",Allocation!BQ50)</f>
        <v/>
      </c>
      <c r="J50" t="str">
        <f>IF(Allocation!CC50="","",Allocation!CC50)</f>
        <v/>
      </c>
      <c r="K50" t="str">
        <f t="shared" si="0"/>
        <v/>
      </c>
      <c r="L50" t="str">
        <f t="shared" si="1"/>
        <v/>
      </c>
      <c r="M50" t="str">
        <f t="shared" si="2"/>
        <v/>
      </c>
      <c r="N50" t="str">
        <f t="shared" si="3"/>
        <v/>
      </c>
      <c r="O50" t="str">
        <f t="shared" si="4"/>
        <v/>
      </c>
      <c r="P50" t="str">
        <f t="shared" si="5"/>
        <v/>
      </c>
      <c r="Q50" t="str">
        <f t="shared" si="6"/>
        <v/>
      </c>
      <c r="R50" t="str">
        <f t="shared" si="7"/>
        <v/>
      </c>
      <c r="S50" t="str">
        <f t="shared" si="8"/>
        <v/>
      </c>
      <c r="T50" t="str">
        <f t="shared" si="9"/>
        <v/>
      </c>
      <c r="U50" t="str">
        <f t="shared" si="10"/>
        <v/>
      </c>
      <c r="V50" t="str">
        <f t="shared" si="11"/>
        <v/>
      </c>
      <c r="W50" t="str">
        <f>IF($A50="","",Allocation!CD50)</f>
        <v/>
      </c>
      <c r="X50" t="str">
        <f>IF($A50="","",Allocation!CE50)</f>
        <v/>
      </c>
      <c r="Y50" t="str">
        <f>IF($A50="","",Allocation!CF50)</f>
        <v/>
      </c>
      <c r="Z50" t="str">
        <f>IF($A50="","",Allocation!CG50)</f>
        <v/>
      </c>
      <c r="AA50" t="str">
        <f>IF($A50="","",Allocation!CH50)</f>
        <v/>
      </c>
      <c r="AB50" t="str">
        <f>IF($A50="","",Allocation!CI50)</f>
        <v/>
      </c>
      <c r="AC50" t="str">
        <f>IF($A50="","",IF(Allocation!$N$4="VOL_EFF",$G50,IF(Allocation!$N$4="VOL_CLASS",$H50,$I50)))</f>
        <v/>
      </c>
      <c r="AD50" t="str">
        <f>IF($A50="","",IF(Allocation!$N$4="VOL_EFF",$L50,IF(Allocation!$N$4="VOL_CLASS",$M50,$N50)))</f>
        <v/>
      </c>
      <c r="AE50" t="str">
        <f>IF($A50="","",IF(Allocation!$N$3="VOL_EFF",$L50,IF(Allocation!$N$3="VOL_CLASS",$M50,$N50)))</f>
        <v/>
      </c>
      <c r="AF50" t="str">
        <f>IF($A50="","",IF(Allocation!$N$3="VOL_EFF",$Q50,IF(Allocation!$N$3="VOL_CLASS",$R50,$S50)))</f>
        <v/>
      </c>
      <c r="AG50" t="str">
        <f>IF($A50="","",IF(Allocation!$N$1="VOL_EFF",$Q50,IF(Allocation!$N$1="VOL_CLASS",$R50,$S50)))</f>
        <v/>
      </c>
      <c r="AH50" t="str">
        <f>IF($A50="","",IF(Allocation!$N$1="VOL_EFF",$T50,IF(Allocation!$N$1="VOL_CLASS",$U50,$V50)))</f>
        <v/>
      </c>
      <c r="AI50" t="str">
        <f t="shared" si="12"/>
        <v/>
      </c>
      <c r="AJ50" t="str">
        <f t="shared" si="13"/>
        <v/>
      </c>
      <c r="AK50" t="str">
        <f t="shared" si="14"/>
        <v/>
      </c>
      <c r="AL50" t="str">
        <f t="shared" si="15"/>
        <v/>
      </c>
      <c r="AM50" t="str">
        <f t="shared" si="16"/>
        <v/>
      </c>
      <c r="AN50" t="str">
        <f t="shared" si="17"/>
        <v/>
      </c>
      <c r="AO50" t="str">
        <f>IF($A50="","",Allocation!CJ50)</f>
        <v/>
      </c>
      <c r="AP50" t="str">
        <f>IF($A50="","",IF(Allocation!$N$2="VOL_EFF",$Q50,IF(Allocation!$N$2="VOL_CLASS",$R50,$S50)))</f>
        <v/>
      </c>
      <c r="AQ50" t="str">
        <f>IF($A50="","",IF(Allocation!$N$2="VOL_EFF",$T50,IF(Allocation!$N$2="VOL_CLASS",$U50,$V50)))</f>
        <v/>
      </c>
      <c r="AR50" t="str">
        <f t="shared" si="18"/>
        <v/>
      </c>
      <c r="AS50" t="str">
        <f>IF($A50="","",$A50&amp;"|"&amp;Allocation!BG50)</f>
        <v/>
      </c>
    </row>
    <row r="51" spans="1:45" x14ac:dyDescent="0.45">
      <c r="A51" t="str">
        <f>IF(Allocation!BI51="","",Allocation!BI51)</f>
        <v/>
      </c>
      <c r="B51" t="str">
        <f>IF(Allocation!BJ51="","",Allocation!BJ51)</f>
        <v/>
      </c>
      <c r="C51" t="str">
        <f>IF(Allocation!BK51="","",Allocation!BK51)</f>
        <v/>
      </c>
      <c r="D51" t="str">
        <f>IF(Allocation!BL51="","",Allocation!BL51)</f>
        <v/>
      </c>
      <c r="E51" t="str">
        <f>IF(Allocation!BM51="","",Allocation!BM51)</f>
        <v/>
      </c>
      <c r="F51" t="str">
        <f>IF(Allocation!BN51="","",Allocation!BN51)</f>
        <v/>
      </c>
      <c r="G51" t="str">
        <f>IF(Allocation!BO51="","",Allocation!BO51)</f>
        <v/>
      </c>
      <c r="H51" t="str">
        <f>IF(Allocation!BP51="","",Allocation!BP51)</f>
        <v/>
      </c>
      <c r="I51" t="str">
        <f>IF(Allocation!BQ51="","",Allocation!BQ51)</f>
        <v/>
      </c>
      <c r="J51" t="str">
        <f>IF(Allocation!CC51="","",Allocation!CC51)</f>
        <v/>
      </c>
      <c r="K51" t="str">
        <f t="shared" si="0"/>
        <v/>
      </c>
      <c r="L51" t="str">
        <f t="shared" si="1"/>
        <v/>
      </c>
      <c r="M51" t="str">
        <f t="shared" si="2"/>
        <v/>
      </c>
      <c r="N51" t="str">
        <f t="shared" si="3"/>
        <v/>
      </c>
      <c r="O51" t="str">
        <f t="shared" si="4"/>
        <v/>
      </c>
      <c r="P51" t="str">
        <f t="shared" si="5"/>
        <v/>
      </c>
      <c r="Q51" t="str">
        <f t="shared" si="6"/>
        <v/>
      </c>
      <c r="R51" t="str">
        <f t="shared" si="7"/>
        <v/>
      </c>
      <c r="S51" t="str">
        <f t="shared" si="8"/>
        <v/>
      </c>
      <c r="T51" t="str">
        <f t="shared" si="9"/>
        <v/>
      </c>
      <c r="U51" t="str">
        <f t="shared" si="10"/>
        <v/>
      </c>
      <c r="V51" t="str">
        <f t="shared" si="11"/>
        <v/>
      </c>
      <c r="W51" t="str">
        <f>IF($A51="","",Allocation!CD51)</f>
        <v/>
      </c>
      <c r="X51" t="str">
        <f>IF($A51="","",Allocation!CE51)</f>
        <v/>
      </c>
      <c r="Y51" t="str">
        <f>IF($A51="","",Allocation!CF51)</f>
        <v/>
      </c>
      <c r="Z51" t="str">
        <f>IF($A51="","",Allocation!CG51)</f>
        <v/>
      </c>
      <c r="AA51" t="str">
        <f>IF($A51="","",Allocation!CH51)</f>
        <v/>
      </c>
      <c r="AB51" t="str">
        <f>IF($A51="","",Allocation!CI51)</f>
        <v/>
      </c>
      <c r="AC51" t="str">
        <f>IF($A51="","",IF(Allocation!$N$4="VOL_EFF",$G51,IF(Allocation!$N$4="VOL_CLASS",$H51,$I51)))</f>
        <v/>
      </c>
      <c r="AD51" t="str">
        <f>IF($A51="","",IF(Allocation!$N$4="VOL_EFF",$L51,IF(Allocation!$N$4="VOL_CLASS",$M51,$N51)))</f>
        <v/>
      </c>
      <c r="AE51" t="str">
        <f>IF($A51="","",IF(Allocation!$N$3="VOL_EFF",$L51,IF(Allocation!$N$3="VOL_CLASS",$M51,$N51)))</f>
        <v/>
      </c>
      <c r="AF51" t="str">
        <f>IF($A51="","",IF(Allocation!$N$3="VOL_EFF",$Q51,IF(Allocation!$N$3="VOL_CLASS",$R51,$S51)))</f>
        <v/>
      </c>
      <c r="AG51" t="str">
        <f>IF($A51="","",IF(Allocation!$N$1="VOL_EFF",$Q51,IF(Allocation!$N$1="VOL_CLASS",$R51,$S51)))</f>
        <v/>
      </c>
      <c r="AH51" t="str">
        <f>IF($A51="","",IF(Allocation!$N$1="VOL_EFF",$T51,IF(Allocation!$N$1="VOL_CLASS",$U51,$V51)))</f>
        <v/>
      </c>
      <c r="AI51" t="str">
        <f t="shared" si="12"/>
        <v/>
      </c>
      <c r="AJ51" t="str">
        <f t="shared" si="13"/>
        <v/>
      </c>
      <c r="AK51" t="str">
        <f t="shared" si="14"/>
        <v/>
      </c>
      <c r="AL51" t="str">
        <f t="shared" si="15"/>
        <v/>
      </c>
      <c r="AM51" t="str">
        <f t="shared" si="16"/>
        <v/>
      </c>
      <c r="AN51" t="str">
        <f t="shared" si="17"/>
        <v/>
      </c>
      <c r="AO51" t="str">
        <f>IF($A51="","",Allocation!CJ51)</f>
        <v/>
      </c>
      <c r="AP51" t="str">
        <f>IF($A51="","",IF(Allocation!$N$2="VOL_EFF",$Q51,IF(Allocation!$N$2="VOL_CLASS",$R51,$S51)))</f>
        <v/>
      </c>
      <c r="AQ51" t="str">
        <f>IF($A51="","",IF(Allocation!$N$2="VOL_EFF",$T51,IF(Allocation!$N$2="VOL_CLASS",$U51,$V51)))</f>
        <v/>
      </c>
      <c r="AR51" t="str">
        <f t="shared" si="18"/>
        <v/>
      </c>
      <c r="AS51" t="str">
        <f>IF($A51="","",$A51&amp;"|"&amp;Allocation!BG51)</f>
        <v/>
      </c>
    </row>
    <row r="52" spans="1:45" x14ac:dyDescent="0.45">
      <c r="A52" t="str">
        <f>IF(Allocation!BI52="","",Allocation!BI52)</f>
        <v/>
      </c>
      <c r="B52" t="str">
        <f>IF(Allocation!BJ52="","",Allocation!BJ52)</f>
        <v/>
      </c>
      <c r="C52" t="str">
        <f>IF(Allocation!BK52="","",Allocation!BK52)</f>
        <v/>
      </c>
      <c r="D52" t="str">
        <f>IF(Allocation!BL52="","",Allocation!BL52)</f>
        <v/>
      </c>
      <c r="E52" t="str">
        <f>IF(Allocation!BM52="","",Allocation!BM52)</f>
        <v/>
      </c>
      <c r="F52" t="str">
        <f>IF(Allocation!BN52="","",Allocation!BN52)</f>
        <v/>
      </c>
      <c r="G52" t="str">
        <f>IF(Allocation!BO52="","",Allocation!BO52)</f>
        <v/>
      </c>
      <c r="H52" t="str">
        <f>IF(Allocation!BP52="","",Allocation!BP52)</f>
        <v/>
      </c>
      <c r="I52" t="str">
        <f>IF(Allocation!BQ52="","",Allocation!BQ52)</f>
        <v/>
      </c>
      <c r="J52" t="str">
        <f>IF(Allocation!CC52="","",Allocation!CC52)</f>
        <v/>
      </c>
      <c r="K52" t="str">
        <f t="shared" si="0"/>
        <v/>
      </c>
      <c r="L52" t="str">
        <f t="shared" si="1"/>
        <v/>
      </c>
      <c r="M52" t="str">
        <f t="shared" si="2"/>
        <v/>
      </c>
      <c r="N52" t="str">
        <f t="shared" si="3"/>
        <v/>
      </c>
      <c r="O52" t="str">
        <f t="shared" si="4"/>
        <v/>
      </c>
      <c r="P52" t="str">
        <f t="shared" si="5"/>
        <v/>
      </c>
      <c r="Q52" t="str">
        <f t="shared" si="6"/>
        <v/>
      </c>
      <c r="R52" t="str">
        <f t="shared" si="7"/>
        <v/>
      </c>
      <c r="S52" t="str">
        <f t="shared" si="8"/>
        <v/>
      </c>
      <c r="T52" t="str">
        <f t="shared" si="9"/>
        <v/>
      </c>
      <c r="U52" t="str">
        <f t="shared" si="10"/>
        <v/>
      </c>
      <c r="V52" t="str">
        <f t="shared" si="11"/>
        <v/>
      </c>
      <c r="W52" t="str">
        <f>IF($A52="","",Allocation!CD52)</f>
        <v/>
      </c>
      <c r="X52" t="str">
        <f>IF($A52="","",Allocation!CE52)</f>
        <v/>
      </c>
      <c r="Y52" t="str">
        <f>IF($A52="","",Allocation!CF52)</f>
        <v/>
      </c>
      <c r="Z52" t="str">
        <f>IF($A52="","",Allocation!CG52)</f>
        <v/>
      </c>
      <c r="AA52" t="str">
        <f>IF($A52="","",Allocation!CH52)</f>
        <v/>
      </c>
      <c r="AB52" t="str">
        <f>IF($A52="","",Allocation!CI52)</f>
        <v/>
      </c>
      <c r="AC52" t="str">
        <f>IF($A52="","",IF(Allocation!$N$4="VOL_EFF",$G52,IF(Allocation!$N$4="VOL_CLASS",$H52,$I52)))</f>
        <v/>
      </c>
      <c r="AD52" t="str">
        <f>IF($A52="","",IF(Allocation!$N$4="VOL_EFF",$L52,IF(Allocation!$N$4="VOL_CLASS",$M52,$N52)))</f>
        <v/>
      </c>
      <c r="AE52" t="str">
        <f>IF($A52="","",IF(Allocation!$N$3="VOL_EFF",$L52,IF(Allocation!$N$3="VOL_CLASS",$M52,$N52)))</f>
        <v/>
      </c>
      <c r="AF52" t="str">
        <f>IF($A52="","",IF(Allocation!$N$3="VOL_EFF",$Q52,IF(Allocation!$N$3="VOL_CLASS",$R52,$S52)))</f>
        <v/>
      </c>
      <c r="AG52" t="str">
        <f>IF($A52="","",IF(Allocation!$N$1="VOL_EFF",$Q52,IF(Allocation!$N$1="VOL_CLASS",$R52,$S52)))</f>
        <v/>
      </c>
      <c r="AH52" t="str">
        <f>IF($A52="","",IF(Allocation!$N$1="VOL_EFF",$T52,IF(Allocation!$N$1="VOL_CLASS",$U52,$V52)))</f>
        <v/>
      </c>
      <c r="AI52" t="str">
        <f t="shared" si="12"/>
        <v/>
      </c>
      <c r="AJ52" t="str">
        <f t="shared" si="13"/>
        <v/>
      </c>
      <c r="AK52" t="str">
        <f t="shared" si="14"/>
        <v/>
      </c>
      <c r="AL52" t="str">
        <f t="shared" si="15"/>
        <v/>
      </c>
      <c r="AM52" t="str">
        <f t="shared" si="16"/>
        <v/>
      </c>
      <c r="AN52" t="str">
        <f t="shared" si="17"/>
        <v/>
      </c>
      <c r="AO52" t="str">
        <f>IF($A52="","",Allocation!CJ52)</f>
        <v/>
      </c>
      <c r="AP52" t="str">
        <f>IF($A52="","",IF(Allocation!$N$2="VOL_EFF",$Q52,IF(Allocation!$N$2="VOL_CLASS",$R52,$S52)))</f>
        <v/>
      </c>
      <c r="AQ52" t="str">
        <f>IF($A52="","",IF(Allocation!$N$2="VOL_EFF",$T52,IF(Allocation!$N$2="VOL_CLASS",$U52,$V52)))</f>
        <v/>
      </c>
      <c r="AR52" t="str">
        <f t="shared" si="18"/>
        <v/>
      </c>
      <c r="AS52" t="str">
        <f>IF($A52="","",$A52&amp;"|"&amp;Allocation!BG52)</f>
        <v/>
      </c>
    </row>
    <row r="53" spans="1:45" x14ac:dyDescent="0.45">
      <c r="A53" t="str">
        <f>IF(Allocation!BI53="","",Allocation!BI53)</f>
        <v/>
      </c>
      <c r="B53" t="str">
        <f>IF(Allocation!BJ53="","",Allocation!BJ53)</f>
        <v/>
      </c>
      <c r="C53" t="str">
        <f>IF(Allocation!BK53="","",Allocation!BK53)</f>
        <v/>
      </c>
      <c r="D53" t="str">
        <f>IF(Allocation!BL53="","",Allocation!BL53)</f>
        <v/>
      </c>
      <c r="E53" t="str">
        <f>IF(Allocation!BM53="","",Allocation!BM53)</f>
        <v/>
      </c>
      <c r="F53" t="str">
        <f>IF(Allocation!BN53="","",Allocation!BN53)</f>
        <v/>
      </c>
      <c r="G53" t="str">
        <f>IF(Allocation!BO53="","",Allocation!BO53)</f>
        <v/>
      </c>
      <c r="H53" t="str">
        <f>IF(Allocation!BP53="","",Allocation!BP53)</f>
        <v/>
      </c>
      <c r="I53" t="str">
        <f>IF(Allocation!BQ53="","",Allocation!BQ53)</f>
        <v/>
      </c>
      <c r="J53" t="str">
        <f>IF(Allocation!CC53="","",Allocation!CC53)</f>
        <v/>
      </c>
      <c r="K53" t="str">
        <f t="shared" si="0"/>
        <v/>
      </c>
      <c r="L53" t="str">
        <f t="shared" si="1"/>
        <v/>
      </c>
      <c r="M53" t="str">
        <f t="shared" si="2"/>
        <v/>
      </c>
      <c r="N53" t="str">
        <f t="shared" si="3"/>
        <v/>
      </c>
      <c r="O53" t="str">
        <f t="shared" si="4"/>
        <v/>
      </c>
      <c r="P53" t="str">
        <f t="shared" si="5"/>
        <v/>
      </c>
      <c r="Q53" t="str">
        <f t="shared" si="6"/>
        <v/>
      </c>
      <c r="R53" t="str">
        <f t="shared" si="7"/>
        <v/>
      </c>
      <c r="S53" t="str">
        <f t="shared" si="8"/>
        <v/>
      </c>
      <c r="T53" t="str">
        <f t="shared" si="9"/>
        <v/>
      </c>
      <c r="U53" t="str">
        <f t="shared" si="10"/>
        <v/>
      </c>
      <c r="V53" t="str">
        <f t="shared" si="11"/>
        <v/>
      </c>
      <c r="W53" t="str">
        <f>IF($A53="","",Allocation!CD53)</f>
        <v/>
      </c>
      <c r="X53" t="str">
        <f>IF($A53="","",Allocation!CE53)</f>
        <v/>
      </c>
      <c r="Y53" t="str">
        <f>IF($A53="","",Allocation!CF53)</f>
        <v/>
      </c>
      <c r="Z53" t="str">
        <f>IF($A53="","",Allocation!CG53)</f>
        <v/>
      </c>
      <c r="AA53" t="str">
        <f>IF($A53="","",Allocation!CH53)</f>
        <v/>
      </c>
      <c r="AB53" t="str">
        <f>IF($A53="","",Allocation!CI53)</f>
        <v/>
      </c>
      <c r="AC53" t="str">
        <f>IF($A53="","",IF(Allocation!$N$4="VOL_EFF",$G53,IF(Allocation!$N$4="VOL_CLASS",$H53,$I53)))</f>
        <v/>
      </c>
      <c r="AD53" t="str">
        <f>IF($A53="","",IF(Allocation!$N$4="VOL_EFF",$L53,IF(Allocation!$N$4="VOL_CLASS",$M53,$N53)))</f>
        <v/>
      </c>
      <c r="AE53" t="str">
        <f>IF($A53="","",IF(Allocation!$N$3="VOL_EFF",$L53,IF(Allocation!$N$3="VOL_CLASS",$M53,$N53)))</f>
        <v/>
      </c>
      <c r="AF53" t="str">
        <f>IF($A53="","",IF(Allocation!$N$3="VOL_EFF",$Q53,IF(Allocation!$N$3="VOL_CLASS",$R53,$S53)))</f>
        <v/>
      </c>
      <c r="AG53" t="str">
        <f>IF($A53="","",IF(Allocation!$N$1="VOL_EFF",$Q53,IF(Allocation!$N$1="VOL_CLASS",$R53,$S53)))</f>
        <v/>
      </c>
      <c r="AH53" t="str">
        <f>IF($A53="","",IF(Allocation!$N$1="VOL_EFF",$T53,IF(Allocation!$N$1="VOL_CLASS",$U53,$V53)))</f>
        <v/>
      </c>
      <c r="AI53" t="str">
        <f t="shared" si="12"/>
        <v/>
      </c>
      <c r="AJ53" t="str">
        <f t="shared" si="13"/>
        <v/>
      </c>
      <c r="AK53" t="str">
        <f t="shared" si="14"/>
        <v/>
      </c>
      <c r="AL53" t="str">
        <f t="shared" si="15"/>
        <v/>
      </c>
      <c r="AM53" t="str">
        <f t="shared" si="16"/>
        <v/>
      </c>
      <c r="AN53" t="str">
        <f t="shared" si="17"/>
        <v/>
      </c>
      <c r="AO53" t="str">
        <f>IF($A53="","",Allocation!CJ53)</f>
        <v/>
      </c>
      <c r="AP53" t="str">
        <f>IF($A53="","",IF(Allocation!$N$2="VOL_EFF",$Q53,IF(Allocation!$N$2="VOL_CLASS",$R53,$S53)))</f>
        <v/>
      </c>
      <c r="AQ53" t="str">
        <f>IF($A53="","",IF(Allocation!$N$2="VOL_EFF",$T53,IF(Allocation!$N$2="VOL_CLASS",$U53,$V53)))</f>
        <v/>
      </c>
      <c r="AR53" t="str">
        <f t="shared" si="18"/>
        <v/>
      </c>
      <c r="AS53" t="str">
        <f>IF($A53="","",$A53&amp;"|"&amp;Allocation!BG53)</f>
        <v/>
      </c>
    </row>
    <row r="54" spans="1:45" x14ac:dyDescent="0.45">
      <c r="A54" t="str">
        <f>IF(Allocation!BI54="","",Allocation!BI54)</f>
        <v/>
      </c>
      <c r="B54" t="str">
        <f>IF(Allocation!BJ54="","",Allocation!BJ54)</f>
        <v/>
      </c>
      <c r="C54" t="str">
        <f>IF(Allocation!BK54="","",Allocation!BK54)</f>
        <v/>
      </c>
      <c r="D54" t="str">
        <f>IF(Allocation!BL54="","",Allocation!BL54)</f>
        <v/>
      </c>
      <c r="E54" t="str">
        <f>IF(Allocation!BM54="","",Allocation!BM54)</f>
        <v/>
      </c>
      <c r="F54" t="str">
        <f>IF(Allocation!BN54="","",Allocation!BN54)</f>
        <v/>
      </c>
      <c r="G54" t="str">
        <f>IF(Allocation!BO54="","",Allocation!BO54)</f>
        <v/>
      </c>
      <c r="H54" t="str">
        <f>IF(Allocation!BP54="","",Allocation!BP54)</f>
        <v/>
      </c>
      <c r="I54" t="str">
        <f>IF(Allocation!BQ54="","",Allocation!BQ54)</f>
        <v/>
      </c>
      <c r="J54" t="str">
        <f>IF(Allocation!CC54="","",Allocation!CC54)</f>
        <v/>
      </c>
      <c r="K54" t="str">
        <f t="shared" si="0"/>
        <v/>
      </c>
      <c r="L54" t="str">
        <f t="shared" si="1"/>
        <v/>
      </c>
      <c r="M54" t="str">
        <f t="shared" si="2"/>
        <v/>
      </c>
      <c r="N54" t="str">
        <f t="shared" si="3"/>
        <v/>
      </c>
      <c r="O54" t="str">
        <f t="shared" si="4"/>
        <v/>
      </c>
      <c r="P54" t="str">
        <f t="shared" si="5"/>
        <v/>
      </c>
      <c r="Q54" t="str">
        <f t="shared" si="6"/>
        <v/>
      </c>
      <c r="R54" t="str">
        <f t="shared" si="7"/>
        <v/>
      </c>
      <c r="S54" t="str">
        <f t="shared" si="8"/>
        <v/>
      </c>
      <c r="T54" t="str">
        <f t="shared" si="9"/>
        <v/>
      </c>
      <c r="U54" t="str">
        <f t="shared" si="10"/>
        <v/>
      </c>
      <c r="V54" t="str">
        <f t="shared" si="11"/>
        <v/>
      </c>
      <c r="W54" t="str">
        <f>IF($A54="","",Allocation!CD54)</f>
        <v/>
      </c>
      <c r="X54" t="str">
        <f>IF($A54="","",Allocation!CE54)</f>
        <v/>
      </c>
      <c r="Y54" t="str">
        <f>IF($A54="","",Allocation!CF54)</f>
        <v/>
      </c>
      <c r="Z54" t="str">
        <f>IF($A54="","",Allocation!CG54)</f>
        <v/>
      </c>
      <c r="AA54" t="str">
        <f>IF($A54="","",Allocation!CH54)</f>
        <v/>
      </c>
      <c r="AB54" t="str">
        <f>IF($A54="","",Allocation!CI54)</f>
        <v/>
      </c>
      <c r="AC54" t="str">
        <f>IF($A54="","",IF(Allocation!$N$4="VOL_EFF",$G54,IF(Allocation!$N$4="VOL_CLASS",$H54,$I54)))</f>
        <v/>
      </c>
      <c r="AD54" t="str">
        <f>IF($A54="","",IF(Allocation!$N$4="VOL_EFF",$L54,IF(Allocation!$N$4="VOL_CLASS",$M54,$N54)))</f>
        <v/>
      </c>
      <c r="AE54" t="str">
        <f>IF($A54="","",IF(Allocation!$N$3="VOL_EFF",$L54,IF(Allocation!$N$3="VOL_CLASS",$M54,$N54)))</f>
        <v/>
      </c>
      <c r="AF54" t="str">
        <f>IF($A54="","",IF(Allocation!$N$3="VOL_EFF",$Q54,IF(Allocation!$N$3="VOL_CLASS",$R54,$S54)))</f>
        <v/>
      </c>
      <c r="AG54" t="str">
        <f>IF($A54="","",IF(Allocation!$N$1="VOL_EFF",$Q54,IF(Allocation!$N$1="VOL_CLASS",$R54,$S54)))</f>
        <v/>
      </c>
      <c r="AH54" t="str">
        <f>IF($A54="","",IF(Allocation!$N$1="VOL_EFF",$T54,IF(Allocation!$N$1="VOL_CLASS",$U54,$V54)))</f>
        <v/>
      </c>
      <c r="AI54" t="str">
        <f t="shared" si="12"/>
        <v/>
      </c>
      <c r="AJ54" t="str">
        <f t="shared" si="13"/>
        <v/>
      </c>
      <c r="AK54" t="str">
        <f t="shared" si="14"/>
        <v/>
      </c>
      <c r="AL54" t="str">
        <f t="shared" si="15"/>
        <v/>
      </c>
      <c r="AM54" t="str">
        <f t="shared" si="16"/>
        <v/>
      </c>
      <c r="AN54" t="str">
        <f t="shared" si="17"/>
        <v/>
      </c>
      <c r="AO54" t="str">
        <f>IF($A54="","",Allocation!CJ54)</f>
        <v/>
      </c>
      <c r="AP54" t="str">
        <f>IF($A54="","",IF(Allocation!$N$2="VOL_EFF",$Q54,IF(Allocation!$N$2="VOL_CLASS",$R54,$S54)))</f>
        <v/>
      </c>
      <c r="AQ54" t="str">
        <f>IF($A54="","",IF(Allocation!$N$2="VOL_EFF",$T54,IF(Allocation!$N$2="VOL_CLASS",$U54,$V54)))</f>
        <v/>
      </c>
      <c r="AR54" t="str">
        <f t="shared" si="18"/>
        <v/>
      </c>
      <c r="AS54" t="str">
        <f>IF($A54="","",$A54&amp;"|"&amp;Allocation!BG54)</f>
        <v/>
      </c>
    </row>
    <row r="55" spans="1:45" x14ac:dyDescent="0.45">
      <c r="A55" t="str">
        <f>IF(Allocation!BI55="","",Allocation!BI55)</f>
        <v/>
      </c>
      <c r="B55" t="str">
        <f>IF(Allocation!BJ55="","",Allocation!BJ55)</f>
        <v/>
      </c>
      <c r="C55" t="str">
        <f>IF(Allocation!BK55="","",Allocation!BK55)</f>
        <v/>
      </c>
      <c r="D55" t="str">
        <f>IF(Allocation!BL55="","",Allocation!BL55)</f>
        <v/>
      </c>
      <c r="E55" t="str">
        <f>IF(Allocation!BM55="","",Allocation!BM55)</f>
        <v/>
      </c>
      <c r="F55" t="str">
        <f>IF(Allocation!BN55="","",Allocation!BN55)</f>
        <v/>
      </c>
      <c r="G55" t="str">
        <f>IF(Allocation!BO55="","",Allocation!BO55)</f>
        <v/>
      </c>
      <c r="H55" t="str">
        <f>IF(Allocation!BP55="","",Allocation!BP55)</f>
        <v/>
      </c>
      <c r="I55" t="str">
        <f>IF(Allocation!BQ55="","",Allocation!BQ55)</f>
        <v/>
      </c>
      <c r="J55" t="str">
        <f>IF(Allocation!CC55="","",Allocation!CC55)</f>
        <v/>
      </c>
      <c r="K55" t="str">
        <f t="shared" si="0"/>
        <v/>
      </c>
      <c r="L55" t="str">
        <f t="shared" si="1"/>
        <v/>
      </c>
      <c r="M55" t="str">
        <f t="shared" si="2"/>
        <v/>
      </c>
      <c r="N55" t="str">
        <f t="shared" si="3"/>
        <v/>
      </c>
      <c r="O55" t="str">
        <f t="shared" si="4"/>
        <v/>
      </c>
      <c r="P55" t="str">
        <f t="shared" si="5"/>
        <v/>
      </c>
      <c r="Q55" t="str">
        <f t="shared" si="6"/>
        <v/>
      </c>
      <c r="R55" t="str">
        <f t="shared" si="7"/>
        <v/>
      </c>
      <c r="S55" t="str">
        <f t="shared" si="8"/>
        <v/>
      </c>
      <c r="T55" t="str">
        <f t="shared" si="9"/>
        <v/>
      </c>
      <c r="U55" t="str">
        <f t="shared" si="10"/>
        <v/>
      </c>
      <c r="V55" t="str">
        <f t="shared" si="11"/>
        <v/>
      </c>
      <c r="W55" t="str">
        <f>IF($A55="","",Allocation!CD55)</f>
        <v/>
      </c>
      <c r="X55" t="str">
        <f>IF($A55="","",Allocation!CE55)</f>
        <v/>
      </c>
      <c r="Y55" t="str">
        <f>IF($A55="","",Allocation!CF55)</f>
        <v/>
      </c>
      <c r="Z55" t="str">
        <f>IF($A55="","",Allocation!CG55)</f>
        <v/>
      </c>
      <c r="AA55" t="str">
        <f>IF($A55="","",Allocation!CH55)</f>
        <v/>
      </c>
      <c r="AB55" t="str">
        <f>IF($A55="","",Allocation!CI55)</f>
        <v/>
      </c>
      <c r="AC55" t="str">
        <f>IF($A55="","",IF(Allocation!$N$4="VOL_EFF",$G55,IF(Allocation!$N$4="VOL_CLASS",$H55,$I55)))</f>
        <v/>
      </c>
      <c r="AD55" t="str">
        <f>IF($A55="","",IF(Allocation!$N$4="VOL_EFF",$L55,IF(Allocation!$N$4="VOL_CLASS",$M55,$N55)))</f>
        <v/>
      </c>
      <c r="AE55" t="str">
        <f>IF($A55="","",IF(Allocation!$N$3="VOL_EFF",$L55,IF(Allocation!$N$3="VOL_CLASS",$M55,$N55)))</f>
        <v/>
      </c>
      <c r="AF55" t="str">
        <f>IF($A55="","",IF(Allocation!$N$3="VOL_EFF",$Q55,IF(Allocation!$N$3="VOL_CLASS",$R55,$S55)))</f>
        <v/>
      </c>
      <c r="AG55" t="str">
        <f>IF($A55="","",IF(Allocation!$N$1="VOL_EFF",$Q55,IF(Allocation!$N$1="VOL_CLASS",$R55,$S55)))</f>
        <v/>
      </c>
      <c r="AH55" t="str">
        <f>IF($A55="","",IF(Allocation!$N$1="VOL_EFF",$T55,IF(Allocation!$N$1="VOL_CLASS",$U55,$V55)))</f>
        <v/>
      </c>
      <c r="AI55" t="str">
        <f t="shared" si="12"/>
        <v/>
      </c>
      <c r="AJ55" t="str">
        <f t="shared" si="13"/>
        <v/>
      </c>
      <c r="AK55" t="str">
        <f t="shared" si="14"/>
        <v/>
      </c>
      <c r="AL55" t="str">
        <f t="shared" si="15"/>
        <v/>
      </c>
      <c r="AM55" t="str">
        <f t="shared" si="16"/>
        <v/>
      </c>
      <c r="AN55" t="str">
        <f t="shared" si="17"/>
        <v/>
      </c>
      <c r="AO55" t="str">
        <f>IF($A55="","",Allocation!CJ55)</f>
        <v/>
      </c>
      <c r="AP55" t="str">
        <f>IF($A55="","",IF(Allocation!$N$2="VOL_EFF",$Q55,IF(Allocation!$N$2="VOL_CLASS",$R55,$S55)))</f>
        <v/>
      </c>
      <c r="AQ55" t="str">
        <f>IF($A55="","",IF(Allocation!$N$2="VOL_EFF",$T55,IF(Allocation!$N$2="VOL_CLASS",$U55,$V55)))</f>
        <v/>
      </c>
      <c r="AR55" t="str">
        <f t="shared" si="18"/>
        <v/>
      </c>
      <c r="AS55" t="str">
        <f>IF($A55="","",$A55&amp;"|"&amp;Allocation!BG55)</f>
        <v/>
      </c>
    </row>
    <row r="56" spans="1:45" x14ac:dyDescent="0.45">
      <c r="A56" t="str">
        <f>IF(Allocation!BI56="","",Allocation!BI56)</f>
        <v/>
      </c>
      <c r="B56" t="str">
        <f>IF(Allocation!BJ56="","",Allocation!BJ56)</f>
        <v/>
      </c>
      <c r="C56" t="str">
        <f>IF(Allocation!BK56="","",Allocation!BK56)</f>
        <v/>
      </c>
      <c r="D56" t="str">
        <f>IF(Allocation!BL56="","",Allocation!BL56)</f>
        <v/>
      </c>
      <c r="E56" t="str">
        <f>IF(Allocation!BM56="","",Allocation!BM56)</f>
        <v/>
      </c>
      <c r="F56" t="str">
        <f>IF(Allocation!BN56="","",Allocation!BN56)</f>
        <v/>
      </c>
      <c r="G56" t="str">
        <f>IF(Allocation!BO56="","",Allocation!BO56)</f>
        <v/>
      </c>
      <c r="H56" t="str">
        <f>IF(Allocation!BP56="","",Allocation!BP56)</f>
        <v/>
      </c>
      <c r="I56" t="str">
        <f>IF(Allocation!BQ56="","",Allocation!BQ56)</f>
        <v/>
      </c>
      <c r="J56" t="str">
        <f>IF(Allocation!CC56="","",Allocation!CC56)</f>
        <v/>
      </c>
      <c r="K56" t="str">
        <f t="shared" si="0"/>
        <v/>
      </c>
      <c r="L56" t="str">
        <f t="shared" si="1"/>
        <v/>
      </c>
      <c r="M56" t="str">
        <f t="shared" si="2"/>
        <v/>
      </c>
      <c r="N56" t="str">
        <f t="shared" si="3"/>
        <v/>
      </c>
      <c r="O56" t="str">
        <f t="shared" si="4"/>
        <v/>
      </c>
      <c r="P56" t="str">
        <f t="shared" si="5"/>
        <v/>
      </c>
      <c r="Q56" t="str">
        <f t="shared" si="6"/>
        <v/>
      </c>
      <c r="R56" t="str">
        <f t="shared" si="7"/>
        <v/>
      </c>
      <c r="S56" t="str">
        <f t="shared" si="8"/>
        <v/>
      </c>
      <c r="T56" t="str">
        <f t="shared" si="9"/>
        <v/>
      </c>
      <c r="U56" t="str">
        <f t="shared" si="10"/>
        <v/>
      </c>
      <c r="V56" t="str">
        <f t="shared" si="11"/>
        <v/>
      </c>
      <c r="W56" t="str">
        <f>IF($A56="","",Allocation!CD56)</f>
        <v/>
      </c>
      <c r="X56" t="str">
        <f>IF($A56="","",Allocation!CE56)</f>
        <v/>
      </c>
      <c r="Y56" t="str">
        <f>IF($A56="","",Allocation!CF56)</f>
        <v/>
      </c>
      <c r="Z56" t="str">
        <f>IF($A56="","",Allocation!CG56)</f>
        <v/>
      </c>
      <c r="AA56" t="str">
        <f>IF($A56="","",Allocation!CH56)</f>
        <v/>
      </c>
      <c r="AB56" t="str">
        <f>IF($A56="","",Allocation!CI56)</f>
        <v/>
      </c>
      <c r="AC56" t="str">
        <f>IF($A56="","",IF(Allocation!$N$4="VOL_EFF",$G56,IF(Allocation!$N$4="VOL_CLASS",$H56,$I56)))</f>
        <v/>
      </c>
      <c r="AD56" t="str">
        <f>IF($A56="","",IF(Allocation!$N$4="VOL_EFF",$L56,IF(Allocation!$N$4="VOL_CLASS",$M56,$N56)))</f>
        <v/>
      </c>
      <c r="AE56" t="str">
        <f>IF($A56="","",IF(Allocation!$N$3="VOL_EFF",$L56,IF(Allocation!$N$3="VOL_CLASS",$M56,$N56)))</f>
        <v/>
      </c>
      <c r="AF56" t="str">
        <f>IF($A56="","",IF(Allocation!$N$3="VOL_EFF",$Q56,IF(Allocation!$N$3="VOL_CLASS",$R56,$S56)))</f>
        <v/>
      </c>
      <c r="AG56" t="str">
        <f>IF($A56="","",IF(Allocation!$N$1="VOL_EFF",$Q56,IF(Allocation!$N$1="VOL_CLASS",$R56,$S56)))</f>
        <v/>
      </c>
      <c r="AH56" t="str">
        <f>IF($A56="","",IF(Allocation!$N$1="VOL_EFF",$T56,IF(Allocation!$N$1="VOL_CLASS",$U56,$V56)))</f>
        <v/>
      </c>
      <c r="AI56" t="str">
        <f t="shared" si="12"/>
        <v/>
      </c>
      <c r="AJ56" t="str">
        <f t="shared" si="13"/>
        <v/>
      </c>
      <c r="AK56" t="str">
        <f t="shared" si="14"/>
        <v/>
      </c>
      <c r="AL56" t="str">
        <f t="shared" si="15"/>
        <v/>
      </c>
      <c r="AM56" t="str">
        <f t="shared" si="16"/>
        <v/>
      </c>
      <c r="AN56" t="str">
        <f t="shared" si="17"/>
        <v/>
      </c>
      <c r="AO56" t="str">
        <f>IF($A56="","",Allocation!CJ56)</f>
        <v/>
      </c>
      <c r="AP56" t="str">
        <f>IF($A56="","",IF(Allocation!$N$2="VOL_EFF",$Q56,IF(Allocation!$N$2="VOL_CLASS",$R56,$S56)))</f>
        <v/>
      </c>
      <c r="AQ56" t="str">
        <f>IF($A56="","",IF(Allocation!$N$2="VOL_EFF",$T56,IF(Allocation!$N$2="VOL_CLASS",$U56,$V56)))</f>
        <v/>
      </c>
      <c r="AR56" t="str">
        <f t="shared" si="18"/>
        <v/>
      </c>
      <c r="AS56" t="str">
        <f>IF($A56="","",$A56&amp;"|"&amp;Allocation!BG56)</f>
        <v/>
      </c>
    </row>
    <row r="57" spans="1:45" x14ac:dyDescent="0.45">
      <c r="A57" t="str">
        <f>IF(Allocation!BI57="","",Allocation!BI57)</f>
        <v/>
      </c>
      <c r="B57" t="str">
        <f>IF(Allocation!BJ57="","",Allocation!BJ57)</f>
        <v/>
      </c>
      <c r="C57" t="str">
        <f>IF(Allocation!BK57="","",Allocation!BK57)</f>
        <v/>
      </c>
      <c r="D57" t="str">
        <f>IF(Allocation!BL57="","",Allocation!BL57)</f>
        <v/>
      </c>
      <c r="E57" t="str">
        <f>IF(Allocation!BM57="","",Allocation!BM57)</f>
        <v/>
      </c>
      <c r="F57" t="str">
        <f>IF(Allocation!BN57="","",Allocation!BN57)</f>
        <v/>
      </c>
      <c r="G57" t="str">
        <f>IF(Allocation!BO57="","",Allocation!BO57)</f>
        <v/>
      </c>
      <c r="H57" t="str">
        <f>IF(Allocation!BP57="","",Allocation!BP57)</f>
        <v/>
      </c>
      <c r="I57" t="str">
        <f>IF(Allocation!BQ57="","",Allocation!BQ57)</f>
        <v/>
      </c>
      <c r="J57" t="str">
        <f>IF(Allocation!CC57="","",Allocation!CC57)</f>
        <v/>
      </c>
      <c r="K57" t="str">
        <f t="shared" si="0"/>
        <v/>
      </c>
      <c r="L57" t="str">
        <f t="shared" si="1"/>
        <v/>
      </c>
      <c r="M57" t="str">
        <f t="shared" si="2"/>
        <v/>
      </c>
      <c r="N57" t="str">
        <f t="shared" si="3"/>
        <v/>
      </c>
      <c r="O57" t="str">
        <f t="shared" si="4"/>
        <v/>
      </c>
      <c r="P57" t="str">
        <f t="shared" si="5"/>
        <v/>
      </c>
      <c r="Q57" t="str">
        <f t="shared" si="6"/>
        <v/>
      </c>
      <c r="R57" t="str">
        <f t="shared" si="7"/>
        <v/>
      </c>
      <c r="S57" t="str">
        <f t="shared" si="8"/>
        <v/>
      </c>
      <c r="T57" t="str">
        <f t="shared" si="9"/>
        <v/>
      </c>
      <c r="U57" t="str">
        <f t="shared" si="10"/>
        <v/>
      </c>
      <c r="V57" t="str">
        <f t="shared" si="11"/>
        <v/>
      </c>
      <c r="W57" t="str">
        <f>IF($A57="","",Allocation!CD57)</f>
        <v/>
      </c>
      <c r="X57" t="str">
        <f>IF($A57="","",Allocation!CE57)</f>
        <v/>
      </c>
      <c r="Y57" t="str">
        <f>IF($A57="","",Allocation!CF57)</f>
        <v/>
      </c>
      <c r="Z57" t="str">
        <f>IF($A57="","",Allocation!CG57)</f>
        <v/>
      </c>
      <c r="AA57" t="str">
        <f>IF($A57="","",Allocation!CH57)</f>
        <v/>
      </c>
      <c r="AB57" t="str">
        <f>IF($A57="","",Allocation!CI57)</f>
        <v/>
      </c>
      <c r="AC57" t="str">
        <f>IF($A57="","",IF(Allocation!$N$4="VOL_EFF",$G57,IF(Allocation!$N$4="VOL_CLASS",$H57,$I57)))</f>
        <v/>
      </c>
      <c r="AD57" t="str">
        <f>IF($A57="","",IF(Allocation!$N$4="VOL_EFF",$L57,IF(Allocation!$N$4="VOL_CLASS",$M57,$N57)))</f>
        <v/>
      </c>
      <c r="AE57" t="str">
        <f>IF($A57="","",IF(Allocation!$N$3="VOL_EFF",$L57,IF(Allocation!$N$3="VOL_CLASS",$M57,$N57)))</f>
        <v/>
      </c>
      <c r="AF57" t="str">
        <f>IF($A57="","",IF(Allocation!$N$3="VOL_EFF",$Q57,IF(Allocation!$N$3="VOL_CLASS",$R57,$S57)))</f>
        <v/>
      </c>
      <c r="AG57" t="str">
        <f>IF($A57="","",IF(Allocation!$N$1="VOL_EFF",$Q57,IF(Allocation!$N$1="VOL_CLASS",$R57,$S57)))</f>
        <v/>
      </c>
      <c r="AH57" t="str">
        <f>IF($A57="","",IF(Allocation!$N$1="VOL_EFF",$T57,IF(Allocation!$N$1="VOL_CLASS",$U57,$V57)))</f>
        <v/>
      </c>
      <c r="AI57" t="str">
        <f t="shared" si="12"/>
        <v/>
      </c>
      <c r="AJ57" t="str">
        <f t="shared" si="13"/>
        <v/>
      </c>
      <c r="AK57" t="str">
        <f t="shared" si="14"/>
        <v/>
      </c>
      <c r="AL57" t="str">
        <f t="shared" si="15"/>
        <v/>
      </c>
      <c r="AM57" t="str">
        <f t="shared" si="16"/>
        <v/>
      </c>
      <c r="AN57" t="str">
        <f t="shared" si="17"/>
        <v/>
      </c>
      <c r="AO57" t="str">
        <f>IF($A57="","",Allocation!CJ57)</f>
        <v/>
      </c>
      <c r="AP57" t="str">
        <f>IF($A57="","",IF(Allocation!$N$2="VOL_EFF",$Q57,IF(Allocation!$N$2="VOL_CLASS",$R57,$S57)))</f>
        <v/>
      </c>
      <c r="AQ57" t="str">
        <f>IF($A57="","",IF(Allocation!$N$2="VOL_EFF",$T57,IF(Allocation!$N$2="VOL_CLASS",$U57,$V57)))</f>
        <v/>
      </c>
      <c r="AR57" t="str">
        <f t="shared" si="18"/>
        <v/>
      </c>
      <c r="AS57" t="str">
        <f>IF($A57="","",$A57&amp;"|"&amp;Allocation!BG57)</f>
        <v/>
      </c>
    </row>
    <row r="58" spans="1:45" x14ac:dyDescent="0.45">
      <c r="A58" t="str">
        <f>IF(Allocation!BI58="","",Allocation!BI58)</f>
        <v/>
      </c>
      <c r="B58" t="str">
        <f>IF(Allocation!BJ58="","",Allocation!BJ58)</f>
        <v/>
      </c>
      <c r="C58" t="str">
        <f>IF(Allocation!BK58="","",Allocation!BK58)</f>
        <v/>
      </c>
      <c r="D58" t="str">
        <f>IF(Allocation!BL58="","",Allocation!BL58)</f>
        <v/>
      </c>
      <c r="E58" t="str">
        <f>IF(Allocation!BM58="","",Allocation!BM58)</f>
        <v/>
      </c>
      <c r="F58" t="str">
        <f>IF(Allocation!BN58="","",Allocation!BN58)</f>
        <v/>
      </c>
      <c r="G58" t="str">
        <f>IF(Allocation!BO58="","",Allocation!BO58)</f>
        <v/>
      </c>
      <c r="H58" t="str">
        <f>IF(Allocation!BP58="","",Allocation!BP58)</f>
        <v/>
      </c>
      <c r="I58" t="str">
        <f>IF(Allocation!BQ58="","",Allocation!BQ58)</f>
        <v/>
      </c>
      <c r="J58" t="str">
        <f>IF(Allocation!CC58="","",Allocation!CC58)</f>
        <v/>
      </c>
      <c r="K58" t="str">
        <f t="shared" si="0"/>
        <v/>
      </c>
      <c r="L58" t="str">
        <f t="shared" si="1"/>
        <v/>
      </c>
      <c r="M58" t="str">
        <f t="shared" si="2"/>
        <v/>
      </c>
      <c r="N58" t="str">
        <f t="shared" si="3"/>
        <v/>
      </c>
      <c r="O58" t="str">
        <f t="shared" si="4"/>
        <v/>
      </c>
      <c r="P58" t="str">
        <f t="shared" si="5"/>
        <v/>
      </c>
      <c r="Q58" t="str">
        <f t="shared" si="6"/>
        <v/>
      </c>
      <c r="R58" t="str">
        <f t="shared" si="7"/>
        <v/>
      </c>
      <c r="S58" t="str">
        <f t="shared" si="8"/>
        <v/>
      </c>
      <c r="T58" t="str">
        <f t="shared" si="9"/>
        <v/>
      </c>
      <c r="U58" t="str">
        <f t="shared" si="10"/>
        <v/>
      </c>
      <c r="V58" t="str">
        <f t="shared" si="11"/>
        <v/>
      </c>
      <c r="W58" t="str">
        <f>IF($A58="","",Allocation!CD58)</f>
        <v/>
      </c>
      <c r="X58" t="str">
        <f>IF($A58="","",Allocation!CE58)</f>
        <v/>
      </c>
      <c r="Y58" t="str">
        <f>IF($A58="","",Allocation!CF58)</f>
        <v/>
      </c>
      <c r="Z58" t="str">
        <f>IF($A58="","",Allocation!CG58)</f>
        <v/>
      </c>
      <c r="AA58" t="str">
        <f>IF($A58="","",Allocation!CH58)</f>
        <v/>
      </c>
      <c r="AB58" t="str">
        <f>IF($A58="","",Allocation!CI58)</f>
        <v/>
      </c>
      <c r="AC58" t="str">
        <f>IF($A58="","",IF(Allocation!$N$4="VOL_EFF",$G58,IF(Allocation!$N$4="VOL_CLASS",$H58,$I58)))</f>
        <v/>
      </c>
      <c r="AD58" t="str">
        <f>IF($A58="","",IF(Allocation!$N$4="VOL_EFF",$L58,IF(Allocation!$N$4="VOL_CLASS",$M58,$N58)))</f>
        <v/>
      </c>
      <c r="AE58" t="str">
        <f>IF($A58="","",IF(Allocation!$N$3="VOL_EFF",$L58,IF(Allocation!$N$3="VOL_CLASS",$M58,$N58)))</f>
        <v/>
      </c>
      <c r="AF58" t="str">
        <f>IF($A58="","",IF(Allocation!$N$3="VOL_EFF",$Q58,IF(Allocation!$N$3="VOL_CLASS",$R58,$S58)))</f>
        <v/>
      </c>
      <c r="AG58" t="str">
        <f>IF($A58="","",IF(Allocation!$N$1="VOL_EFF",$Q58,IF(Allocation!$N$1="VOL_CLASS",$R58,$S58)))</f>
        <v/>
      </c>
      <c r="AH58" t="str">
        <f>IF($A58="","",IF(Allocation!$N$1="VOL_EFF",$T58,IF(Allocation!$N$1="VOL_CLASS",$U58,$V58)))</f>
        <v/>
      </c>
      <c r="AI58" t="str">
        <f t="shared" si="12"/>
        <v/>
      </c>
      <c r="AJ58" t="str">
        <f t="shared" si="13"/>
        <v/>
      </c>
      <c r="AK58" t="str">
        <f t="shared" si="14"/>
        <v/>
      </c>
      <c r="AL58" t="str">
        <f t="shared" si="15"/>
        <v/>
      </c>
      <c r="AM58" t="str">
        <f t="shared" si="16"/>
        <v/>
      </c>
      <c r="AN58" t="str">
        <f t="shared" si="17"/>
        <v/>
      </c>
      <c r="AO58" t="str">
        <f>IF($A58="","",Allocation!CJ58)</f>
        <v/>
      </c>
      <c r="AP58" t="str">
        <f>IF($A58="","",IF(Allocation!$N$2="VOL_EFF",$Q58,IF(Allocation!$N$2="VOL_CLASS",$R58,$S58)))</f>
        <v/>
      </c>
      <c r="AQ58" t="str">
        <f>IF($A58="","",IF(Allocation!$N$2="VOL_EFF",$T58,IF(Allocation!$N$2="VOL_CLASS",$U58,$V58)))</f>
        <v/>
      </c>
      <c r="AR58" t="str">
        <f t="shared" si="18"/>
        <v/>
      </c>
      <c r="AS58" t="str">
        <f>IF($A58="","",$A58&amp;"|"&amp;Allocation!BG58)</f>
        <v/>
      </c>
    </row>
    <row r="59" spans="1:45" x14ac:dyDescent="0.45">
      <c r="A59" t="str">
        <f>IF(Allocation!BI59="","",Allocation!BI59)</f>
        <v/>
      </c>
      <c r="B59" t="str">
        <f>IF(Allocation!BJ59="","",Allocation!BJ59)</f>
        <v/>
      </c>
      <c r="C59" t="str">
        <f>IF(Allocation!BK59="","",Allocation!BK59)</f>
        <v/>
      </c>
      <c r="D59" t="str">
        <f>IF(Allocation!BL59="","",Allocation!BL59)</f>
        <v/>
      </c>
      <c r="E59" t="str">
        <f>IF(Allocation!BM59="","",Allocation!BM59)</f>
        <v/>
      </c>
      <c r="F59" t="str">
        <f>IF(Allocation!BN59="","",Allocation!BN59)</f>
        <v/>
      </c>
      <c r="G59" t="str">
        <f>IF(Allocation!BO59="","",Allocation!BO59)</f>
        <v/>
      </c>
      <c r="H59" t="str">
        <f>IF(Allocation!BP59="","",Allocation!BP59)</f>
        <v/>
      </c>
      <c r="I59" t="str">
        <f>IF(Allocation!BQ59="","",Allocation!BQ59)</f>
        <v/>
      </c>
      <c r="J59" t="str">
        <f>IF(Allocation!CC59="","",Allocation!CC59)</f>
        <v/>
      </c>
      <c r="K59" t="str">
        <f t="shared" si="0"/>
        <v/>
      </c>
      <c r="L59" t="str">
        <f t="shared" si="1"/>
        <v/>
      </c>
      <c r="M59" t="str">
        <f t="shared" si="2"/>
        <v/>
      </c>
      <c r="N59" t="str">
        <f t="shared" si="3"/>
        <v/>
      </c>
      <c r="O59" t="str">
        <f t="shared" si="4"/>
        <v/>
      </c>
      <c r="P59" t="str">
        <f t="shared" si="5"/>
        <v/>
      </c>
      <c r="Q59" t="str">
        <f t="shared" si="6"/>
        <v/>
      </c>
      <c r="R59" t="str">
        <f t="shared" si="7"/>
        <v/>
      </c>
      <c r="S59" t="str">
        <f t="shared" si="8"/>
        <v/>
      </c>
      <c r="T59" t="str">
        <f t="shared" si="9"/>
        <v/>
      </c>
      <c r="U59" t="str">
        <f t="shared" si="10"/>
        <v/>
      </c>
      <c r="V59" t="str">
        <f t="shared" si="11"/>
        <v/>
      </c>
      <c r="W59" t="str">
        <f>IF($A59="","",Allocation!CD59)</f>
        <v/>
      </c>
      <c r="X59" t="str">
        <f>IF($A59="","",Allocation!CE59)</f>
        <v/>
      </c>
      <c r="Y59" t="str">
        <f>IF($A59="","",Allocation!CF59)</f>
        <v/>
      </c>
      <c r="Z59" t="str">
        <f>IF($A59="","",Allocation!CG59)</f>
        <v/>
      </c>
      <c r="AA59" t="str">
        <f>IF($A59="","",Allocation!CH59)</f>
        <v/>
      </c>
      <c r="AB59" t="str">
        <f>IF($A59="","",Allocation!CI59)</f>
        <v/>
      </c>
      <c r="AC59" t="str">
        <f>IF($A59="","",IF(Allocation!$N$4="VOL_EFF",$G59,IF(Allocation!$N$4="VOL_CLASS",$H59,$I59)))</f>
        <v/>
      </c>
      <c r="AD59" t="str">
        <f>IF($A59="","",IF(Allocation!$N$4="VOL_EFF",$L59,IF(Allocation!$N$4="VOL_CLASS",$M59,$N59)))</f>
        <v/>
      </c>
      <c r="AE59" t="str">
        <f>IF($A59="","",IF(Allocation!$N$3="VOL_EFF",$L59,IF(Allocation!$N$3="VOL_CLASS",$M59,$N59)))</f>
        <v/>
      </c>
      <c r="AF59" t="str">
        <f>IF($A59="","",IF(Allocation!$N$3="VOL_EFF",$Q59,IF(Allocation!$N$3="VOL_CLASS",$R59,$S59)))</f>
        <v/>
      </c>
      <c r="AG59" t="str">
        <f>IF($A59="","",IF(Allocation!$N$1="VOL_EFF",$Q59,IF(Allocation!$N$1="VOL_CLASS",$R59,$S59)))</f>
        <v/>
      </c>
      <c r="AH59" t="str">
        <f>IF($A59="","",IF(Allocation!$N$1="VOL_EFF",$T59,IF(Allocation!$N$1="VOL_CLASS",$U59,$V59)))</f>
        <v/>
      </c>
      <c r="AI59" t="str">
        <f t="shared" si="12"/>
        <v/>
      </c>
      <c r="AJ59" t="str">
        <f t="shared" si="13"/>
        <v/>
      </c>
      <c r="AK59" t="str">
        <f t="shared" si="14"/>
        <v/>
      </c>
      <c r="AL59" t="str">
        <f t="shared" si="15"/>
        <v/>
      </c>
      <c r="AM59" t="str">
        <f t="shared" si="16"/>
        <v/>
      </c>
      <c r="AN59" t="str">
        <f t="shared" si="17"/>
        <v/>
      </c>
      <c r="AO59" t="str">
        <f>IF($A59="","",Allocation!CJ59)</f>
        <v/>
      </c>
      <c r="AP59" t="str">
        <f>IF($A59="","",IF(Allocation!$N$2="VOL_EFF",$Q59,IF(Allocation!$N$2="VOL_CLASS",$R59,$S59)))</f>
        <v/>
      </c>
      <c r="AQ59" t="str">
        <f>IF($A59="","",IF(Allocation!$N$2="VOL_EFF",$T59,IF(Allocation!$N$2="VOL_CLASS",$U59,$V59)))</f>
        <v/>
      </c>
      <c r="AR59" t="str">
        <f t="shared" si="18"/>
        <v/>
      </c>
      <c r="AS59" t="str">
        <f>IF($A59="","",$A59&amp;"|"&amp;Allocation!BG59)</f>
        <v/>
      </c>
    </row>
    <row r="60" spans="1:45" x14ac:dyDescent="0.45">
      <c r="A60" t="str">
        <f>IF(Allocation!BI60="","",Allocation!BI60)</f>
        <v/>
      </c>
      <c r="B60" t="str">
        <f>IF(Allocation!BJ60="","",Allocation!BJ60)</f>
        <v/>
      </c>
      <c r="C60" t="str">
        <f>IF(Allocation!BK60="","",Allocation!BK60)</f>
        <v/>
      </c>
      <c r="D60" t="str">
        <f>IF(Allocation!BL60="","",Allocation!BL60)</f>
        <v/>
      </c>
      <c r="E60" t="str">
        <f>IF(Allocation!BM60="","",Allocation!BM60)</f>
        <v/>
      </c>
      <c r="F60" t="str">
        <f>IF(Allocation!BN60="","",Allocation!BN60)</f>
        <v/>
      </c>
      <c r="G60" t="str">
        <f>IF(Allocation!BO60="","",Allocation!BO60)</f>
        <v/>
      </c>
      <c r="H60" t="str">
        <f>IF(Allocation!BP60="","",Allocation!BP60)</f>
        <v/>
      </c>
      <c r="I60" t="str">
        <f>IF(Allocation!BQ60="","",Allocation!BQ60)</f>
        <v/>
      </c>
      <c r="J60" t="str">
        <f>IF(Allocation!CC60="","",Allocation!CC60)</f>
        <v/>
      </c>
      <c r="K60" t="str">
        <f t="shared" si="0"/>
        <v/>
      </c>
      <c r="L60" t="str">
        <f t="shared" si="1"/>
        <v/>
      </c>
      <c r="M60" t="str">
        <f t="shared" si="2"/>
        <v/>
      </c>
      <c r="N60" t="str">
        <f t="shared" si="3"/>
        <v/>
      </c>
      <c r="O60" t="str">
        <f t="shared" si="4"/>
        <v/>
      </c>
      <c r="P60" t="str">
        <f t="shared" si="5"/>
        <v/>
      </c>
      <c r="Q60" t="str">
        <f t="shared" si="6"/>
        <v/>
      </c>
      <c r="R60" t="str">
        <f t="shared" si="7"/>
        <v/>
      </c>
      <c r="S60" t="str">
        <f t="shared" si="8"/>
        <v/>
      </c>
      <c r="T60" t="str">
        <f t="shared" si="9"/>
        <v/>
      </c>
      <c r="U60" t="str">
        <f t="shared" si="10"/>
        <v/>
      </c>
      <c r="V60" t="str">
        <f t="shared" si="11"/>
        <v/>
      </c>
      <c r="W60" t="str">
        <f>IF($A60="","",Allocation!CD60)</f>
        <v/>
      </c>
      <c r="X60" t="str">
        <f>IF($A60="","",Allocation!CE60)</f>
        <v/>
      </c>
      <c r="Y60" t="str">
        <f>IF($A60="","",Allocation!CF60)</f>
        <v/>
      </c>
      <c r="Z60" t="str">
        <f>IF($A60="","",Allocation!CG60)</f>
        <v/>
      </c>
      <c r="AA60" t="str">
        <f>IF($A60="","",Allocation!CH60)</f>
        <v/>
      </c>
      <c r="AB60" t="str">
        <f>IF($A60="","",Allocation!CI60)</f>
        <v/>
      </c>
      <c r="AC60" t="str">
        <f>IF($A60="","",IF(Allocation!$N$4="VOL_EFF",$G60,IF(Allocation!$N$4="VOL_CLASS",$H60,$I60)))</f>
        <v/>
      </c>
      <c r="AD60" t="str">
        <f>IF($A60="","",IF(Allocation!$N$4="VOL_EFF",$L60,IF(Allocation!$N$4="VOL_CLASS",$M60,$N60)))</f>
        <v/>
      </c>
      <c r="AE60" t="str">
        <f>IF($A60="","",IF(Allocation!$N$3="VOL_EFF",$L60,IF(Allocation!$N$3="VOL_CLASS",$M60,$N60)))</f>
        <v/>
      </c>
      <c r="AF60" t="str">
        <f>IF($A60="","",IF(Allocation!$N$3="VOL_EFF",$Q60,IF(Allocation!$N$3="VOL_CLASS",$R60,$S60)))</f>
        <v/>
      </c>
      <c r="AG60" t="str">
        <f>IF($A60="","",IF(Allocation!$N$1="VOL_EFF",$Q60,IF(Allocation!$N$1="VOL_CLASS",$R60,$S60)))</f>
        <v/>
      </c>
      <c r="AH60" t="str">
        <f>IF($A60="","",IF(Allocation!$N$1="VOL_EFF",$T60,IF(Allocation!$N$1="VOL_CLASS",$U60,$V60)))</f>
        <v/>
      </c>
      <c r="AI60" t="str">
        <f t="shared" si="12"/>
        <v/>
      </c>
      <c r="AJ60" t="str">
        <f t="shared" si="13"/>
        <v/>
      </c>
      <c r="AK60" t="str">
        <f t="shared" si="14"/>
        <v/>
      </c>
      <c r="AL60" t="str">
        <f t="shared" si="15"/>
        <v/>
      </c>
      <c r="AM60" t="str">
        <f t="shared" si="16"/>
        <v/>
      </c>
      <c r="AN60" t="str">
        <f t="shared" si="17"/>
        <v/>
      </c>
      <c r="AO60" t="str">
        <f>IF($A60="","",Allocation!CJ60)</f>
        <v/>
      </c>
      <c r="AP60" t="str">
        <f>IF($A60="","",IF(Allocation!$N$2="VOL_EFF",$Q60,IF(Allocation!$N$2="VOL_CLASS",$R60,$S60)))</f>
        <v/>
      </c>
      <c r="AQ60" t="str">
        <f>IF($A60="","",IF(Allocation!$N$2="VOL_EFF",$T60,IF(Allocation!$N$2="VOL_CLASS",$U60,$V60)))</f>
        <v/>
      </c>
      <c r="AR60" t="str">
        <f t="shared" si="18"/>
        <v/>
      </c>
      <c r="AS60" t="str">
        <f>IF($A60="","",$A60&amp;"|"&amp;Allocation!BG60)</f>
        <v/>
      </c>
    </row>
    <row r="61" spans="1:45" x14ac:dyDescent="0.45">
      <c r="A61" t="str">
        <f>IF(Allocation!BI61="","",Allocation!BI61)</f>
        <v/>
      </c>
      <c r="B61" t="str">
        <f>IF(Allocation!BJ61="","",Allocation!BJ61)</f>
        <v/>
      </c>
      <c r="C61" t="str">
        <f>IF(Allocation!BK61="","",Allocation!BK61)</f>
        <v/>
      </c>
      <c r="D61" t="str">
        <f>IF(Allocation!BL61="","",Allocation!BL61)</f>
        <v/>
      </c>
      <c r="E61" t="str">
        <f>IF(Allocation!BM61="","",Allocation!BM61)</f>
        <v/>
      </c>
      <c r="F61" t="str">
        <f>IF(Allocation!BN61="","",Allocation!BN61)</f>
        <v/>
      </c>
      <c r="G61" t="str">
        <f>IF(Allocation!BO61="","",Allocation!BO61)</f>
        <v/>
      </c>
      <c r="H61" t="str">
        <f>IF(Allocation!BP61="","",Allocation!BP61)</f>
        <v/>
      </c>
      <c r="I61" t="str">
        <f>IF(Allocation!BQ61="","",Allocation!BQ61)</f>
        <v/>
      </c>
      <c r="J61" t="str">
        <f>IF(Allocation!CC61="","",Allocation!CC61)</f>
        <v/>
      </c>
      <c r="K61" t="str">
        <f t="shared" si="0"/>
        <v/>
      </c>
      <c r="L61" t="str">
        <f t="shared" si="1"/>
        <v/>
      </c>
      <c r="M61" t="str">
        <f t="shared" si="2"/>
        <v/>
      </c>
      <c r="N61" t="str">
        <f t="shared" si="3"/>
        <v/>
      </c>
      <c r="O61" t="str">
        <f t="shared" si="4"/>
        <v/>
      </c>
      <c r="P61" t="str">
        <f t="shared" si="5"/>
        <v/>
      </c>
      <c r="Q61" t="str">
        <f t="shared" si="6"/>
        <v/>
      </c>
      <c r="R61" t="str">
        <f t="shared" si="7"/>
        <v/>
      </c>
      <c r="S61" t="str">
        <f t="shared" si="8"/>
        <v/>
      </c>
      <c r="T61" t="str">
        <f t="shared" si="9"/>
        <v/>
      </c>
      <c r="U61" t="str">
        <f t="shared" si="10"/>
        <v/>
      </c>
      <c r="V61" t="str">
        <f t="shared" si="11"/>
        <v/>
      </c>
      <c r="W61" t="str">
        <f>IF($A61="","",Allocation!CD61)</f>
        <v/>
      </c>
      <c r="X61" t="str">
        <f>IF($A61="","",Allocation!CE61)</f>
        <v/>
      </c>
      <c r="Y61" t="str">
        <f>IF($A61="","",Allocation!CF61)</f>
        <v/>
      </c>
      <c r="Z61" t="str">
        <f>IF($A61="","",Allocation!CG61)</f>
        <v/>
      </c>
      <c r="AA61" t="str">
        <f>IF($A61="","",Allocation!CH61)</f>
        <v/>
      </c>
      <c r="AB61" t="str">
        <f>IF($A61="","",Allocation!CI61)</f>
        <v/>
      </c>
      <c r="AC61" t="str">
        <f>IF($A61="","",IF(Allocation!$N$4="VOL_EFF",$G61,IF(Allocation!$N$4="VOL_CLASS",$H61,$I61)))</f>
        <v/>
      </c>
      <c r="AD61" t="str">
        <f>IF($A61="","",IF(Allocation!$N$4="VOL_EFF",$L61,IF(Allocation!$N$4="VOL_CLASS",$M61,$N61)))</f>
        <v/>
      </c>
      <c r="AE61" t="str">
        <f>IF($A61="","",IF(Allocation!$N$3="VOL_EFF",$L61,IF(Allocation!$N$3="VOL_CLASS",$M61,$N61)))</f>
        <v/>
      </c>
      <c r="AF61" t="str">
        <f>IF($A61="","",IF(Allocation!$N$3="VOL_EFF",$Q61,IF(Allocation!$N$3="VOL_CLASS",$R61,$S61)))</f>
        <v/>
      </c>
      <c r="AG61" t="str">
        <f>IF($A61="","",IF(Allocation!$N$1="VOL_EFF",$Q61,IF(Allocation!$N$1="VOL_CLASS",$R61,$S61)))</f>
        <v/>
      </c>
      <c r="AH61" t="str">
        <f>IF($A61="","",IF(Allocation!$N$1="VOL_EFF",$T61,IF(Allocation!$N$1="VOL_CLASS",$U61,$V61)))</f>
        <v/>
      </c>
      <c r="AI61" t="str">
        <f t="shared" si="12"/>
        <v/>
      </c>
      <c r="AJ61" t="str">
        <f t="shared" si="13"/>
        <v/>
      </c>
      <c r="AK61" t="str">
        <f t="shared" si="14"/>
        <v/>
      </c>
      <c r="AL61" t="str">
        <f t="shared" si="15"/>
        <v/>
      </c>
      <c r="AM61" t="str">
        <f t="shared" si="16"/>
        <v/>
      </c>
      <c r="AN61" t="str">
        <f t="shared" si="17"/>
        <v/>
      </c>
      <c r="AO61" t="str">
        <f>IF($A61="","",Allocation!CJ61)</f>
        <v/>
      </c>
      <c r="AP61" t="str">
        <f>IF($A61="","",IF(Allocation!$N$2="VOL_EFF",$Q61,IF(Allocation!$N$2="VOL_CLASS",$R61,$S61)))</f>
        <v/>
      </c>
      <c r="AQ61" t="str">
        <f>IF($A61="","",IF(Allocation!$N$2="VOL_EFF",$T61,IF(Allocation!$N$2="VOL_CLASS",$U61,$V61)))</f>
        <v/>
      </c>
      <c r="AR61" t="str">
        <f t="shared" si="18"/>
        <v/>
      </c>
      <c r="AS61" t="str">
        <f>IF($A61="","",$A61&amp;"|"&amp;Allocation!BG61)</f>
        <v/>
      </c>
    </row>
    <row r="62" spans="1:45" x14ac:dyDescent="0.45">
      <c r="A62" t="str">
        <f>IF(Allocation!BI62="","",Allocation!BI62)</f>
        <v/>
      </c>
      <c r="B62" t="str">
        <f>IF(Allocation!BJ62="","",Allocation!BJ62)</f>
        <v/>
      </c>
      <c r="C62" t="str">
        <f>IF(Allocation!BK62="","",Allocation!BK62)</f>
        <v/>
      </c>
      <c r="D62" t="str">
        <f>IF(Allocation!BL62="","",Allocation!BL62)</f>
        <v/>
      </c>
      <c r="E62" t="str">
        <f>IF(Allocation!BM62="","",Allocation!BM62)</f>
        <v/>
      </c>
      <c r="F62" t="str">
        <f>IF(Allocation!BN62="","",Allocation!BN62)</f>
        <v/>
      </c>
      <c r="G62" t="str">
        <f>IF(Allocation!BO62="","",Allocation!BO62)</f>
        <v/>
      </c>
      <c r="H62" t="str">
        <f>IF(Allocation!BP62="","",Allocation!BP62)</f>
        <v/>
      </c>
      <c r="I62" t="str">
        <f>IF(Allocation!BQ62="","",Allocation!BQ62)</f>
        <v/>
      </c>
      <c r="J62" t="str">
        <f>IF(Allocation!CC62="","",Allocation!CC62)</f>
        <v/>
      </c>
      <c r="K62" t="str">
        <f t="shared" si="0"/>
        <v/>
      </c>
      <c r="L62" t="str">
        <f t="shared" si="1"/>
        <v/>
      </c>
      <c r="M62" t="str">
        <f t="shared" si="2"/>
        <v/>
      </c>
      <c r="N62" t="str">
        <f t="shared" si="3"/>
        <v/>
      </c>
      <c r="O62" t="str">
        <f t="shared" si="4"/>
        <v/>
      </c>
      <c r="P62" t="str">
        <f t="shared" si="5"/>
        <v/>
      </c>
      <c r="Q62" t="str">
        <f t="shared" si="6"/>
        <v/>
      </c>
      <c r="R62" t="str">
        <f t="shared" si="7"/>
        <v/>
      </c>
      <c r="S62" t="str">
        <f t="shared" si="8"/>
        <v/>
      </c>
      <c r="T62" t="str">
        <f t="shared" si="9"/>
        <v/>
      </c>
      <c r="U62" t="str">
        <f t="shared" si="10"/>
        <v/>
      </c>
      <c r="V62" t="str">
        <f t="shared" si="11"/>
        <v/>
      </c>
      <c r="W62" t="str">
        <f>IF($A62="","",Allocation!CD62)</f>
        <v/>
      </c>
      <c r="X62" t="str">
        <f>IF($A62="","",Allocation!CE62)</f>
        <v/>
      </c>
      <c r="Y62" t="str">
        <f>IF($A62="","",Allocation!CF62)</f>
        <v/>
      </c>
      <c r="Z62" t="str">
        <f>IF($A62="","",Allocation!CG62)</f>
        <v/>
      </c>
      <c r="AA62" t="str">
        <f>IF($A62="","",Allocation!CH62)</f>
        <v/>
      </c>
      <c r="AB62" t="str">
        <f>IF($A62="","",Allocation!CI62)</f>
        <v/>
      </c>
      <c r="AC62" t="str">
        <f>IF($A62="","",IF(Allocation!$N$4="VOL_EFF",$G62,IF(Allocation!$N$4="VOL_CLASS",$H62,$I62)))</f>
        <v/>
      </c>
      <c r="AD62" t="str">
        <f>IF($A62="","",IF(Allocation!$N$4="VOL_EFF",$L62,IF(Allocation!$N$4="VOL_CLASS",$M62,$N62)))</f>
        <v/>
      </c>
      <c r="AE62" t="str">
        <f>IF($A62="","",IF(Allocation!$N$3="VOL_EFF",$L62,IF(Allocation!$N$3="VOL_CLASS",$M62,$N62)))</f>
        <v/>
      </c>
      <c r="AF62" t="str">
        <f>IF($A62="","",IF(Allocation!$N$3="VOL_EFF",$Q62,IF(Allocation!$N$3="VOL_CLASS",$R62,$S62)))</f>
        <v/>
      </c>
      <c r="AG62" t="str">
        <f>IF($A62="","",IF(Allocation!$N$1="VOL_EFF",$Q62,IF(Allocation!$N$1="VOL_CLASS",$R62,$S62)))</f>
        <v/>
      </c>
      <c r="AH62" t="str">
        <f>IF($A62="","",IF(Allocation!$N$1="VOL_EFF",$T62,IF(Allocation!$N$1="VOL_CLASS",$U62,$V62)))</f>
        <v/>
      </c>
      <c r="AI62" t="str">
        <f t="shared" si="12"/>
        <v/>
      </c>
      <c r="AJ62" t="str">
        <f t="shared" si="13"/>
        <v/>
      </c>
      <c r="AK62" t="str">
        <f t="shared" si="14"/>
        <v/>
      </c>
      <c r="AL62" t="str">
        <f t="shared" si="15"/>
        <v/>
      </c>
      <c r="AM62" t="str">
        <f t="shared" si="16"/>
        <v/>
      </c>
      <c r="AN62" t="str">
        <f t="shared" si="17"/>
        <v/>
      </c>
      <c r="AO62" t="str">
        <f>IF($A62="","",Allocation!CJ62)</f>
        <v/>
      </c>
      <c r="AP62" t="str">
        <f>IF($A62="","",IF(Allocation!$N$2="VOL_EFF",$Q62,IF(Allocation!$N$2="VOL_CLASS",$R62,$S62)))</f>
        <v/>
      </c>
      <c r="AQ62" t="str">
        <f>IF($A62="","",IF(Allocation!$N$2="VOL_EFF",$T62,IF(Allocation!$N$2="VOL_CLASS",$U62,$V62)))</f>
        <v/>
      </c>
      <c r="AR62" t="str">
        <f t="shared" si="18"/>
        <v/>
      </c>
      <c r="AS62" t="str">
        <f>IF($A62="","",$A62&amp;"|"&amp;Allocation!BG62)</f>
        <v/>
      </c>
    </row>
    <row r="63" spans="1:45" x14ac:dyDescent="0.45">
      <c r="A63" t="str">
        <f>IF(Allocation!BI63="","",Allocation!BI63)</f>
        <v/>
      </c>
      <c r="B63" t="str">
        <f>IF(Allocation!BJ63="","",Allocation!BJ63)</f>
        <v/>
      </c>
      <c r="C63" t="str">
        <f>IF(Allocation!BK63="","",Allocation!BK63)</f>
        <v/>
      </c>
      <c r="D63" t="str">
        <f>IF(Allocation!BL63="","",Allocation!BL63)</f>
        <v/>
      </c>
      <c r="E63" t="str">
        <f>IF(Allocation!BM63="","",Allocation!BM63)</f>
        <v/>
      </c>
      <c r="F63" t="str">
        <f>IF(Allocation!BN63="","",Allocation!BN63)</f>
        <v/>
      </c>
      <c r="G63" t="str">
        <f>IF(Allocation!BO63="","",Allocation!BO63)</f>
        <v/>
      </c>
      <c r="H63" t="str">
        <f>IF(Allocation!BP63="","",Allocation!BP63)</f>
        <v/>
      </c>
      <c r="I63" t="str">
        <f>IF(Allocation!BQ63="","",Allocation!BQ63)</f>
        <v/>
      </c>
      <c r="J63" t="str">
        <f>IF(Allocation!CC63="","",Allocation!CC63)</f>
        <v/>
      </c>
      <c r="K63" t="str">
        <f t="shared" si="0"/>
        <v/>
      </c>
      <c r="L63" t="str">
        <f t="shared" si="1"/>
        <v/>
      </c>
      <c r="M63" t="str">
        <f t="shared" si="2"/>
        <v/>
      </c>
      <c r="N63" t="str">
        <f t="shared" si="3"/>
        <v/>
      </c>
      <c r="O63" t="str">
        <f t="shared" si="4"/>
        <v/>
      </c>
      <c r="P63" t="str">
        <f t="shared" si="5"/>
        <v/>
      </c>
      <c r="Q63" t="str">
        <f t="shared" si="6"/>
        <v/>
      </c>
      <c r="R63" t="str">
        <f t="shared" si="7"/>
        <v/>
      </c>
      <c r="S63" t="str">
        <f t="shared" si="8"/>
        <v/>
      </c>
      <c r="T63" t="str">
        <f t="shared" si="9"/>
        <v/>
      </c>
      <c r="U63" t="str">
        <f t="shared" si="10"/>
        <v/>
      </c>
      <c r="V63" t="str">
        <f t="shared" si="11"/>
        <v/>
      </c>
      <c r="W63" t="str">
        <f>IF($A63="","",Allocation!CD63)</f>
        <v/>
      </c>
      <c r="X63" t="str">
        <f>IF($A63="","",Allocation!CE63)</f>
        <v/>
      </c>
      <c r="Y63" t="str">
        <f>IF($A63="","",Allocation!CF63)</f>
        <v/>
      </c>
      <c r="Z63" t="str">
        <f>IF($A63="","",Allocation!CG63)</f>
        <v/>
      </c>
      <c r="AA63" t="str">
        <f>IF($A63="","",Allocation!CH63)</f>
        <v/>
      </c>
      <c r="AB63" t="str">
        <f>IF($A63="","",Allocation!CI63)</f>
        <v/>
      </c>
      <c r="AC63" t="str">
        <f>IF($A63="","",IF(Allocation!$N$4="VOL_EFF",$G63,IF(Allocation!$N$4="VOL_CLASS",$H63,$I63)))</f>
        <v/>
      </c>
      <c r="AD63" t="str">
        <f>IF($A63="","",IF(Allocation!$N$4="VOL_EFF",$L63,IF(Allocation!$N$4="VOL_CLASS",$M63,$N63)))</f>
        <v/>
      </c>
      <c r="AE63" t="str">
        <f>IF($A63="","",IF(Allocation!$N$3="VOL_EFF",$L63,IF(Allocation!$N$3="VOL_CLASS",$M63,$N63)))</f>
        <v/>
      </c>
      <c r="AF63" t="str">
        <f>IF($A63="","",IF(Allocation!$N$3="VOL_EFF",$Q63,IF(Allocation!$N$3="VOL_CLASS",$R63,$S63)))</f>
        <v/>
      </c>
      <c r="AG63" t="str">
        <f>IF($A63="","",IF(Allocation!$N$1="VOL_EFF",$Q63,IF(Allocation!$N$1="VOL_CLASS",$R63,$S63)))</f>
        <v/>
      </c>
      <c r="AH63" t="str">
        <f>IF($A63="","",IF(Allocation!$N$1="VOL_EFF",$T63,IF(Allocation!$N$1="VOL_CLASS",$U63,$V63)))</f>
        <v/>
      </c>
      <c r="AI63" t="str">
        <f t="shared" si="12"/>
        <v/>
      </c>
      <c r="AJ63" t="str">
        <f t="shared" si="13"/>
        <v/>
      </c>
      <c r="AK63" t="str">
        <f t="shared" si="14"/>
        <v/>
      </c>
      <c r="AL63" t="str">
        <f t="shared" si="15"/>
        <v/>
      </c>
      <c r="AM63" t="str">
        <f t="shared" si="16"/>
        <v/>
      </c>
      <c r="AN63" t="str">
        <f t="shared" si="17"/>
        <v/>
      </c>
      <c r="AO63" t="str">
        <f>IF($A63="","",Allocation!CJ63)</f>
        <v/>
      </c>
      <c r="AP63" t="str">
        <f>IF($A63="","",IF(Allocation!$N$2="VOL_EFF",$Q63,IF(Allocation!$N$2="VOL_CLASS",$R63,$S63)))</f>
        <v/>
      </c>
      <c r="AQ63" t="str">
        <f>IF($A63="","",IF(Allocation!$N$2="VOL_EFF",$T63,IF(Allocation!$N$2="VOL_CLASS",$U63,$V63)))</f>
        <v/>
      </c>
      <c r="AR63" t="str">
        <f t="shared" si="18"/>
        <v/>
      </c>
      <c r="AS63" t="str">
        <f>IF($A63="","",$A63&amp;"|"&amp;Allocation!BG63)</f>
        <v/>
      </c>
    </row>
    <row r="64" spans="1:45" x14ac:dyDescent="0.45">
      <c r="A64" t="str">
        <f>IF(Allocation!BI64="","",Allocation!BI64)</f>
        <v/>
      </c>
      <c r="B64" t="str">
        <f>IF(Allocation!BJ64="","",Allocation!BJ64)</f>
        <v/>
      </c>
      <c r="C64" t="str">
        <f>IF(Allocation!BK64="","",Allocation!BK64)</f>
        <v/>
      </c>
      <c r="D64" t="str">
        <f>IF(Allocation!BL64="","",Allocation!BL64)</f>
        <v/>
      </c>
      <c r="E64" t="str">
        <f>IF(Allocation!BM64="","",Allocation!BM64)</f>
        <v/>
      </c>
      <c r="F64" t="str">
        <f>IF(Allocation!BN64="","",Allocation!BN64)</f>
        <v/>
      </c>
      <c r="G64" t="str">
        <f>IF(Allocation!BO64="","",Allocation!BO64)</f>
        <v/>
      </c>
      <c r="H64" t="str">
        <f>IF(Allocation!BP64="","",Allocation!BP64)</f>
        <v/>
      </c>
      <c r="I64" t="str">
        <f>IF(Allocation!BQ64="","",Allocation!BQ64)</f>
        <v/>
      </c>
      <c r="J64" t="str">
        <f>IF(Allocation!CC64="","",Allocation!CC64)</f>
        <v/>
      </c>
      <c r="K64" t="str">
        <f t="shared" si="0"/>
        <v/>
      </c>
      <c r="L64" t="str">
        <f t="shared" si="1"/>
        <v/>
      </c>
      <c r="M64" t="str">
        <f t="shared" si="2"/>
        <v/>
      </c>
      <c r="N64" t="str">
        <f t="shared" si="3"/>
        <v/>
      </c>
      <c r="O64" t="str">
        <f t="shared" si="4"/>
        <v/>
      </c>
      <c r="P64" t="str">
        <f t="shared" si="5"/>
        <v/>
      </c>
      <c r="Q64" t="str">
        <f t="shared" si="6"/>
        <v/>
      </c>
      <c r="R64" t="str">
        <f t="shared" si="7"/>
        <v/>
      </c>
      <c r="S64" t="str">
        <f t="shared" si="8"/>
        <v/>
      </c>
      <c r="T64" t="str">
        <f t="shared" si="9"/>
        <v/>
      </c>
      <c r="U64" t="str">
        <f t="shared" si="10"/>
        <v/>
      </c>
      <c r="V64" t="str">
        <f t="shared" si="11"/>
        <v/>
      </c>
      <c r="W64" t="str">
        <f>IF($A64="","",Allocation!CD64)</f>
        <v/>
      </c>
      <c r="X64" t="str">
        <f>IF($A64="","",Allocation!CE64)</f>
        <v/>
      </c>
      <c r="Y64" t="str">
        <f>IF($A64="","",Allocation!CF64)</f>
        <v/>
      </c>
      <c r="Z64" t="str">
        <f>IF($A64="","",Allocation!CG64)</f>
        <v/>
      </c>
      <c r="AA64" t="str">
        <f>IF($A64="","",Allocation!CH64)</f>
        <v/>
      </c>
      <c r="AB64" t="str">
        <f>IF($A64="","",Allocation!CI64)</f>
        <v/>
      </c>
      <c r="AC64" t="str">
        <f>IF($A64="","",IF(Allocation!$N$4="VOL_EFF",$G64,IF(Allocation!$N$4="VOL_CLASS",$H64,$I64)))</f>
        <v/>
      </c>
      <c r="AD64" t="str">
        <f>IF($A64="","",IF(Allocation!$N$4="VOL_EFF",$L64,IF(Allocation!$N$4="VOL_CLASS",$M64,$N64)))</f>
        <v/>
      </c>
      <c r="AE64" t="str">
        <f>IF($A64="","",IF(Allocation!$N$3="VOL_EFF",$L64,IF(Allocation!$N$3="VOL_CLASS",$M64,$N64)))</f>
        <v/>
      </c>
      <c r="AF64" t="str">
        <f>IF($A64="","",IF(Allocation!$N$3="VOL_EFF",$Q64,IF(Allocation!$N$3="VOL_CLASS",$R64,$S64)))</f>
        <v/>
      </c>
      <c r="AG64" t="str">
        <f>IF($A64="","",IF(Allocation!$N$1="VOL_EFF",$Q64,IF(Allocation!$N$1="VOL_CLASS",$R64,$S64)))</f>
        <v/>
      </c>
      <c r="AH64" t="str">
        <f>IF($A64="","",IF(Allocation!$N$1="VOL_EFF",$T64,IF(Allocation!$N$1="VOL_CLASS",$U64,$V64)))</f>
        <v/>
      </c>
      <c r="AI64" t="str">
        <f t="shared" si="12"/>
        <v/>
      </c>
      <c r="AJ64" t="str">
        <f t="shared" si="13"/>
        <v/>
      </c>
      <c r="AK64" t="str">
        <f t="shared" si="14"/>
        <v/>
      </c>
      <c r="AL64" t="str">
        <f t="shared" si="15"/>
        <v/>
      </c>
      <c r="AM64" t="str">
        <f t="shared" si="16"/>
        <v/>
      </c>
      <c r="AN64" t="str">
        <f t="shared" si="17"/>
        <v/>
      </c>
      <c r="AO64" t="str">
        <f>IF($A64="","",Allocation!CJ64)</f>
        <v/>
      </c>
      <c r="AP64" t="str">
        <f>IF($A64="","",IF(Allocation!$N$2="VOL_EFF",$Q64,IF(Allocation!$N$2="VOL_CLASS",$R64,$S64)))</f>
        <v/>
      </c>
      <c r="AQ64" t="str">
        <f>IF($A64="","",IF(Allocation!$N$2="VOL_EFF",$T64,IF(Allocation!$N$2="VOL_CLASS",$U64,$V64)))</f>
        <v/>
      </c>
      <c r="AR64" t="str">
        <f t="shared" si="18"/>
        <v/>
      </c>
      <c r="AS64" t="str">
        <f>IF($A64="","",$A64&amp;"|"&amp;Allocation!BG64)</f>
        <v/>
      </c>
    </row>
    <row r="65" spans="1:45" x14ac:dyDescent="0.45">
      <c r="A65" t="str">
        <f>IF(Allocation!BI65="","",Allocation!BI65)</f>
        <v/>
      </c>
      <c r="B65" t="str">
        <f>IF(Allocation!BJ65="","",Allocation!BJ65)</f>
        <v/>
      </c>
      <c r="C65" t="str">
        <f>IF(Allocation!BK65="","",Allocation!BK65)</f>
        <v/>
      </c>
      <c r="D65" t="str">
        <f>IF(Allocation!BL65="","",Allocation!BL65)</f>
        <v/>
      </c>
      <c r="E65" t="str">
        <f>IF(Allocation!BM65="","",Allocation!BM65)</f>
        <v/>
      </c>
      <c r="F65" t="str">
        <f>IF(Allocation!BN65="","",Allocation!BN65)</f>
        <v/>
      </c>
      <c r="G65" t="str">
        <f>IF(Allocation!BO65="","",Allocation!BO65)</f>
        <v/>
      </c>
      <c r="H65" t="str">
        <f>IF(Allocation!BP65="","",Allocation!BP65)</f>
        <v/>
      </c>
      <c r="I65" t="str">
        <f>IF(Allocation!BQ65="","",Allocation!BQ65)</f>
        <v/>
      </c>
      <c r="J65" t="str">
        <f>IF(Allocation!CC65="","",Allocation!CC65)</f>
        <v/>
      </c>
      <c r="K65" t="str">
        <f t="shared" si="0"/>
        <v/>
      </c>
      <c r="L65" t="str">
        <f t="shared" si="1"/>
        <v/>
      </c>
      <c r="M65" t="str">
        <f t="shared" si="2"/>
        <v/>
      </c>
      <c r="N65" t="str">
        <f t="shared" si="3"/>
        <v/>
      </c>
      <c r="O65" t="str">
        <f t="shared" si="4"/>
        <v/>
      </c>
      <c r="P65" t="str">
        <f t="shared" si="5"/>
        <v/>
      </c>
      <c r="Q65" t="str">
        <f t="shared" si="6"/>
        <v/>
      </c>
      <c r="R65" t="str">
        <f t="shared" si="7"/>
        <v/>
      </c>
      <c r="S65" t="str">
        <f t="shared" si="8"/>
        <v/>
      </c>
      <c r="T65" t="str">
        <f t="shared" si="9"/>
        <v/>
      </c>
      <c r="U65" t="str">
        <f t="shared" si="10"/>
        <v/>
      </c>
      <c r="V65" t="str">
        <f t="shared" si="11"/>
        <v/>
      </c>
      <c r="W65" t="str">
        <f>IF($A65="","",Allocation!CD65)</f>
        <v/>
      </c>
      <c r="X65" t="str">
        <f>IF($A65="","",Allocation!CE65)</f>
        <v/>
      </c>
      <c r="Y65" t="str">
        <f>IF($A65="","",Allocation!CF65)</f>
        <v/>
      </c>
      <c r="Z65" t="str">
        <f>IF($A65="","",Allocation!CG65)</f>
        <v/>
      </c>
      <c r="AA65" t="str">
        <f>IF($A65="","",Allocation!CH65)</f>
        <v/>
      </c>
      <c r="AB65" t="str">
        <f>IF($A65="","",Allocation!CI65)</f>
        <v/>
      </c>
      <c r="AC65" t="str">
        <f>IF($A65="","",IF(Allocation!$N$4="VOL_EFF",$G65,IF(Allocation!$N$4="VOL_CLASS",$H65,$I65)))</f>
        <v/>
      </c>
      <c r="AD65" t="str">
        <f>IF($A65="","",IF(Allocation!$N$4="VOL_EFF",$L65,IF(Allocation!$N$4="VOL_CLASS",$M65,$N65)))</f>
        <v/>
      </c>
      <c r="AE65" t="str">
        <f>IF($A65="","",IF(Allocation!$N$3="VOL_EFF",$L65,IF(Allocation!$N$3="VOL_CLASS",$M65,$N65)))</f>
        <v/>
      </c>
      <c r="AF65" t="str">
        <f>IF($A65="","",IF(Allocation!$N$3="VOL_EFF",$Q65,IF(Allocation!$N$3="VOL_CLASS",$R65,$S65)))</f>
        <v/>
      </c>
      <c r="AG65" t="str">
        <f>IF($A65="","",IF(Allocation!$N$1="VOL_EFF",$Q65,IF(Allocation!$N$1="VOL_CLASS",$R65,$S65)))</f>
        <v/>
      </c>
      <c r="AH65" t="str">
        <f>IF($A65="","",IF(Allocation!$N$1="VOL_EFF",$T65,IF(Allocation!$N$1="VOL_CLASS",$U65,$V65)))</f>
        <v/>
      </c>
      <c r="AI65" t="str">
        <f t="shared" si="12"/>
        <v/>
      </c>
      <c r="AJ65" t="str">
        <f t="shared" si="13"/>
        <v/>
      </c>
      <c r="AK65" t="str">
        <f t="shared" si="14"/>
        <v/>
      </c>
      <c r="AL65" t="str">
        <f t="shared" si="15"/>
        <v/>
      </c>
      <c r="AM65" t="str">
        <f t="shared" si="16"/>
        <v/>
      </c>
      <c r="AN65" t="str">
        <f t="shared" si="17"/>
        <v/>
      </c>
      <c r="AO65" t="str">
        <f>IF($A65="","",Allocation!CJ65)</f>
        <v/>
      </c>
      <c r="AP65" t="str">
        <f>IF($A65="","",IF(Allocation!$N$2="VOL_EFF",$Q65,IF(Allocation!$N$2="VOL_CLASS",$R65,$S65)))</f>
        <v/>
      </c>
      <c r="AQ65" t="str">
        <f>IF($A65="","",IF(Allocation!$N$2="VOL_EFF",$T65,IF(Allocation!$N$2="VOL_CLASS",$U65,$V65)))</f>
        <v/>
      </c>
      <c r="AR65" t="str">
        <f t="shared" si="18"/>
        <v/>
      </c>
      <c r="AS65" t="str">
        <f>IF($A65="","",$A65&amp;"|"&amp;Allocation!BG65)</f>
        <v/>
      </c>
    </row>
    <row r="66" spans="1:45" x14ac:dyDescent="0.45">
      <c r="A66" t="str">
        <f>IF(Allocation!BI66="","",Allocation!BI66)</f>
        <v/>
      </c>
      <c r="B66" t="str">
        <f>IF(Allocation!BJ66="","",Allocation!BJ66)</f>
        <v/>
      </c>
      <c r="C66" t="str">
        <f>IF(Allocation!BK66="","",Allocation!BK66)</f>
        <v/>
      </c>
      <c r="D66" t="str">
        <f>IF(Allocation!BL66="","",Allocation!BL66)</f>
        <v/>
      </c>
      <c r="E66" t="str">
        <f>IF(Allocation!BM66="","",Allocation!BM66)</f>
        <v/>
      </c>
      <c r="F66" t="str">
        <f>IF(Allocation!BN66="","",Allocation!BN66)</f>
        <v/>
      </c>
      <c r="G66" t="str">
        <f>IF(Allocation!BO66="","",Allocation!BO66)</f>
        <v/>
      </c>
      <c r="H66" t="str">
        <f>IF(Allocation!BP66="","",Allocation!BP66)</f>
        <v/>
      </c>
      <c r="I66" t="str">
        <f>IF(Allocation!BQ66="","",Allocation!BQ66)</f>
        <v/>
      </c>
      <c r="J66" t="str">
        <f>IF(Allocation!CC66="","",Allocation!CC66)</f>
        <v/>
      </c>
      <c r="K66" t="str">
        <f t="shared" ref="K66:K129" si="19">IF($A66="","",$H66*IF(AND(LEFT($D66,3)="BAC",$F66="INIT"),600,IF(LEFT($D66,3)="BAC",480,IF(AND(LEFT($D66,3)="MAS",$F66="INIT"),520,IF(LEFT($D66,3)="MAS",420,IF($F66="INIT",1000,700))))))</f>
        <v/>
      </c>
      <c r="L66" t="str">
        <f t="shared" ref="L66:L129" si="20">IF($A66="","",SUMIFS($G$1:$G$349,$AS$1:$AS$349,$AS66,$B$1:$B$349,$B66))</f>
        <v/>
      </c>
      <c r="M66" t="str">
        <f t="shared" ref="M66:M129" si="21">IF($A66="","",SUMIFS($H$1:$H$349,$AS$1:$AS$349,$AS66,$B$1:$B$349,$B66))</f>
        <v/>
      </c>
      <c r="N66" t="str">
        <f t="shared" ref="N66:N129" si="22">IF($A66="","",SUMIFS($I$1:$I$349,$AS$1:$AS$349,$AS66,$B$1:$B$349,$B66))</f>
        <v/>
      </c>
      <c r="O66" t="str">
        <f t="shared" ref="O66:O129" si="23">IF($A66="","",SUMIFS($K$1:$K$349,$AS$1:$AS$349,$AS66,$B$1:$B$349,$B66))</f>
        <v/>
      </c>
      <c r="P66" t="str">
        <f t="shared" ref="P66:P129" si="24">IF($A66="","",SUMIFS($J$1:$J$349,$AS$1:$AS$349,$AS66,$B$1:$B$349,$B66))</f>
        <v/>
      </c>
      <c r="Q66" t="str">
        <f t="shared" ref="Q66:Q129" si="25">IF($A66="","",SUMIFS($G$1:$G$349,$AS$1:$AS$349,$AS66,$C$1:$C$349,$C66))</f>
        <v/>
      </c>
      <c r="R66" t="str">
        <f t="shared" ref="R66:R129" si="26">IF($A66="","",SUMIFS($H$1:$H$349,$AS$1:$AS$349,$AS66,$C$1:$C$349,$C66))</f>
        <v/>
      </c>
      <c r="S66" t="str">
        <f t="shared" ref="S66:S129" si="27">IF($A66="","",SUMIFS($I$1:$I$349,$AS$1:$AS$349,$AS66,$C$1:$C$349,$C66))</f>
        <v/>
      </c>
      <c r="T66" t="str">
        <f t="shared" ref="T66:T129" si="28">IF($A66="","",SUMIFS($G$1:$G$349,$AS$1:$AS$349,$AS66))</f>
        <v/>
      </c>
      <c r="U66" t="str">
        <f t="shared" ref="U66:U129" si="29">IF($A66="","",SUMIFS($H$1:$H$349,$AS$1:$AS$349,$AS66))</f>
        <v/>
      </c>
      <c r="V66" t="str">
        <f t="shared" ref="V66:V129" si="30">IF($A66="","",SUMIFS($I$1:$I$349,$AS$1:$AS$349,$AS66))</f>
        <v/>
      </c>
      <c r="W66" t="str">
        <f>IF($A66="","",Allocation!CD66)</f>
        <v/>
      </c>
      <c r="X66" t="str">
        <f>IF($A66="","",Allocation!CE66)</f>
        <v/>
      </c>
      <c r="Y66" t="str">
        <f>IF($A66="","",Allocation!CF66)</f>
        <v/>
      </c>
      <c r="Z66" t="str">
        <f>IF($A66="","",Allocation!CG66)</f>
        <v/>
      </c>
      <c r="AA66" t="str">
        <f>IF($A66="","",Allocation!CH66)</f>
        <v/>
      </c>
      <c r="AB66" t="str">
        <f>IF($A66="","",Allocation!CI66)</f>
        <v/>
      </c>
      <c r="AC66" t="str">
        <f>IF($A66="","",IF(Allocation!$N$4="VOL_EFF",$G66,IF(Allocation!$N$4="VOL_CLASS",$H66,$I66)))</f>
        <v/>
      </c>
      <c r="AD66" t="str">
        <f>IF($A66="","",IF(Allocation!$N$4="VOL_EFF",$L66,IF(Allocation!$N$4="VOL_CLASS",$M66,$N66)))</f>
        <v/>
      </c>
      <c r="AE66" t="str">
        <f>IF($A66="","",IF(Allocation!$N$3="VOL_EFF",$L66,IF(Allocation!$N$3="VOL_CLASS",$M66,$N66)))</f>
        <v/>
      </c>
      <c r="AF66" t="str">
        <f>IF($A66="","",IF(Allocation!$N$3="VOL_EFF",$Q66,IF(Allocation!$N$3="VOL_CLASS",$R66,$S66)))</f>
        <v/>
      </c>
      <c r="AG66" t="str">
        <f>IF($A66="","",IF(Allocation!$N$1="VOL_EFF",$Q66,IF(Allocation!$N$1="VOL_CLASS",$R66,$S66)))</f>
        <v/>
      </c>
      <c r="AH66" t="str">
        <f>IF($A66="","",IF(Allocation!$N$1="VOL_EFF",$T66,IF(Allocation!$N$1="VOL_CLASS",$U66,$V66)))</f>
        <v/>
      </c>
      <c r="AI66" t="str">
        <f t="shared" ref="AI66:AI129" si="31">IF($A66="","",$W66*IFERROR($K66/$O66,0))</f>
        <v/>
      </c>
      <c r="AJ66" t="str">
        <f t="shared" ref="AJ66:AJ129" si="32">IF($A66="","",$X66*IFERROR($K66/$O66,0))</f>
        <v/>
      </c>
      <c r="AK66" t="str">
        <f t="shared" ref="AK66:AK129" si="33">IF($A66="","",$Y66*IFERROR($G66/$L66,0)+$Z66*IFERROR($J66/$P66,0))</f>
        <v/>
      </c>
      <c r="AL66" t="str">
        <f t="shared" ref="AL66:AL129" si="34">IF($A66="","",$AA66*IFERROR($AC66/$AD66,0))</f>
        <v/>
      </c>
      <c r="AM66" t="str">
        <f t="shared" ref="AM66:AM129" si="35">IF($A66="","",$AB66*IFERROR($AG66/$AH66,0)*IFERROR($AE66/$AF66,0)*IFERROR($AC66/$AD66,0))</f>
        <v/>
      </c>
      <c r="AN66" t="str">
        <f t="shared" ref="AN66:AN129" si="36">IF($A66="","",$I66-($AI66+$AJ66+$AK66+$AL66+$AM66+$AR66))</f>
        <v/>
      </c>
      <c r="AO66" t="str">
        <f>IF($A66="","",Allocation!CJ66)</f>
        <v/>
      </c>
      <c r="AP66" t="str">
        <f>IF($A66="","",IF(Allocation!$N$2="VOL_EFF",$Q66,IF(Allocation!$N$2="VOL_CLASS",$R66,$S66)))</f>
        <v/>
      </c>
      <c r="AQ66" t="str">
        <f>IF($A66="","",IF(Allocation!$N$2="VOL_EFF",$T66,IF(Allocation!$N$2="VOL_CLASS",$U66,$V66)))</f>
        <v/>
      </c>
      <c r="AR66" t="str">
        <f t="shared" ref="AR66:AR129" si="37">IF($A66="","",$AO66*IFERROR($AP66/$AQ66,0)*IFERROR($AE66/$AF66,0)*IFERROR($AC66/$AD66,0))</f>
        <v/>
      </c>
      <c r="AS66" t="str">
        <f>IF($A66="","",$A66&amp;"|"&amp;Allocation!BG66)</f>
        <v/>
      </c>
    </row>
    <row r="67" spans="1:45" x14ac:dyDescent="0.45">
      <c r="A67" t="str">
        <f>IF(Allocation!BI67="","",Allocation!BI67)</f>
        <v/>
      </c>
      <c r="B67" t="str">
        <f>IF(Allocation!BJ67="","",Allocation!BJ67)</f>
        <v/>
      </c>
      <c r="C67" t="str">
        <f>IF(Allocation!BK67="","",Allocation!BK67)</f>
        <v/>
      </c>
      <c r="D67" t="str">
        <f>IF(Allocation!BL67="","",Allocation!BL67)</f>
        <v/>
      </c>
      <c r="E67" t="str">
        <f>IF(Allocation!BM67="","",Allocation!BM67)</f>
        <v/>
      </c>
      <c r="F67" t="str">
        <f>IF(Allocation!BN67="","",Allocation!BN67)</f>
        <v/>
      </c>
      <c r="G67" t="str">
        <f>IF(Allocation!BO67="","",Allocation!BO67)</f>
        <v/>
      </c>
      <c r="H67" t="str">
        <f>IF(Allocation!BP67="","",Allocation!BP67)</f>
        <v/>
      </c>
      <c r="I67" t="str">
        <f>IF(Allocation!BQ67="","",Allocation!BQ67)</f>
        <v/>
      </c>
      <c r="J67" t="str">
        <f>IF(Allocation!CC67="","",Allocation!CC67)</f>
        <v/>
      </c>
      <c r="K67" t="str">
        <f t="shared" si="19"/>
        <v/>
      </c>
      <c r="L67" t="str">
        <f t="shared" si="20"/>
        <v/>
      </c>
      <c r="M67" t="str">
        <f t="shared" si="21"/>
        <v/>
      </c>
      <c r="N67" t="str">
        <f t="shared" si="22"/>
        <v/>
      </c>
      <c r="O67" t="str">
        <f t="shared" si="23"/>
        <v/>
      </c>
      <c r="P67" t="str">
        <f t="shared" si="24"/>
        <v/>
      </c>
      <c r="Q67" t="str">
        <f t="shared" si="25"/>
        <v/>
      </c>
      <c r="R67" t="str">
        <f t="shared" si="26"/>
        <v/>
      </c>
      <c r="S67" t="str">
        <f t="shared" si="27"/>
        <v/>
      </c>
      <c r="T67" t="str">
        <f t="shared" si="28"/>
        <v/>
      </c>
      <c r="U67" t="str">
        <f t="shared" si="29"/>
        <v/>
      </c>
      <c r="V67" t="str">
        <f t="shared" si="30"/>
        <v/>
      </c>
      <c r="W67" t="str">
        <f>IF($A67="","",Allocation!CD67)</f>
        <v/>
      </c>
      <c r="X67" t="str">
        <f>IF($A67="","",Allocation!CE67)</f>
        <v/>
      </c>
      <c r="Y67" t="str">
        <f>IF($A67="","",Allocation!CF67)</f>
        <v/>
      </c>
      <c r="Z67" t="str">
        <f>IF($A67="","",Allocation!CG67)</f>
        <v/>
      </c>
      <c r="AA67" t="str">
        <f>IF($A67="","",Allocation!CH67)</f>
        <v/>
      </c>
      <c r="AB67" t="str">
        <f>IF($A67="","",Allocation!CI67)</f>
        <v/>
      </c>
      <c r="AC67" t="str">
        <f>IF($A67="","",IF(Allocation!$N$4="VOL_EFF",$G67,IF(Allocation!$N$4="VOL_CLASS",$H67,$I67)))</f>
        <v/>
      </c>
      <c r="AD67" t="str">
        <f>IF($A67="","",IF(Allocation!$N$4="VOL_EFF",$L67,IF(Allocation!$N$4="VOL_CLASS",$M67,$N67)))</f>
        <v/>
      </c>
      <c r="AE67" t="str">
        <f>IF($A67="","",IF(Allocation!$N$3="VOL_EFF",$L67,IF(Allocation!$N$3="VOL_CLASS",$M67,$N67)))</f>
        <v/>
      </c>
      <c r="AF67" t="str">
        <f>IF($A67="","",IF(Allocation!$N$3="VOL_EFF",$Q67,IF(Allocation!$N$3="VOL_CLASS",$R67,$S67)))</f>
        <v/>
      </c>
      <c r="AG67" t="str">
        <f>IF($A67="","",IF(Allocation!$N$1="VOL_EFF",$Q67,IF(Allocation!$N$1="VOL_CLASS",$R67,$S67)))</f>
        <v/>
      </c>
      <c r="AH67" t="str">
        <f>IF($A67="","",IF(Allocation!$N$1="VOL_EFF",$T67,IF(Allocation!$N$1="VOL_CLASS",$U67,$V67)))</f>
        <v/>
      </c>
      <c r="AI67" t="str">
        <f t="shared" si="31"/>
        <v/>
      </c>
      <c r="AJ67" t="str">
        <f t="shared" si="32"/>
        <v/>
      </c>
      <c r="AK67" t="str">
        <f t="shared" si="33"/>
        <v/>
      </c>
      <c r="AL67" t="str">
        <f t="shared" si="34"/>
        <v/>
      </c>
      <c r="AM67" t="str">
        <f t="shared" si="35"/>
        <v/>
      </c>
      <c r="AN67" t="str">
        <f t="shared" si="36"/>
        <v/>
      </c>
      <c r="AO67" t="str">
        <f>IF($A67="","",Allocation!CJ67)</f>
        <v/>
      </c>
      <c r="AP67" t="str">
        <f>IF($A67="","",IF(Allocation!$N$2="VOL_EFF",$Q67,IF(Allocation!$N$2="VOL_CLASS",$R67,$S67)))</f>
        <v/>
      </c>
      <c r="AQ67" t="str">
        <f>IF($A67="","",IF(Allocation!$N$2="VOL_EFF",$T67,IF(Allocation!$N$2="VOL_CLASS",$U67,$V67)))</f>
        <v/>
      </c>
      <c r="AR67" t="str">
        <f t="shared" si="37"/>
        <v/>
      </c>
      <c r="AS67" t="str">
        <f>IF($A67="","",$A67&amp;"|"&amp;Allocation!BG67)</f>
        <v/>
      </c>
    </row>
    <row r="68" spans="1:45" x14ac:dyDescent="0.45">
      <c r="A68" t="str">
        <f>IF(Allocation!BI68="","",Allocation!BI68)</f>
        <v/>
      </c>
      <c r="B68" t="str">
        <f>IF(Allocation!BJ68="","",Allocation!BJ68)</f>
        <v/>
      </c>
      <c r="C68" t="str">
        <f>IF(Allocation!BK68="","",Allocation!BK68)</f>
        <v/>
      </c>
      <c r="D68" t="str">
        <f>IF(Allocation!BL68="","",Allocation!BL68)</f>
        <v/>
      </c>
      <c r="E68" t="str">
        <f>IF(Allocation!BM68="","",Allocation!BM68)</f>
        <v/>
      </c>
      <c r="F68" t="str">
        <f>IF(Allocation!BN68="","",Allocation!BN68)</f>
        <v/>
      </c>
      <c r="G68" t="str">
        <f>IF(Allocation!BO68="","",Allocation!BO68)</f>
        <v/>
      </c>
      <c r="H68" t="str">
        <f>IF(Allocation!BP68="","",Allocation!BP68)</f>
        <v/>
      </c>
      <c r="I68" t="str">
        <f>IF(Allocation!BQ68="","",Allocation!BQ68)</f>
        <v/>
      </c>
      <c r="J68" t="str">
        <f>IF(Allocation!CC68="","",Allocation!CC68)</f>
        <v/>
      </c>
      <c r="K68" t="str">
        <f t="shared" si="19"/>
        <v/>
      </c>
      <c r="L68" t="str">
        <f t="shared" si="20"/>
        <v/>
      </c>
      <c r="M68" t="str">
        <f t="shared" si="21"/>
        <v/>
      </c>
      <c r="N68" t="str">
        <f t="shared" si="22"/>
        <v/>
      </c>
      <c r="O68" t="str">
        <f t="shared" si="23"/>
        <v/>
      </c>
      <c r="P68" t="str">
        <f t="shared" si="24"/>
        <v/>
      </c>
      <c r="Q68" t="str">
        <f t="shared" si="25"/>
        <v/>
      </c>
      <c r="R68" t="str">
        <f t="shared" si="26"/>
        <v/>
      </c>
      <c r="S68" t="str">
        <f t="shared" si="27"/>
        <v/>
      </c>
      <c r="T68" t="str">
        <f t="shared" si="28"/>
        <v/>
      </c>
      <c r="U68" t="str">
        <f t="shared" si="29"/>
        <v/>
      </c>
      <c r="V68" t="str">
        <f t="shared" si="30"/>
        <v/>
      </c>
      <c r="W68" t="str">
        <f>IF($A68="","",Allocation!CD68)</f>
        <v/>
      </c>
      <c r="X68" t="str">
        <f>IF($A68="","",Allocation!CE68)</f>
        <v/>
      </c>
      <c r="Y68" t="str">
        <f>IF($A68="","",Allocation!CF68)</f>
        <v/>
      </c>
      <c r="Z68" t="str">
        <f>IF($A68="","",Allocation!CG68)</f>
        <v/>
      </c>
      <c r="AA68" t="str">
        <f>IF($A68="","",Allocation!CH68)</f>
        <v/>
      </c>
      <c r="AB68" t="str">
        <f>IF($A68="","",Allocation!CI68)</f>
        <v/>
      </c>
      <c r="AC68" t="str">
        <f>IF($A68="","",IF(Allocation!$N$4="VOL_EFF",$G68,IF(Allocation!$N$4="VOL_CLASS",$H68,$I68)))</f>
        <v/>
      </c>
      <c r="AD68" t="str">
        <f>IF($A68="","",IF(Allocation!$N$4="VOL_EFF",$L68,IF(Allocation!$N$4="VOL_CLASS",$M68,$N68)))</f>
        <v/>
      </c>
      <c r="AE68" t="str">
        <f>IF($A68="","",IF(Allocation!$N$3="VOL_EFF",$L68,IF(Allocation!$N$3="VOL_CLASS",$M68,$N68)))</f>
        <v/>
      </c>
      <c r="AF68" t="str">
        <f>IF($A68="","",IF(Allocation!$N$3="VOL_EFF",$Q68,IF(Allocation!$N$3="VOL_CLASS",$R68,$S68)))</f>
        <v/>
      </c>
      <c r="AG68" t="str">
        <f>IF($A68="","",IF(Allocation!$N$1="VOL_EFF",$Q68,IF(Allocation!$N$1="VOL_CLASS",$R68,$S68)))</f>
        <v/>
      </c>
      <c r="AH68" t="str">
        <f>IF($A68="","",IF(Allocation!$N$1="VOL_EFF",$T68,IF(Allocation!$N$1="VOL_CLASS",$U68,$V68)))</f>
        <v/>
      </c>
      <c r="AI68" t="str">
        <f t="shared" si="31"/>
        <v/>
      </c>
      <c r="AJ68" t="str">
        <f t="shared" si="32"/>
        <v/>
      </c>
      <c r="AK68" t="str">
        <f t="shared" si="33"/>
        <v/>
      </c>
      <c r="AL68" t="str">
        <f t="shared" si="34"/>
        <v/>
      </c>
      <c r="AM68" t="str">
        <f t="shared" si="35"/>
        <v/>
      </c>
      <c r="AN68" t="str">
        <f t="shared" si="36"/>
        <v/>
      </c>
      <c r="AO68" t="str">
        <f>IF($A68="","",Allocation!CJ68)</f>
        <v/>
      </c>
      <c r="AP68" t="str">
        <f>IF($A68="","",IF(Allocation!$N$2="VOL_EFF",$Q68,IF(Allocation!$N$2="VOL_CLASS",$R68,$S68)))</f>
        <v/>
      </c>
      <c r="AQ68" t="str">
        <f>IF($A68="","",IF(Allocation!$N$2="VOL_EFF",$T68,IF(Allocation!$N$2="VOL_CLASS",$U68,$V68)))</f>
        <v/>
      </c>
      <c r="AR68" t="str">
        <f t="shared" si="37"/>
        <v/>
      </c>
      <c r="AS68" t="str">
        <f>IF($A68="","",$A68&amp;"|"&amp;Allocation!BG68)</f>
        <v/>
      </c>
    </row>
    <row r="69" spans="1:45" x14ac:dyDescent="0.45">
      <c r="A69" t="str">
        <f>IF(Allocation!BI69="","",Allocation!BI69)</f>
        <v/>
      </c>
      <c r="B69" t="str">
        <f>IF(Allocation!BJ69="","",Allocation!BJ69)</f>
        <v/>
      </c>
      <c r="C69" t="str">
        <f>IF(Allocation!BK69="","",Allocation!BK69)</f>
        <v/>
      </c>
      <c r="D69" t="str">
        <f>IF(Allocation!BL69="","",Allocation!BL69)</f>
        <v/>
      </c>
      <c r="E69" t="str">
        <f>IF(Allocation!BM69="","",Allocation!BM69)</f>
        <v/>
      </c>
      <c r="F69" t="str">
        <f>IF(Allocation!BN69="","",Allocation!BN69)</f>
        <v/>
      </c>
      <c r="G69" t="str">
        <f>IF(Allocation!BO69="","",Allocation!BO69)</f>
        <v/>
      </c>
      <c r="H69" t="str">
        <f>IF(Allocation!BP69="","",Allocation!BP69)</f>
        <v/>
      </c>
      <c r="I69" t="str">
        <f>IF(Allocation!BQ69="","",Allocation!BQ69)</f>
        <v/>
      </c>
      <c r="J69" t="str">
        <f>IF(Allocation!CC69="","",Allocation!CC69)</f>
        <v/>
      </c>
      <c r="K69" t="str">
        <f t="shared" si="19"/>
        <v/>
      </c>
      <c r="L69" t="str">
        <f t="shared" si="20"/>
        <v/>
      </c>
      <c r="M69" t="str">
        <f t="shared" si="21"/>
        <v/>
      </c>
      <c r="N69" t="str">
        <f t="shared" si="22"/>
        <v/>
      </c>
      <c r="O69" t="str">
        <f t="shared" si="23"/>
        <v/>
      </c>
      <c r="P69" t="str">
        <f t="shared" si="24"/>
        <v/>
      </c>
      <c r="Q69" t="str">
        <f t="shared" si="25"/>
        <v/>
      </c>
      <c r="R69" t="str">
        <f t="shared" si="26"/>
        <v/>
      </c>
      <c r="S69" t="str">
        <f t="shared" si="27"/>
        <v/>
      </c>
      <c r="T69" t="str">
        <f t="shared" si="28"/>
        <v/>
      </c>
      <c r="U69" t="str">
        <f t="shared" si="29"/>
        <v/>
      </c>
      <c r="V69" t="str">
        <f t="shared" si="30"/>
        <v/>
      </c>
      <c r="W69" t="str">
        <f>IF($A69="","",Allocation!CD69)</f>
        <v/>
      </c>
      <c r="X69" t="str">
        <f>IF($A69="","",Allocation!CE69)</f>
        <v/>
      </c>
      <c r="Y69" t="str">
        <f>IF($A69="","",Allocation!CF69)</f>
        <v/>
      </c>
      <c r="Z69" t="str">
        <f>IF($A69="","",Allocation!CG69)</f>
        <v/>
      </c>
      <c r="AA69" t="str">
        <f>IF($A69="","",Allocation!CH69)</f>
        <v/>
      </c>
      <c r="AB69" t="str">
        <f>IF($A69="","",Allocation!CI69)</f>
        <v/>
      </c>
      <c r="AC69" t="str">
        <f>IF($A69="","",IF(Allocation!$N$4="VOL_EFF",$G69,IF(Allocation!$N$4="VOL_CLASS",$H69,$I69)))</f>
        <v/>
      </c>
      <c r="AD69" t="str">
        <f>IF($A69="","",IF(Allocation!$N$4="VOL_EFF",$L69,IF(Allocation!$N$4="VOL_CLASS",$M69,$N69)))</f>
        <v/>
      </c>
      <c r="AE69" t="str">
        <f>IF($A69="","",IF(Allocation!$N$3="VOL_EFF",$L69,IF(Allocation!$N$3="VOL_CLASS",$M69,$N69)))</f>
        <v/>
      </c>
      <c r="AF69" t="str">
        <f>IF($A69="","",IF(Allocation!$N$3="VOL_EFF",$Q69,IF(Allocation!$N$3="VOL_CLASS",$R69,$S69)))</f>
        <v/>
      </c>
      <c r="AG69" t="str">
        <f>IF($A69="","",IF(Allocation!$N$1="VOL_EFF",$Q69,IF(Allocation!$N$1="VOL_CLASS",$R69,$S69)))</f>
        <v/>
      </c>
      <c r="AH69" t="str">
        <f>IF($A69="","",IF(Allocation!$N$1="VOL_EFF",$T69,IF(Allocation!$N$1="VOL_CLASS",$U69,$V69)))</f>
        <v/>
      </c>
      <c r="AI69" t="str">
        <f t="shared" si="31"/>
        <v/>
      </c>
      <c r="AJ69" t="str">
        <f t="shared" si="32"/>
        <v/>
      </c>
      <c r="AK69" t="str">
        <f t="shared" si="33"/>
        <v/>
      </c>
      <c r="AL69" t="str">
        <f t="shared" si="34"/>
        <v/>
      </c>
      <c r="AM69" t="str">
        <f t="shared" si="35"/>
        <v/>
      </c>
      <c r="AN69" t="str">
        <f t="shared" si="36"/>
        <v/>
      </c>
      <c r="AO69" t="str">
        <f>IF($A69="","",Allocation!CJ69)</f>
        <v/>
      </c>
      <c r="AP69" t="str">
        <f>IF($A69="","",IF(Allocation!$N$2="VOL_EFF",$Q69,IF(Allocation!$N$2="VOL_CLASS",$R69,$S69)))</f>
        <v/>
      </c>
      <c r="AQ69" t="str">
        <f>IF($A69="","",IF(Allocation!$N$2="VOL_EFF",$T69,IF(Allocation!$N$2="VOL_CLASS",$U69,$V69)))</f>
        <v/>
      </c>
      <c r="AR69" t="str">
        <f t="shared" si="37"/>
        <v/>
      </c>
      <c r="AS69" t="str">
        <f>IF($A69="","",$A69&amp;"|"&amp;Allocation!BG69)</f>
        <v/>
      </c>
    </row>
    <row r="70" spans="1:45" x14ac:dyDescent="0.45">
      <c r="A70" t="str">
        <f>IF(Allocation!BI70="","",Allocation!BI70)</f>
        <v/>
      </c>
      <c r="B70" t="str">
        <f>IF(Allocation!BJ70="","",Allocation!BJ70)</f>
        <v/>
      </c>
      <c r="C70" t="str">
        <f>IF(Allocation!BK70="","",Allocation!BK70)</f>
        <v/>
      </c>
      <c r="D70" t="str">
        <f>IF(Allocation!BL70="","",Allocation!BL70)</f>
        <v/>
      </c>
      <c r="E70" t="str">
        <f>IF(Allocation!BM70="","",Allocation!BM70)</f>
        <v/>
      </c>
      <c r="F70" t="str">
        <f>IF(Allocation!BN70="","",Allocation!BN70)</f>
        <v/>
      </c>
      <c r="G70" t="str">
        <f>IF(Allocation!BO70="","",Allocation!BO70)</f>
        <v/>
      </c>
      <c r="H70" t="str">
        <f>IF(Allocation!BP70="","",Allocation!BP70)</f>
        <v/>
      </c>
      <c r="I70" t="str">
        <f>IF(Allocation!BQ70="","",Allocation!BQ70)</f>
        <v/>
      </c>
      <c r="J70" t="str">
        <f>IF(Allocation!CC70="","",Allocation!CC70)</f>
        <v/>
      </c>
      <c r="K70" t="str">
        <f t="shared" si="19"/>
        <v/>
      </c>
      <c r="L70" t="str">
        <f t="shared" si="20"/>
        <v/>
      </c>
      <c r="M70" t="str">
        <f t="shared" si="21"/>
        <v/>
      </c>
      <c r="N70" t="str">
        <f t="shared" si="22"/>
        <v/>
      </c>
      <c r="O70" t="str">
        <f t="shared" si="23"/>
        <v/>
      </c>
      <c r="P70" t="str">
        <f t="shared" si="24"/>
        <v/>
      </c>
      <c r="Q70" t="str">
        <f t="shared" si="25"/>
        <v/>
      </c>
      <c r="R70" t="str">
        <f t="shared" si="26"/>
        <v/>
      </c>
      <c r="S70" t="str">
        <f t="shared" si="27"/>
        <v/>
      </c>
      <c r="T70" t="str">
        <f t="shared" si="28"/>
        <v/>
      </c>
      <c r="U70" t="str">
        <f t="shared" si="29"/>
        <v/>
      </c>
      <c r="V70" t="str">
        <f t="shared" si="30"/>
        <v/>
      </c>
      <c r="W70" t="str">
        <f>IF($A70="","",Allocation!CD70)</f>
        <v/>
      </c>
      <c r="X70" t="str">
        <f>IF($A70="","",Allocation!CE70)</f>
        <v/>
      </c>
      <c r="Y70" t="str">
        <f>IF($A70="","",Allocation!CF70)</f>
        <v/>
      </c>
      <c r="Z70" t="str">
        <f>IF($A70="","",Allocation!CG70)</f>
        <v/>
      </c>
      <c r="AA70" t="str">
        <f>IF($A70="","",Allocation!CH70)</f>
        <v/>
      </c>
      <c r="AB70" t="str">
        <f>IF($A70="","",Allocation!CI70)</f>
        <v/>
      </c>
      <c r="AC70" t="str">
        <f>IF($A70="","",IF(Allocation!$N$4="VOL_EFF",$G70,IF(Allocation!$N$4="VOL_CLASS",$H70,$I70)))</f>
        <v/>
      </c>
      <c r="AD70" t="str">
        <f>IF($A70="","",IF(Allocation!$N$4="VOL_EFF",$L70,IF(Allocation!$N$4="VOL_CLASS",$M70,$N70)))</f>
        <v/>
      </c>
      <c r="AE70" t="str">
        <f>IF($A70="","",IF(Allocation!$N$3="VOL_EFF",$L70,IF(Allocation!$N$3="VOL_CLASS",$M70,$N70)))</f>
        <v/>
      </c>
      <c r="AF70" t="str">
        <f>IF($A70="","",IF(Allocation!$N$3="VOL_EFF",$Q70,IF(Allocation!$N$3="VOL_CLASS",$R70,$S70)))</f>
        <v/>
      </c>
      <c r="AG70" t="str">
        <f>IF($A70="","",IF(Allocation!$N$1="VOL_EFF",$Q70,IF(Allocation!$N$1="VOL_CLASS",$R70,$S70)))</f>
        <v/>
      </c>
      <c r="AH70" t="str">
        <f>IF($A70="","",IF(Allocation!$N$1="VOL_EFF",$T70,IF(Allocation!$N$1="VOL_CLASS",$U70,$V70)))</f>
        <v/>
      </c>
      <c r="AI70" t="str">
        <f t="shared" si="31"/>
        <v/>
      </c>
      <c r="AJ70" t="str">
        <f t="shared" si="32"/>
        <v/>
      </c>
      <c r="AK70" t="str">
        <f t="shared" si="33"/>
        <v/>
      </c>
      <c r="AL70" t="str">
        <f t="shared" si="34"/>
        <v/>
      </c>
      <c r="AM70" t="str">
        <f t="shared" si="35"/>
        <v/>
      </c>
      <c r="AN70" t="str">
        <f t="shared" si="36"/>
        <v/>
      </c>
      <c r="AO70" t="str">
        <f>IF($A70="","",Allocation!CJ70)</f>
        <v/>
      </c>
      <c r="AP70" t="str">
        <f>IF($A70="","",IF(Allocation!$N$2="VOL_EFF",$Q70,IF(Allocation!$N$2="VOL_CLASS",$R70,$S70)))</f>
        <v/>
      </c>
      <c r="AQ70" t="str">
        <f>IF($A70="","",IF(Allocation!$N$2="VOL_EFF",$T70,IF(Allocation!$N$2="VOL_CLASS",$U70,$V70)))</f>
        <v/>
      </c>
      <c r="AR70" t="str">
        <f t="shared" si="37"/>
        <v/>
      </c>
      <c r="AS70" t="str">
        <f>IF($A70="","",$A70&amp;"|"&amp;Allocation!BG70)</f>
        <v/>
      </c>
    </row>
    <row r="71" spans="1:45" x14ac:dyDescent="0.45">
      <c r="A71" t="str">
        <f>IF(Allocation!BI71="","",Allocation!BI71)</f>
        <v/>
      </c>
      <c r="B71" t="str">
        <f>IF(Allocation!BJ71="","",Allocation!BJ71)</f>
        <v/>
      </c>
      <c r="C71" t="str">
        <f>IF(Allocation!BK71="","",Allocation!BK71)</f>
        <v/>
      </c>
      <c r="D71" t="str">
        <f>IF(Allocation!BL71="","",Allocation!BL71)</f>
        <v/>
      </c>
      <c r="E71" t="str">
        <f>IF(Allocation!BM71="","",Allocation!BM71)</f>
        <v/>
      </c>
      <c r="F71" t="str">
        <f>IF(Allocation!BN71="","",Allocation!BN71)</f>
        <v/>
      </c>
      <c r="G71" t="str">
        <f>IF(Allocation!BO71="","",Allocation!BO71)</f>
        <v/>
      </c>
      <c r="H71" t="str">
        <f>IF(Allocation!BP71="","",Allocation!BP71)</f>
        <v/>
      </c>
      <c r="I71" t="str">
        <f>IF(Allocation!BQ71="","",Allocation!BQ71)</f>
        <v/>
      </c>
      <c r="J71" t="str">
        <f>IF(Allocation!CC71="","",Allocation!CC71)</f>
        <v/>
      </c>
      <c r="K71" t="str">
        <f t="shared" si="19"/>
        <v/>
      </c>
      <c r="L71" t="str">
        <f t="shared" si="20"/>
        <v/>
      </c>
      <c r="M71" t="str">
        <f t="shared" si="21"/>
        <v/>
      </c>
      <c r="N71" t="str">
        <f t="shared" si="22"/>
        <v/>
      </c>
      <c r="O71" t="str">
        <f t="shared" si="23"/>
        <v/>
      </c>
      <c r="P71" t="str">
        <f t="shared" si="24"/>
        <v/>
      </c>
      <c r="Q71" t="str">
        <f t="shared" si="25"/>
        <v/>
      </c>
      <c r="R71" t="str">
        <f t="shared" si="26"/>
        <v/>
      </c>
      <c r="S71" t="str">
        <f t="shared" si="27"/>
        <v/>
      </c>
      <c r="T71" t="str">
        <f t="shared" si="28"/>
        <v/>
      </c>
      <c r="U71" t="str">
        <f t="shared" si="29"/>
        <v/>
      </c>
      <c r="V71" t="str">
        <f t="shared" si="30"/>
        <v/>
      </c>
      <c r="W71" t="str">
        <f>IF($A71="","",Allocation!CD71)</f>
        <v/>
      </c>
      <c r="X71" t="str">
        <f>IF($A71="","",Allocation!CE71)</f>
        <v/>
      </c>
      <c r="Y71" t="str">
        <f>IF($A71="","",Allocation!CF71)</f>
        <v/>
      </c>
      <c r="Z71" t="str">
        <f>IF($A71="","",Allocation!CG71)</f>
        <v/>
      </c>
      <c r="AA71" t="str">
        <f>IF($A71="","",Allocation!CH71)</f>
        <v/>
      </c>
      <c r="AB71" t="str">
        <f>IF($A71="","",Allocation!CI71)</f>
        <v/>
      </c>
      <c r="AC71" t="str">
        <f>IF($A71="","",IF(Allocation!$N$4="VOL_EFF",$G71,IF(Allocation!$N$4="VOL_CLASS",$H71,$I71)))</f>
        <v/>
      </c>
      <c r="AD71" t="str">
        <f>IF($A71="","",IF(Allocation!$N$4="VOL_EFF",$L71,IF(Allocation!$N$4="VOL_CLASS",$M71,$N71)))</f>
        <v/>
      </c>
      <c r="AE71" t="str">
        <f>IF($A71="","",IF(Allocation!$N$3="VOL_EFF",$L71,IF(Allocation!$N$3="VOL_CLASS",$M71,$N71)))</f>
        <v/>
      </c>
      <c r="AF71" t="str">
        <f>IF($A71="","",IF(Allocation!$N$3="VOL_EFF",$Q71,IF(Allocation!$N$3="VOL_CLASS",$R71,$S71)))</f>
        <v/>
      </c>
      <c r="AG71" t="str">
        <f>IF($A71="","",IF(Allocation!$N$1="VOL_EFF",$Q71,IF(Allocation!$N$1="VOL_CLASS",$R71,$S71)))</f>
        <v/>
      </c>
      <c r="AH71" t="str">
        <f>IF($A71="","",IF(Allocation!$N$1="VOL_EFF",$T71,IF(Allocation!$N$1="VOL_CLASS",$U71,$V71)))</f>
        <v/>
      </c>
      <c r="AI71" t="str">
        <f t="shared" si="31"/>
        <v/>
      </c>
      <c r="AJ71" t="str">
        <f t="shared" si="32"/>
        <v/>
      </c>
      <c r="AK71" t="str">
        <f t="shared" si="33"/>
        <v/>
      </c>
      <c r="AL71" t="str">
        <f t="shared" si="34"/>
        <v/>
      </c>
      <c r="AM71" t="str">
        <f t="shared" si="35"/>
        <v/>
      </c>
      <c r="AN71" t="str">
        <f t="shared" si="36"/>
        <v/>
      </c>
      <c r="AO71" t="str">
        <f>IF($A71="","",Allocation!CJ71)</f>
        <v/>
      </c>
      <c r="AP71" t="str">
        <f>IF($A71="","",IF(Allocation!$N$2="VOL_EFF",$Q71,IF(Allocation!$N$2="VOL_CLASS",$R71,$S71)))</f>
        <v/>
      </c>
      <c r="AQ71" t="str">
        <f>IF($A71="","",IF(Allocation!$N$2="VOL_EFF",$T71,IF(Allocation!$N$2="VOL_CLASS",$U71,$V71)))</f>
        <v/>
      </c>
      <c r="AR71" t="str">
        <f t="shared" si="37"/>
        <v/>
      </c>
      <c r="AS71" t="str">
        <f>IF($A71="","",$A71&amp;"|"&amp;Allocation!BG71)</f>
        <v/>
      </c>
    </row>
    <row r="72" spans="1:45" x14ac:dyDescent="0.45">
      <c r="A72" t="str">
        <f>IF(Allocation!BI72="","",Allocation!BI72)</f>
        <v/>
      </c>
      <c r="B72" t="str">
        <f>IF(Allocation!BJ72="","",Allocation!BJ72)</f>
        <v/>
      </c>
      <c r="C72" t="str">
        <f>IF(Allocation!BK72="","",Allocation!BK72)</f>
        <v/>
      </c>
      <c r="D72" t="str">
        <f>IF(Allocation!BL72="","",Allocation!BL72)</f>
        <v/>
      </c>
      <c r="E72" t="str">
        <f>IF(Allocation!BM72="","",Allocation!BM72)</f>
        <v/>
      </c>
      <c r="F72" t="str">
        <f>IF(Allocation!BN72="","",Allocation!BN72)</f>
        <v/>
      </c>
      <c r="G72" t="str">
        <f>IF(Allocation!BO72="","",Allocation!BO72)</f>
        <v/>
      </c>
      <c r="H72" t="str">
        <f>IF(Allocation!BP72="","",Allocation!BP72)</f>
        <v/>
      </c>
      <c r="I72" t="str">
        <f>IF(Allocation!BQ72="","",Allocation!BQ72)</f>
        <v/>
      </c>
      <c r="J72" t="str">
        <f>IF(Allocation!CC72="","",Allocation!CC72)</f>
        <v/>
      </c>
      <c r="K72" t="str">
        <f t="shared" si="19"/>
        <v/>
      </c>
      <c r="L72" t="str">
        <f t="shared" si="20"/>
        <v/>
      </c>
      <c r="M72" t="str">
        <f t="shared" si="21"/>
        <v/>
      </c>
      <c r="N72" t="str">
        <f t="shared" si="22"/>
        <v/>
      </c>
      <c r="O72" t="str">
        <f t="shared" si="23"/>
        <v/>
      </c>
      <c r="P72" t="str">
        <f t="shared" si="24"/>
        <v/>
      </c>
      <c r="Q72" t="str">
        <f t="shared" si="25"/>
        <v/>
      </c>
      <c r="R72" t="str">
        <f t="shared" si="26"/>
        <v/>
      </c>
      <c r="S72" t="str">
        <f t="shared" si="27"/>
        <v/>
      </c>
      <c r="T72" t="str">
        <f t="shared" si="28"/>
        <v/>
      </c>
      <c r="U72" t="str">
        <f t="shared" si="29"/>
        <v/>
      </c>
      <c r="V72" t="str">
        <f t="shared" si="30"/>
        <v/>
      </c>
      <c r="W72" t="str">
        <f>IF($A72="","",Allocation!CD72)</f>
        <v/>
      </c>
      <c r="X72" t="str">
        <f>IF($A72="","",Allocation!CE72)</f>
        <v/>
      </c>
      <c r="Y72" t="str">
        <f>IF($A72="","",Allocation!CF72)</f>
        <v/>
      </c>
      <c r="Z72" t="str">
        <f>IF($A72="","",Allocation!CG72)</f>
        <v/>
      </c>
      <c r="AA72" t="str">
        <f>IF($A72="","",Allocation!CH72)</f>
        <v/>
      </c>
      <c r="AB72" t="str">
        <f>IF($A72="","",Allocation!CI72)</f>
        <v/>
      </c>
      <c r="AC72" t="str">
        <f>IF($A72="","",IF(Allocation!$N$4="VOL_EFF",$G72,IF(Allocation!$N$4="VOL_CLASS",$H72,$I72)))</f>
        <v/>
      </c>
      <c r="AD72" t="str">
        <f>IF($A72="","",IF(Allocation!$N$4="VOL_EFF",$L72,IF(Allocation!$N$4="VOL_CLASS",$M72,$N72)))</f>
        <v/>
      </c>
      <c r="AE72" t="str">
        <f>IF($A72="","",IF(Allocation!$N$3="VOL_EFF",$L72,IF(Allocation!$N$3="VOL_CLASS",$M72,$N72)))</f>
        <v/>
      </c>
      <c r="AF72" t="str">
        <f>IF($A72="","",IF(Allocation!$N$3="VOL_EFF",$Q72,IF(Allocation!$N$3="VOL_CLASS",$R72,$S72)))</f>
        <v/>
      </c>
      <c r="AG72" t="str">
        <f>IF($A72="","",IF(Allocation!$N$1="VOL_EFF",$Q72,IF(Allocation!$N$1="VOL_CLASS",$R72,$S72)))</f>
        <v/>
      </c>
      <c r="AH72" t="str">
        <f>IF($A72="","",IF(Allocation!$N$1="VOL_EFF",$T72,IF(Allocation!$N$1="VOL_CLASS",$U72,$V72)))</f>
        <v/>
      </c>
      <c r="AI72" t="str">
        <f t="shared" si="31"/>
        <v/>
      </c>
      <c r="AJ72" t="str">
        <f t="shared" si="32"/>
        <v/>
      </c>
      <c r="AK72" t="str">
        <f t="shared" si="33"/>
        <v/>
      </c>
      <c r="AL72" t="str">
        <f t="shared" si="34"/>
        <v/>
      </c>
      <c r="AM72" t="str">
        <f t="shared" si="35"/>
        <v/>
      </c>
      <c r="AN72" t="str">
        <f t="shared" si="36"/>
        <v/>
      </c>
      <c r="AO72" t="str">
        <f>IF($A72="","",Allocation!CJ72)</f>
        <v/>
      </c>
      <c r="AP72" t="str">
        <f>IF($A72="","",IF(Allocation!$N$2="VOL_EFF",$Q72,IF(Allocation!$N$2="VOL_CLASS",$R72,$S72)))</f>
        <v/>
      </c>
      <c r="AQ72" t="str">
        <f>IF($A72="","",IF(Allocation!$N$2="VOL_EFF",$T72,IF(Allocation!$N$2="VOL_CLASS",$U72,$V72)))</f>
        <v/>
      </c>
      <c r="AR72" t="str">
        <f t="shared" si="37"/>
        <v/>
      </c>
      <c r="AS72" t="str">
        <f>IF($A72="","",$A72&amp;"|"&amp;Allocation!BG72)</f>
        <v/>
      </c>
    </row>
    <row r="73" spans="1:45" x14ac:dyDescent="0.45">
      <c r="A73" t="str">
        <f>IF(Allocation!BI73="","",Allocation!BI73)</f>
        <v/>
      </c>
      <c r="B73" t="str">
        <f>IF(Allocation!BJ73="","",Allocation!BJ73)</f>
        <v/>
      </c>
      <c r="C73" t="str">
        <f>IF(Allocation!BK73="","",Allocation!BK73)</f>
        <v/>
      </c>
      <c r="D73" t="str">
        <f>IF(Allocation!BL73="","",Allocation!BL73)</f>
        <v/>
      </c>
      <c r="E73" t="str">
        <f>IF(Allocation!BM73="","",Allocation!BM73)</f>
        <v/>
      </c>
      <c r="F73" t="str">
        <f>IF(Allocation!BN73="","",Allocation!BN73)</f>
        <v/>
      </c>
      <c r="G73" t="str">
        <f>IF(Allocation!BO73="","",Allocation!BO73)</f>
        <v/>
      </c>
      <c r="H73" t="str">
        <f>IF(Allocation!BP73="","",Allocation!BP73)</f>
        <v/>
      </c>
      <c r="I73" t="str">
        <f>IF(Allocation!BQ73="","",Allocation!BQ73)</f>
        <v/>
      </c>
      <c r="J73" t="str">
        <f>IF(Allocation!CC73="","",Allocation!CC73)</f>
        <v/>
      </c>
      <c r="K73" t="str">
        <f t="shared" si="19"/>
        <v/>
      </c>
      <c r="L73" t="str">
        <f t="shared" si="20"/>
        <v/>
      </c>
      <c r="M73" t="str">
        <f t="shared" si="21"/>
        <v/>
      </c>
      <c r="N73" t="str">
        <f t="shared" si="22"/>
        <v/>
      </c>
      <c r="O73" t="str">
        <f t="shared" si="23"/>
        <v/>
      </c>
      <c r="P73" t="str">
        <f t="shared" si="24"/>
        <v/>
      </c>
      <c r="Q73" t="str">
        <f t="shared" si="25"/>
        <v/>
      </c>
      <c r="R73" t="str">
        <f t="shared" si="26"/>
        <v/>
      </c>
      <c r="S73" t="str">
        <f t="shared" si="27"/>
        <v/>
      </c>
      <c r="T73" t="str">
        <f t="shared" si="28"/>
        <v/>
      </c>
      <c r="U73" t="str">
        <f t="shared" si="29"/>
        <v/>
      </c>
      <c r="V73" t="str">
        <f t="shared" si="30"/>
        <v/>
      </c>
      <c r="W73" t="str">
        <f>IF($A73="","",Allocation!CD73)</f>
        <v/>
      </c>
      <c r="X73" t="str">
        <f>IF($A73="","",Allocation!CE73)</f>
        <v/>
      </c>
      <c r="Y73" t="str">
        <f>IF($A73="","",Allocation!CF73)</f>
        <v/>
      </c>
      <c r="Z73" t="str">
        <f>IF($A73="","",Allocation!CG73)</f>
        <v/>
      </c>
      <c r="AA73" t="str">
        <f>IF($A73="","",Allocation!CH73)</f>
        <v/>
      </c>
      <c r="AB73" t="str">
        <f>IF($A73="","",Allocation!CI73)</f>
        <v/>
      </c>
      <c r="AC73" t="str">
        <f>IF($A73="","",IF(Allocation!$N$4="VOL_EFF",$G73,IF(Allocation!$N$4="VOL_CLASS",$H73,$I73)))</f>
        <v/>
      </c>
      <c r="AD73" t="str">
        <f>IF($A73="","",IF(Allocation!$N$4="VOL_EFF",$L73,IF(Allocation!$N$4="VOL_CLASS",$M73,$N73)))</f>
        <v/>
      </c>
      <c r="AE73" t="str">
        <f>IF($A73="","",IF(Allocation!$N$3="VOL_EFF",$L73,IF(Allocation!$N$3="VOL_CLASS",$M73,$N73)))</f>
        <v/>
      </c>
      <c r="AF73" t="str">
        <f>IF($A73="","",IF(Allocation!$N$3="VOL_EFF",$Q73,IF(Allocation!$N$3="VOL_CLASS",$R73,$S73)))</f>
        <v/>
      </c>
      <c r="AG73" t="str">
        <f>IF($A73="","",IF(Allocation!$N$1="VOL_EFF",$Q73,IF(Allocation!$N$1="VOL_CLASS",$R73,$S73)))</f>
        <v/>
      </c>
      <c r="AH73" t="str">
        <f>IF($A73="","",IF(Allocation!$N$1="VOL_EFF",$T73,IF(Allocation!$N$1="VOL_CLASS",$U73,$V73)))</f>
        <v/>
      </c>
      <c r="AI73" t="str">
        <f t="shared" si="31"/>
        <v/>
      </c>
      <c r="AJ73" t="str">
        <f t="shared" si="32"/>
        <v/>
      </c>
      <c r="AK73" t="str">
        <f t="shared" si="33"/>
        <v/>
      </c>
      <c r="AL73" t="str">
        <f t="shared" si="34"/>
        <v/>
      </c>
      <c r="AM73" t="str">
        <f t="shared" si="35"/>
        <v/>
      </c>
      <c r="AN73" t="str">
        <f t="shared" si="36"/>
        <v/>
      </c>
      <c r="AO73" t="str">
        <f>IF($A73="","",Allocation!CJ73)</f>
        <v/>
      </c>
      <c r="AP73" t="str">
        <f>IF($A73="","",IF(Allocation!$N$2="VOL_EFF",$Q73,IF(Allocation!$N$2="VOL_CLASS",$R73,$S73)))</f>
        <v/>
      </c>
      <c r="AQ73" t="str">
        <f>IF($A73="","",IF(Allocation!$N$2="VOL_EFF",$T73,IF(Allocation!$N$2="VOL_CLASS",$U73,$V73)))</f>
        <v/>
      </c>
      <c r="AR73" t="str">
        <f t="shared" si="37"/>
        <v/>
      </c>
      <c r="AS73" t="str">
        <f>IF($A73="","",$A73&amp;"|"&amp;Allocation!BG73)</f>
        <v/>
      </c>
    </row>
    <row r="74" spans="1:45" x14ac:dyDescent="0.45">
      <c r="A74" t="str">
        <f>IF(Allocation!BI74="","",Allocation!BI74)</f>
        <v/>
      </c>
      <c r="B74" t="str">
        <f>IF(Allocation!BJ74="","",Allocation!BJ74)</f>
        <v/>
      </c>
      <c r="C74" t="str">
        <f>IF(Allocation!BK74="","",Allocation!BK74)</f>
        <v/>
      </c>
      <c r="D74" t="str">
        <f>IF(Allocation!BL74="","",Allocation!BL74)</f>
        <v/>
      </c>
      <c r="E74" t="str">
        <f>IF(Allocation!BM74="","",Allocation!BM74)</f>
        <v/>
      </c>
      <c r="F74" t="str">
        <f>IF(Allocation!BN74="","",Allocation!BN74)</f>
        <v/>
      </c>
      <c r="G74" t="str">
        <f>IF(Allocation!BO74="","",Allocation!BO74)</f>
        <v/>
      </c>
      <c r="H74" t="str">
        <f>IF(Allocation!BP74="","",Allocation!BP74)</f>
        <v/>
      </c>
      <c r="I74" t="str">
        <f>IF(Allocation!BQ74="","",Allocation!BQ74)</f>
        <v/>
      </c>
      <c r="J74" t="str">
        <f>IF(Allocation!CC74="","",Allocation!CC74)</f>
        <v/>
      </c>
      <c r="K74" t="str">
        <f t="shared" si="19"/>
        <v/>
      </c>
      <c r="L74" t="str">
        <f t="shared" si="20"/>
        <v/>
      </c>
      <c r="M74" t="str">
        <f t="shared" si="21"/>
        <v/>
      </c>
      <c r="N74" t="str">
        <f t="shared" si="22"/>
        <v/>
      </c>
      <c r="O74" t="str">
        <f t="shared" si="23"/>
        <v/>
      </c>
      <c r="P74" t="str">
        <f t="shared" si="24"/>
        <v/>
      </c>
      <c r="Q74" t="str">
        <f t="shared" si="25"/>
        <v/>
      </c>
      <c r="R74" t="str">
        <f t="shared" si="26"/>
        <v/>
      </c>
      <c r="S74" t="str">
        <f t="shared" si="27"/>
        <v/>
      </c>
      <c r="T74" t="str">
        <f t="shared" si="28"/>
        <v/>
      </c>
      <c r="U74" t="str">
        <f t="shared" si="29"/>
        <v/>
      </c>
      <c r="V74" t="str">
        <f t="shared" si="30"/>
        <v/>
      </c>
      <c r="W74" t="str">
        <f>IF($A74="","",Allocation!CD74)</f>
        <v/>
      </c>
      <c r="X74" t="str">
        <f>IF($A74="","",Allocation!CE74)</f>
        <v/>
      </c>
      <c r="Y74" t="str">
        <f>IF($A74="","",Allocation!CF74)</f>
        <v/>
      </c>
      <c r="Z74" t="str">
        <f>IF($A74="","",Allocation!CG74)</f>
        <v/>
      </c>
      <c r="AA74" t="str">
        <f>IF($A74="","",Allocation!CH74)</f>
        <v/>
      </c>
      <c r="AB74" t="str">
        <f>IF($A74="","",Allocation!CI74)</f>
        <v/>
      </c>
      <c r="AC74" t="str">
        <f>IF($A74="","",IF(Allocation!$N$4="VOL_EFF",$G74,IF(Allocation!$N$4="VOL_CLASS",$H74,$I74)))</f>
        <v/>
      </c>
      <c r="AD74" t="str">
        <f>IF($A74="","",IF(Allocation!$N$4="VOL_EFF",$L74,IF(Allocation!$N$4="VOL_CLASS",$M74,$N74)))</f>
        <v/>
      </c>
      <c r="AE74" t="str">
        <f>IF($A74="","",IF(Allocation!$N$3="VOL_EFF",$L74,IF(Allocation!$N$3="VOL_CLASS",$M74,$N74)))</f>
        <v/>
      </c>
      <c r="AF74" t="str">
        <f>IF($A74="","",IF(Allocation!$N$3="VOL_EFF",$Q74,IF(Allocation!$N$3="VOL_CLASS",$R74,$S74)))</f>
        <v/>
      </c>
      <c r="AG74" t="str">
        <f>IF($A74="","",IF(Allocation!$N$1="VOL_EFF",$Q74,IF(Allocation!$N$1="VOL_CLASS",$R74,$S74)))</f>
        <v/>
      </c>
      <c r="AH74" t="str">
        <f>IF($A74="","",IF(Allocation!$N$1="VOL_EFF",$T74,IF(Allocation!$N$1="VOL_CLASS",$U74,$V74)))</f>
        <v/>
      </c>
      <c r="AI74" t="str">
        <f t="shared" si="31"/>
        <v/>
      </c>
      <c r="AJ74" t="str">
        <f t="shared" si="32"/>
        <v/>
      </c>
      <c r="AK74" t="str">
        <f t="shared" si="33"/>
        <v/>
      </c>
      <c r="AL74" t="str">
        <f t="shared" si="34"/>
        <v/>
      </c>
      <c r="AM74" t="str">
        <f t="shared" si="35"/>
        <v/>
      </c>
      <c r="AN74" t="str">
        <f t="shared" si="36"/>
        <v/>
      </c>
      <c r="AO74" t="str">
        <f>IF($A74="","",Allocation!CJ74)</f>
        <v/>
      </c>
      <c r="AP74" t="str">
        <f>IF($A74="","",IF(Allocation!$N$2="VOL_EFF",$Q74,IF(Allocation!$N$2="VOL_CLASS",$R74,$S74)))</f>
        <v/>
      </c>
      <c r="AQ74" t="str">
        <f>IF($A74="","",IF(Allocation!$N$2="VOL_EFF",$T74,IF(Allocation!$N$2="VOL_CLASS",$U74,$V74)))</f>
        <v/>
      </c>
      <c r="AR74" t="str">
        <f t="shared" si="37"/>
        <v/>
      </c>
      <c r="AS74" t="str">
        <f>IF($A74="","",$A74&amp;"|"&amp;Allocation!BG74)</f>
        <v/>
      </c>
    </row>
    <row r="75" spans="1:45" x14ac:dyDescent="0.45">
      <c r="A75" t="str">
        <f>IF(Allocation!BI75="","",Allocation!BI75)</f>
        <v/>
      </c>
      <c r="B75" t="str">
        <f>IF(Allocation!BJ75="","",Allocation!BJ75)</f>
        <v/>
      </c>
      <c r="C75" t="str">
        <f>IF(Allocation!BK75="","",Allocation!BK75)</f>
        <v/>
      </c>
      <c r="D75" t="str">
        <f>IF(Allocation!BL75="","",Allocation!BL75)</f>
        <v/>
      </c>
      <c r="E75" t="str">
        <f>IF(Allocation!BM75="","",Allocation!BM75)</f>
        <v/>
      </c>
      <c r="F75" t="str">
        <f>IF(Allocation!BN75="","",Allocation!BN75)</f>
        <v/>
      </c>
      <c r="G75" t="str">
        <f>IF(Allocation!BO75="","",Allocation!BO75)</f>
        <v/>
      </c>
      <c r="H75" t="str">
        <f>IF(Allocation!BP75="","",Allocation!BP75)</f>
        <v/>
      </c>
      <c r="I75" t="str">
        <f>IF(Allocation!BQ75="","",Allocation!BQ75)</f>
        <v/>
      </c>
      <c r="J75" t="str">
        <f>IF(Allocation!CC75="","",Allocation!CC75)</f>
        <v/>
      </c>
      <c r="K75" t="str">
        <f t="shared" si="19"/>
        <v/>
      </c>
      <c r="L75" t="str">
        <f t="shared" si="20"/>
        <v/>
      </c>
      <c r="M75" t="str">
        <f t="shared" si="21"/>
        <v/>
      </c>
      <c r="N75" t="str">
        <f t="shared" si="22"/>
        <v/>
      </c>
      <c r="O75" t="str">
        <f t="shared" si="23"/>
        <v/>
      </c>
      <c r="P75" t="str">
        <f t="shared" si="24"/>
        <v/>
      </c>
      <c r="Q75" t="str">
        <f t="shared" si="25"/>
        <v/>
      </c>
      <c r="R75" t="str">
        <f t="shared" si="26"/>
        <v/>
      </c>
      <c r="S75" t="str">
        <f t="shared" si="27"/>
        <v/>
      </c>
      <c r="T75" t="str">
        <f t="shared" si="28"/>
        <v/>
      </c>
      <c r="U75" t="str">
        <f t="shared" si="29"/>
        <v/>
      </c>
      <c r="V75" t="str">
        <f t="shared" si="30"/>
        <v/>
      </c>
      <c r="W75" t="str">
        <f>IF($A75="","",Allocation!CD75)</f>
        <v/>
      </c>
      <c r="X75" t="str">
        <f>IF($A75="","",Allocation!CE75)</f>
        <v/>
      </c>
      <c r="Y75" t="str">
        <f>IF($A75="","",Allocation!CF75)</f>
        <v/>
      </c>
      <c r="Z75" t="str">
        <f>IF($A75="","",Allocation!CG75)</f>
        <v/>
      </c>
      <c r="AA75" t="str">
        <f>IF($A75="","",Allocation!CH75)</f>
        <v/>
      </c>
      <c r="AB75" t="str">
        <f>IF($A75="","",Allocation!CI75)</f>
        <v/>
      </c>
      <c r="AC75" t="str">
        <f>IF($A75="","",IF(Allocation!$N$4="VOL_EFF",$G75,IF(Allocation!$N$4="VOL_CLASS",$H75,$I75)))</f>
        <v/>
      </c>
      <c r="AD75" t="str">
        <f>IF($A75="","",IF(Allocation!$N$4="VOL_EFF",$L75,IF(Allocation!$N$4="VOL_CLASS",$M75,$N75)))</f>
        <v/>
      </c>
      <c r="AE75" t="str">
        <f>IF($A75="","",IF(Allocation!$N$3="VOL_EFF",$L75,IF(Allocation!$N$3="VOL_CLASS",$M75,$N75)))</f>
        <v/>
      </c>
      <c r="AF75" t="str">
        <f>IF($A75="","",IF(Allocation!$N$3="VOL_EFF",$Q75,IF(Allocation!$N$3="VOL_CLASS",$R75,$S75)))</f>
        <v/>
      </c>
      <c r="AG75" t="str">
        <f>IF($A75="","",IF(Allocation!$N$1="VOL_EFF",$Q75,IF(Allocation!$N$1="VOL_CLASS",$R75,$S75)))</f>
        <v/>
      </c>
      <c r="AH75" t="str">
        <f>IF($A75="","",IF(Allocation!$N$1="VOL_EFF",$T75,IF(Allocation!$N$1="VOL_CLASS",$U75,$V75)))</f>
        <v/>
      </c>
      <c r="AI75" t="str">
        <f t="shared" si="31"/>
        <v/>
      </c>
      <c r="AJ75" t="str">
        <f t="shared" si="32"/>
        <v/>
      </c>
      <c r="AK75" t="str">
        <f t="shared" si="33"/>
        <v/>
      </c>
      <c r="AL75" t="str">
        <f t="shared" si="34"/>
        <v/>
      </c>
      <c r="AM75" t="str">
        <f t="shared" si="35"/>
        <v/>
      </c>
      <c r="AN75" t="str">
        <f t="shared" si="36"/>
        <v/>
      </c>
      <c r="AO75" t="str">
        <f>IF($A75="","",Allocation!CJ75)</f>
        <v/>
      </c>
      <c r="AP75" t="str">
        <f>IF($A75="","",IF(Allocation!$N$2="VOL_EFF",$Q75,IF(Allocation!$N$2="VOL_CLASS",$R75,$S75)))</f>
        <v/>
      </c>
      <c r="AQ75" t="str">
        <f>IF($A75="","",IF(Allocation!$N$2="VOL_EFF",$T75,IF(Allocation!$N$2="VOL_CLASS",$U75,$V75)))</f>
        <v/>
      </c>
      <c r="AR75" t="str">
        <f t="shared" si="37"/>
        <v/>
      </c>
      <c r="AS75" t="str">
        <f>IF($A75="","",$A75&amp;"|"&amp;Allocation!BG75)</f>
        <v/>
      </c>
    </row>
    <row r="76" spans="1:45" x14ac:dyDescent="0.45">
      <c r="A76" t="str">
        <f>IF(Allocation!BI76="","",Allocation!BI76)</f>
        <v/>
      </c>
      <c r="B76" t="str">
        <f>IF(Allocation!BJ76="","",Allocation!BJ76)</f>
        <v/>
      </c>
      <c r="C76" t="str">
        <f>IF(Allocation!BK76="","",Allocation!BK76)</f>
        <v/>
      </c>
      <c r="D76" t="str">
        <f>IF(Allocation!BL76="","",Allocation!BL76)</f>
        <v/>
      </c>
      <c r="E76" t="str">
        <f>IF(Allocation!BM76="","",Allocation!BM76)</f>
        <v/>
      </c>
      <c r="F76" t="str">
        <f>IF(Allocation!BN76="","",Allocation!BN76)</f>
        <v/>
      </c>
      <c r="G76" t="str">
        <f>IF(Allocation!BO76="","",Allocation!BO76)</f>
        <v/>
      </c>
      <c r="H76" t="str">
        <f>IF(Allocation!BP76="","",Allocation!BP76)</f>
        <v/>
      </c>
      <c r="I76" t="str">
        <f>IF(Allocation!BQ76="","",Allocation!BQ76)</f>
        <v/>
      </c>
      <c r="J76" t="str">
        <f>IF(Allocation!CC76="","",Allocation!CC76)</f>
        <v/>
      </c>
      <c r="K76" t="str">
        <f t="shared" si="19"/>
        <v/>
      </c>
      <c r="L76" t="str">
        <f t="shared" si="20"/>
        <v/>
      </c>
      <c r="M76" t="str">
        <f t="shared" si="21"/>
        <v/>
      </c>
      <c r="N76" t="str">
        <f t="shared" si="22"/>
        <v/>
      </c>
      <c r="O76" t="str">
        <f t="shared" si="23"/>
        <v/>
      </c>
      <c r="P76" t="str">
        <f t="shared" si="24"/>
        <v/>
      </c>
      <c r="Q76" t="str">
        <f t="shared" si="25"/>
        <v/>
      </c>
      <c r="R76" t="str">
        <f t="shared" si="26"/>
        <v/>
      </c>
      <c r="S76" t="str">
        <f t="shared" si="27"/>
        <v/>
      </c>
      <c r="T76" t="str">
        <f t="shared" si="28"/>
        <v/>
      </c>
      <c r="U76" t="str">
        <f t="shared" si="29"/>
        <v/>
      </c>
      <c r="V76" t="str">
        <f t="shared" si="30"/>
        <v/>
      </c>
      <c r="W76" t="str">
        <f>IF($A76="","",Allocation!CD76)</f>
        <v/>
      </c>
      <c r="X76" t="str">
        <f>IF($A76="","",Allocation!CE76)</f>
        <v/>
      </c>
      <c r="Y76" t="str">
        <f>IF($A76="","",Allocation!CF76)</f>
        <v/>
      </c>
      <c r="Z76" t="str">
        <f>IF($A76="","",Allocation!CG76)</f>
        <v/>
      </c>
      <c r="AA76" t="str">
        <f>IF($A76="","",Allocation!CH76)</f>
        <v/>
      </c>
      <c r="AB76" t="str">
        <f>IF($A76="","",Allocation!CI76)</f>
        <v/>
      </c>
      <c r="AC76" t="str">
        <f>IF($A76="","",IF(Allocation!$N$4="VOL_EFF",$G76,IF(Allocation!$N$4="VOL_CLASS",$H76,$I76)))</f>
        <v/>
      </c>
      <c r="AD76" t="str">
        <f>IF($A76="","",IF(Allocation!$N$4="VOL_EFF",$L76,IF(Allocation!$N$4="VOL_CLASS",$M76,$N76)))</f>
        <v/>
      </c>
      <c r="AE76" t="str">
        <f>IF($A76="","",IF(Allocation!$N$3="VOL_EFF",$L76,IF(Allocation!$N$3="VOL_CLASS",$M76,$N76)))</f>
        <v/>
      </c>
      <c r="AF76" t="str">
        <f>IF($A76="","",IF(Allocation!$N$3="VOL_EFF",$Q76,IF(Allocation!$N$3="VOL_CLASS",$R76,$S76)))</f>
        <v/>
      </c>
      <c r="AG76" t="str">
        <f>IF($A76="","",IF(Allocation!$N$1="VOL_EFF",$Q76,IF(Allocation!$N$1="VOL_CLASS",$R76,$S76)))</f>
        <v/>
      </c>
      <c r="AH76" t="str">
        <f>IF($A76="","",IF(Allocation!$N$1="VOL_EFF",$T76,IF(Allocation!$N$1="VOL_CLASS",$U76,$V76)))</f>
        <v/>
      </c>
      <c r="AI76" t="str">
        <f t="shared" si="31"/>
        <v/>
      </c>
      <c r="AJ76" t="str">
        <f t="shared" si="32"/>
        <v/>
      </c>
      <c r="AK76" t="str">
        <f t="shared" si="33"/>
        <v/>
      </c>
      <c r="AL76" t="str">
        <f t="shared" si="34"/>
        <v/>
      </c>
      <c r="AM76" t="str">
        <f t="shared" si="35"/>
        <v/>
      </c>
      <c r="AN76" t="str">
        <f t="shared" si="36"/>
        <v/>
      </c>
      <c r="AO76" t="str">
        <f>IF($A76="","",Allocation!CJ76)</f>
        <v/>
      </c>
      <c r="AP76" t="str">
        <f>IF($A76="","",IF(Allocation!$N$2="VOL_EFF",$Q76,IF(Allocation!$N$2="VOL_CLASS",$R76,$S76)))</f>
        <v/>
      </c>
      <c r="AQ76" t="str">
        <f>IF($A76="","",IF(Allocation!$N$2="VOL_EFF",$T76,IF(Allocation!$N$2="VOL_CLASS",$U76,$V76)))</f>
        <v/>
      </c>
      <c r="AR76" t="str">
        <f t="shared" si="37"/>
        <v/>
      </c>
      <c r="AS76" t="str">
        <f>IF($A76="","",$A76&amp;"|"&amp;Allocation!BG76)</f>
        <v/>
      </c>
    </row>
    <row r="77" spans="1:45" x14ac:dyDescent="0.45">
      <c r="A77" t="str">
        <f>IF(Allocation!BI77="","",Allocation!BI77)</f>
        <v/>
      </c>
      <c r="B77" t="str">
        <f>IF(Allocation!BJ77="","",Allocation!BJ77)</f>
        <v/>
      </c>
      <c r="C77" t="str">
        <f>IF(Allocation!BK77="","",Allocation!BK77)</f>
        <v/>
      </c>
      <c r="D77" t="str">
        <f>IF(Allocation!BL77="","",Allocation!BL77)</f>
        <v/>
      </c>
      <c r="E77" t="str">
        <f>IF(Allocation!BM77="","",Allocation!BM77)</f>
        <v/>
      </c>
      <c r="F77" t="str">
        <f>IF(Allocation!BN77="","",Allocation!BN77)</f>
        <v/>
      </c>
      <c r="G77" t="str">
        <f>IF(Allocation!BO77="","",Allocation!BO77)</f>
        <v/>
      </c>
      <c r="H77" t="str">
        <f>IF(Allocation!BP77="","",Allocation!BP77)</f>
        <v/>
      </c>
      <c r="I77" t="str">
        <f>IF(Allocation!BQ77="","",Allocation!BQ77)</f>
        <v/>
      </c>
      <c r="J77" t="str">
        <f>IF(Allocation!CC77="","",Allocation!CC77)</f>
        <v/>
      </c>
      <c r="K77" t="str">
        <f t="shared" si="19"/>
        <v/>
      </c>
      <c r="L77" t="str">
        <f t="shared" si="20"/>
        <v/>
      </c>
      <c r="M77" t="str">
        <f t="shared" si="21"/>
        <v/>
      </c>
      <c r="N77" t="str">
        <f t="shared" si="22"/>
        <v/>
      </c>
      <c r="O77" t="str">
        <f t="shared" si="23"/>
        <v/>
      </c>
      <c r="P77" t="str">
        <f t="shared" si="24"/>
        <v/>
      </c>
      <c r="Q77" t="str">
        <f t="shared" si="25"/>
        <v/>
      </c>
      <c r="R77" t="str">
        <f t="shared" si="26"/>
        <v/>
      </c>
      <c r="S77" t="str">
        <f t="shared" si="27"/>
        <v/>
      </c>
      <c r="T77" t="str">
        <f t="shared" si="28"/>
        <v/>
      </c>
      <c r="U77" t="str">
        <f t="shared" si="29"/>
        <v/>
      </c>
      <c r="V77" t="str">
        <f t="shared" si="30"/>
        <v/>
      </c>
      <c r="W77" t="str">
        <f>IF($A77="","",Allocation!CD77)</f>
        <v/>
      </c>
      <c r="X77" t="str">
        <f>IF($A77="","",Allocation!CE77)</f>
        <v/>
      </c>
      <c r="Y77" t="str">
        <f>IF($A77="","",Allocation!CF77)</f>
        <v/>
      </c>
      <c r="Z77" t="str">
        <f>IF($A77="","",Allocation!CG77)</f>
        <v/>
      </c>
      <c r="AA77" t="str">
        <f>IF($A77="","",Allocation!CH77)</f>
        <v/>
      </c>
      <c r="AB77" t="str">
        <f>IF($A77="","",Allocation!CI77)</f>
        <v/>
      </c>
      <c r="AC77" t="str">
        <f>IF($A77="","",IF(Allocation!$N$4="VOL_EFF",$G77,IF(Allocation!$N$4="VOL_CLASS",$H77,$I77)))</f>
        <v/>
      </c>
      <c r="AD77" t="str">
        <f>IF($A77="","",IF(Allocation!$N$4="VOL_EFF",$L77,IF(Allocation!$N$4="VOL_CLASS",$M77,$N77)))</f>
        <v/>
      </c>
      <c r="AE77" t="str">
        <f>IF($A77="","",IF(Allocation!$N$3="VOL_EFF",$L77,IF(Allocation!$N$3="VOL_CLASS",$M77,$N77)))</f>
        <v/>
      </c>
      <c r="AF77" t="str">
        <f>IF($A77="","",IF(Allocation!$N$3="VOL_EFF",$Q77,IF(Allocation!$N$3="VOL_CLASS",$R77,$S77)))</f>
        <v/>
      </c>
      <c r="AG77" t="str">
        <f>IF($A77="","",IF(Allocation!$N$1="VOL_EFF",$Q77,IF(Allocation!$N$1="VOL_CLASS",$R77,$S77)))</f>
        <v/>
      </c>
      <c r="AH77" t="str">
        <f>IF($A77="","",IF(Allocation!$N$1="VOL_EFF",$T77,IF(Allocation!$N$1="VOL_CLASS",$U77,$V77)))</f>
        <v/>
      </c>
      <c r="AI77" t="str">
        <f t="shared" si="31"/>
        <v/>
      </c>
      <c r="AJ77" t="str">
        <f t="shared" si="32"/>
        <v/>
      </c>
      <c r="AK77" t="str">
        <f t="shared" si="33"/>
        <v/>
      </c>
      <c r="AL77" t="str">
        <f t="shared" si="34"/>
        <v/>
      </c>
      <c r="AM77" t="str">
        <f t="shared" si="35"/>
        <v/>
      </c>
      <c r="AN77" t="str">
        <f t="shared" si="36"/>
        <v/>
      </c>
      <c r="AO77" t="str">
        <f>IF($A77="","",Allocation!CJ77)</f>
        <v/>
      </c>
      <c r="AP77" t="str">
        <f>IF($A77="","",IF(Allocation!$N$2="VOL_EFF",$Q77,IF(Allocation!$N$2="VOL_CLASS",$R77,$S77)))</f>
        <v/>
      </c>
      <c r="AQ77" t="str">
        <f>IF($A77="","",IF(Allocation!$N$2="VOL_EFF",$T77,IF(Allocation!$N$2="VOL_CLASS",$U77,$V77)))</f>
        <v/>
      </c>
      <c r="AR77" t="str">
        <f t="shared" si="37"/>
        <v/>
      </c>
      <c r="AS77" t="str">
        <f>IF($A77="","",$A77&amp;"|"&amp;Allocation!BG77)</f>
        <v/>
      </c>
    </row>
    <row r="78" spans="1:45" x14ac:dyDescent="0.45">
      <c r="A78" t="str">
        <f>IF(Allocation!BI78="","",Allocation!BI78)</f>
        <v/>
      </c>
      <c r="B78" t="str">
        <f>IF(Allocation!BJ78="","",Allocation!BJ78)</f>
        <v/>
      </c>
      <c r="C78" t="str">
        <f>IF(Allocation!BK78="","",Allocation!BK78)</f>
        <v/>
      </c>
      <c r="D78" t="str">
        <f>IF(Allocation!BL78="","",Allocation!BL78)</f>
        <v/>
      </c>
      <c r="E78" t="str">
        <f>IF(Allocation!BM78="","",Allocation!BM78)</f>
        <v/>
      </c>
      <c r="F78" t="str">
        <f>IF(Allocation!BN78="","",Allocation!BN78)</f>
        <v/>
      </c>
      <c r="G78" t="str">
        <f>IF(Allocation!BO78="","",Allocation!BO78)</f>
        <v/>
      </c>
      <c r="H78" t="str">
        <f>IF(Allocation!BP78="","",Allocation!BP78)</f>
        <v/>
      </c>
      <c r="I78" t="str">
        <f>IF(Allocation!BQ78="","",Allocation!BQ78)</f>
        <v/>
      </c>
      <c r="J78" t="str">
        <f>IF(Allocation!CC78="","",Allocation!CC78)</f>
        <v/>
      </c>
      <c r="K78" t="str">
        <f t="shared" si="19"/>
        <v/>
      </c>
      <c r="L78" t="str">
        <f t="shared" si="20"/>
        <v/>
      </c>
      <c r="M78" t="str">
        <f t="shared" si="21"/>
        <v/>
      </c>
      <c r="N78" t="str">
        <f t="shared" si="22"/>
        <v/>
      </c>
      <c r="O78" t="str">
        <f t="shared" si="23"/>
        <v/>
      </c>
      <c r="P78" t="str">
        <f t="shared" si="24"/>
        <v/>
      </c>
      <c r="Q78" t="str">
        <f t="shared" si="25"/>
        <v/>
      </c>
      <c r="R78" t="str">
        <f t="shared" si="26"/>
        <v/>
      </c>
      <c r="S78" t="str">
        <f t="shared" si="27"/>
        <v/>
      </c>
      <c r="T78" t="str">
        <f t="shared" si="28"/>
        <v/>
      </c>
      <c r="U78" t="str">
        <f t="shared" si="29"/>
        <v/>
      </c>
      <c r="V78" t="str">
        <f t="shared" si="30"/>
        <v/>
      </c>
      <c r="W78" t="str">
        <f>IF($A78="","",Allocation!CD78)</f>
        <v/>
      </c>
      <c r="X78" t="str">
        <f>IF($A78="","",Allocation!CE78)</f>
        <v/>
      </c>
      <c r="Y78" t="str">
        <f>IF($A78="","",Allocation!CF78)</f>
        <v/>
      </c>
      <c r="Z78" t="str">
        <f>IF($A78="","",Allocation!CG78)</f>
        <v/>
      </c>
      <c r="AA78" t="str">
        <f>IF($A78="","",Allocation!CH78)</f>
        <v/>
      </c>
      <c r="AB78" t="str">
        <f>IF($A78="","",Allocation!CI78)</f>
        <v/>
      </c>
      <c r="AC78" t="str">
        <f>IF($A78="","",IF(Allocation!$N$4="VOL_EFF",$G78,IF(Allocation!$N$4="VOL_CLASS",$H78,$I78)))</f>
        <v/>
      </c>
      <c r="AD78" t="str">
        <f>IF($A78="","",IF(Allocation!$N$4="VOL_EFF",$L78,IF(Allocation!$N$4="VOL_CLASS",$M78,$N78)))</f>
        <v/>
      </c>
      <c r="AE78" t="str">
        <f>IF($A78="","",IF(Allocation!$N$3="VOL_EFF",$L78,IF(Allocation!$N$3="VOL_CLASS",$M78,$N78)))</f>
        <v/>
      </c>
      <c r="AF78" t="str">
        <f>IF($A78="","",IF(Allocation!$N$3="VOL_EFF",$Q78,IF(Allocation!$N$3="VOL_CLASS",$R78,$S78)))</f>
        <v/>
      </c>
      <c r="AG78" t="str">
        <f>IF($A78="","",IF(Allocation!$N$1="VOL_EFF",$Q78,IF(Allocation!$N$1="VOL_CLASS",$R78,$S78)))</f>
        <v/>
      </c>
      <c r="AH78" t="str">
        <f>IF($A78="","",IF(Allocation!$N$1="VOL_EFF",$T78,IF(Allocation!$N$1="VOL_CLASS",$U78,$V78)))</f>
        <v/>
      </c>
      <c r="AI78" t="str">
        <f t="shared" si="31"/>
        <v/>
      </c>
      <c r="AJ78" t="str">
        <f t="shared" si="32"/>
        <v/>
      </c>
      <c r="AK78" t="str">
        <f t="shared" si="33"/>
        <v/>
      </c>
      <c r="AL78" t="str">
        <f t="shared" si="34"/>
        <v/>
      </c>
      <c r="AM78" t="str">
        <f t="shared" si="35"/>
        <v/>
      </c>
      <c r="AN78" t="str">
        <f t="shared" si="36"/>
        <v/>
      </c>
      <c r="AO78" t="str">
        <f>IF($A78="","",Allocation!CJ78)</f>
        <v/>
      </c>
      <c r="AP78" t="str">
        <f>IF($A78="","",IF(Allocation!$N$2="VOL_EFF",$Q78,IF(Allocation!$N$2="VOL_CLASS",$R78,$S78)))</f>
        <v/>
      </c>
      <c r="AQ78" t="str">
        <f>IF($A78="","",IF(Allocation!$N$2="VOL_EFF",$T78,IF(Allocation!$N$2="VOL_CLASS",$U78,$V78)))</f>
        <v/>
      </c>
      <c r="AR78" t="str">
        <f t="shared" si="37"/>
        <v/>
      </c>
      <c r="AS78" t="str">
        <f>IF($A78="","",$A78&amp;"|"&amp;Allocation!BG78)</f>
        <v/>
      </c>
    </row>
    <row r="79" spans="1:45" x14ac:dyDescent="0.45">
      <c r="A79" t="str">
        <f>IF(Allocation!BI79="","",Allocation!BI79)</f>
        <v/>
      </c>
      <c r="B79" t="str">
        <f>IF(Allocation!BJ79="","",Allocation!BJ79)</f>
        <v/>
      </c>
      <c r="C79" t="str">
        <f>IF(Allocation!BK79="","",Allocation!BK79)</f>
        <v/>
      </c>
      <c r="D79" t="str">
        <f>IF(Allocation!BL79="","",Allocation!BL79)</f>
        <v/>
      </c>
      <c r="E79" t="str">
        <f>IF(Allocation!BM79="","",Allocation!BM79)</f>
        <v/>
      </c>
      <c r="F79" t="str">
        <f>IF(Allocation!BN79="","",Allocation!BN79)</f>
        <v/>
      </c>
      <c r="G79" t="str">
        <f>IF(Allocation!BO79="","",Allocation!BO79)</f>
        <v/>
      </c>
      <c r="H79" t="str">
        <f>IF(Allocation!BP79="","",Allocation!BP79)</f>
        <v/>
      </c>
      <c r="I79" t="str">
        <f>IF(Allocation!BQ79="","",Allocation!BQ79)</f>
        <v/>
      </c>
      <c r="J79" t="str">
        <f>IF(Allocation!CC79="","",Allocation!CC79)</f>
        <v/>
      </c>
      <c r="K79" t="str">
        <f t="shared" si="19"/>
        <v/>
      </c>
      <c r="L79" t="str">
        <f t="shared" si="20"/>
        <v/>
      </c>
      <c r="M79" t="str">
        <f t="shared" si="21"/>
        <v/>
      </c>
      <c r="N79" t="str">
        <f t="shared" si="22"/>
        <v/>
      </c>
      <c r="O79" t="str">
        <f t="shared" si="23"/>
        <v/>
      </c>
      <c r="P79" t="str">
        <f t="shared" si="24"/>
        <v/>
      </c>
      <c r="Q79" t="str">
        <f t="shared" si="25"/>
        <v/>
      </c>
      <c r="R79" t="str">
        <f t="shared" si="26"/>
        <v/>
      </c>
      <c r="S79" t="str">
        <f t="shared" si="27"/>
        <v/>
      </c>
      <c r="T79" t="str">
        <f t="shared" si="28"/>
        <v/>
      </c>
      <c r="U79" t="str">
        <f t="shared" si="29"/>
        <v/>
      </c>
      <c r="V79" t="str">
        <f t="shared" si="30"/>
        <v/>
      </c>
      <c r="W79" t="str">
        <f>IF($A79="","",Allocation!CD79)</f>
        <v/>
      </c>
      <c r="X79" t="str">
        <f>IF($A79="","",Allocation!CE79)</f>
        <v/>
      </c>
      <c r="Y79" t="str">
        <f>IF($A79="","",Allocation!CF79)</f>
        <v/>
      </c>
      <c r="Z79" t="str">
        <f>IF($A79="","",Allocation!CG79)</f>
        <v/>
      </c>
      <c r="AA79" t="str">
        <f>IF($A79="","",Allocation!CH79)</f>
        <v/>
      </c>
      <c r="AB79" t="str">
        <f>IF($A79="","",Allocation!CI79)</f>
        <v/>
      </c>
      <c r="AC79" t="str">
        <f>IF($A79="","",IF(Allocation!$N$4="VOL_EFF",$G79,IF(Allocation!$N$4="VOL_CLASS",$H79,$I79)))</f>
        <v/>
      </c>
      <c r="AD79" t="str">
        <f>IF($A79="","",IF(Allocation!$N$4="VOL_EFF",$L79,IF(Allocation!$N$4="VOL_CLASS",$M79,$N79)))</f>
        <v/>
      </c>
      <c r="AE79" t="str">
        <f>IF($A79="","",IF(Allocation!$N$3="VOL_EFF",$L79,IF(Allocation!$N$3="VOL_CLASS",$M79,$N79)))</f>
        <v/>
      </c>
      <c r="AF79" t="str">
        <f>IF($A79="","",IF(Allocation!$N$3="VOL_EFF",$Q79,IF(Allocation!$N$3="VOL_CLASS",$R79,$S79)))</f>
        <v/>
      </c>
      <c r="AG79" t="str">
        <f>IF($A79="","",IF(Allocation!$N$1="VOL_EFF",$Q79,IF(Allocation!$N$1="VOL_CLASS",$R79,$S79)))</f>
        <v/>
      </c>
      <c r="AH79" t="str">
        <f>IF($A79="","",IF(Allocation!$N$1="VOL_EFF",$T79,IF(Allocation!$N$1="VOL_CLASS",$U79,$V79)))</f>
        <v/>
      </c>
      <c r="AI79" t="str">
        <f t="shared" si="31"/>
        <v/>
      </c>
      <c r="AJ79" t="str">
        <f t="shared" si="32"/>
        <v/>
      </c>
      <c r="AK79" t="str">
        <f t="shared" si="33"/>
        <v/>
      </c>
      <c r="AL79" t="str">
        <f t="shared" si="34"/>
        <v/>
      </c>
      <c r="AM79" t="str">
        <f t="shared" si="35"/>
        <v/>
      </c>
      <c r="AN79" t="str">
        <f t="shared" si="36"/>
        <v/>
      </c>
      <c r="AO79" t="str">
        <f>IF($A79="","",Allocation!CJ79)</f>
        <v/>
      </c>
      <c r="AP79" t="str">
        <f>IF($A79="","",IF(Allocation!$N$2="VOL_EFF",$Q79,IF(Allocation!$N$2="VOL_CLASS",$R79,$S79)))</f>
        <v/>
      </c>
      <c r="AQ79" t="str">
        <f>IF($A79="","",IF(Allocation!$N$2="VOL_EFF",$T79,IF(Allocation!$N$2="VOL_CLASS",$U79,$V79)))</f>
        <v/>
      </c>
      <c r="AR79" t="str">
        <f t="shared" si="37"/>
        <v/>
      </c>
      <c r="AS79" t="str">
        <f>IF($A79="","",$A79&amp;"|"&amp;Allocation!BG79)</f>
        <v/>
      </c>
    </row>
    <row r="80" spans="1:45" x14ac:dyDescent="0.45">
      <c r="A80" t="str">
        <f>IF(Allocation!BI80="","",Allocation!BI80)</f>
        <v/>
      </c>
      <c r="B80" t="str">
        <f>IF(Allocation!BJ80="","",Allocation!BJ80)</f>
        <v/>
      </c>
      <c r="C80" t="str">
        <f>IF(Allocation!BK80="","",Allocation!BK80)</f>
        <v/>
      </c>
      <c r="D80" t="str">
        <f>IF(Allocation!BL80="","",Allocation!BL80)</f>
        <v/>
      </c>
      <c r="E80" t="str">
        <f>IF(Allocation!BM80="","",Allocation!BM80)</f>
        <v/>
      </c>
      <c r="F80" t="str">
        <f>IF(Allocation!BN80="","",Allocation!BN80)</f>
        <v/>
      </c>
      <c r="G80" t="str">
        <f>IF(Allocation!BO80="","",Allocation!BO80)</f>
        <v/>
      </c>
      <c r="H80" t="str">
        <f>IF(Allocation!BP80="","",Allocation!BP80)</f>
        <v/>
      </c>
      <c r="I80" t="str">
        <f>IF(Allocation!BQ80="","",Allocation!BQ80)</f>
        <v/>
      </c>
      <c r="J80" t="str">
        <f>IF(Allocation!CC80="","",Allocation!CC80)</f>
        <v/>
      </c>
      <c r="K80" t="str">
        <f t="shared" si="19"/>
        <v/>
      </c>
      <c r="L80" t="str">
        <f t="shared" si="20"/>
        <v/>
      </c>
      <c r="M80" t="str">
        <f t="shared" si="21"/>
        <v/>
      </c>
      <c r="N80" t="str">
        <f t="shared" si="22"/>
        <v/>
      </c>
      <c r="O80" t="str">
        <f t="shared" si="23"/>
        <v/>
      </c>
      <c r="P80" t="str">
        <f t="shared" si="24"/>
        <v/>
      </c>
      <c r="Q80" t="str">
        <f t="shared" si="25"/>
        <v/>
      </c>
      <c r="R80" t="str">
        <f t="shared" si="26"/>
        <v/>
      </c>
      <c r="S80" t="str">
        <f t="shared" si="27"/>
        <v/>
      </c>
      <c r="T80" t="str">
        <f t="shared" si="28"/>
        <v/>
      </c>
      <c r="U80" t="str">
        <f t="shared" si="29"/>
        <v/>
      </c>
      <c r="V80" t="str">
        <f t="shared" si="30"/>
        <v/>
      </c>
      <c r="W80" t="str">
        <f>IF($A80="","",Allocation!CD80)</f>
        <v/>
      </c>
      <c r="X80" t="str">
        <f>IF($A80="","",Allocation!CE80)</f>
        <v/>
      </c>
      <c r="Y80" t="str">
        <f>IF($A80="","",Allocation!CF80)</f>
        <v/>
      </c>
      <c r="Z80" t="str">
        <f>IF($A80="","",Allocation!CG80)</f>
        <v/>
      </c>
      <c r="AA80" t="str">
        <f>IF($A80="","",Allocation!CH80)</f>
        <v/>
      </c>
      <c r="AB80" t="str">
        <f>IF($A80="","",Allocation!CI80)</f>
        <v/>
      </c>
      <c r="AC80" t="str">
        <f>IF($A80="","",IF(Allocation!$N$4="VOL_EFF",$G80,IF(Allocation!$N$4="VOL_CLASS",$H80,$I80)))</f>
        <v/>
      </c>
      <c r="AD80" t="str">
        <f>IF($A80="","",IF(Allocation!$N$4="VOL_EFF",$L80,IF(Allocation!$N$4="VOL_CLASS",$M80,$N80)))</f>
        <v/>
      </c>
      <c r="AE80" t="str">
        <f>IF($A80="","",IF(Allocation!$N$3="VOL_EFF",$L80,IF(Allocation!$N$3="VOL_CLASS",$M80,$N80)))</f>
        <v/>
      </c>
      <c r="AF80" t="str">
        <f>IF($A80="","",IF(Allocation!$N$3="VOL_EFF",$Q80,IF(Allocation!$N$3="VOL_CLASS",$R80,$S80)))</f>
        <v/>
      </c>
      <c r="AG80" t="str">
        <f>IF($A80="","",IF(Allocation!$N$1="VOL_EFF",$Q80,IF(Allocation!$N$1="VOL_CLASS",$R80,$S80)))</f>
        <v/>
      </c>
      <c r="AH80" t="str">
        <f>IF($A80="","",IF(Allocation!$N$1="VOL_EFF",$T80,IF(Allocation!$N$1="VOL_CLASS",$U80,$V80)))</f>
        <v/>
      </c>
      <c r="AI80" t="str">
        <f t="shared" si="31"/>
        <v/>
      </c>
      <c r="AJ80" t="str">
        <f t="shared" si="32"/>
        <v/>
      </c>
      <c r="AK80" t="str">
        <f t="shared" si="33"/>
        <v/>
      </c>
      <c r="AL80" t="str">
        <f t="shared" si="34"/>
        <v/>
      </c>
      <c r="AM80" t="str">
        <f t="shared" si="35"/>
        <v/>
      </c>
      <c r="AN80" t="str">
        <f t="shared" si="36"/>
        <v/>
      </c>
      <c r="AO80" t="str">
        <f>IF($A80="","",Allocation!CJ80)</f>
        <v/>
      </c>
      <c r="AP80" t="str">
        <f>IF($A80="","",IF(Allocation!$N$2="VOL_EFF",$Q80,IF(Allocation!$N$2="VOL_CLASS",$R80,$S80)))</f>
        <v/>
      </c>
      <c r="AQ80" t="str">
        <f>IF($A80="","",IF(Allocation!$N$2="VOL_EFF",$T80,IF(Allocation!$N$2="VOL_CLASS",$U80,$V80)))</f>
        <v/>
      </c>
      <c r="AR80" t="str">
        <f t="shared" si="37"/>
        <v/>
      </c>
      <c r="AS80" t="str">
        <f>IF($A80="","",$A80&amp;"|"&amp;Allocation!BG80)</f>
        <v/>
      </c>
    </row>
    <row r="81" spans="1:45" x14ac:dyDescent="0.45">
      <c r="A81" t="str">
        <f>IF(Allocation!BI81="","",Allocation!BI81)</f>
        <v/>
      </c>
      <c r="B81" t="str">
        <f>IF(Allocation!BJ81="","",Allocation!BJ81)</f>
        <v/>
      </c>
      <c r="C81" t="str">
        <f>IF(Allocation!BK81="","",Allocation!BK81)</f>
        <v/>
      </c>
      <c r="D81" t="str">
        <f>IF(Allocation!BL81="","",Allocation!BL81)</f>
        <v/>
      </c>
      <c r="E81" t="str">
        <f>IF(Allocation!BM81="","",Allocation!BM81)</f>
        <v/>
      </c>
      <c r="F81" t="str">
        <f>IF(Allocation!BN81="","",Allocation!BN81)</f>
        <v/>
      </c>
      <c r="G81" t="str">
        <f>IF(Allocation!BO81="","",Allocation!BO81)</f>
        <v/>
      </c>
      <c r="H81" t="str">
        <f>IF(Allocation!BP81="","",Allocation!BP81)</f>
        <v/>
      </c>
      <c r="I81" t="str">
        <f>IF(Allocation!BQ81="","",Allocation!BQ81)</f>
        <v/>
      </c>
      <c r="J81" t="str">
        <f>IF(Allocation!CC81="","",Allocation!CC81)</f>
        <v/>
      </c>
      <c r="K81" t="str">
        <f t="shared" si="19"/>
        <v/>
      </c>
      <c r="L81" t="str">
        <f t="shared" si="20"/>
        <v/>
      </c>
      <c r="M81" t="str">
        <f t="shared" si="21"/>
        <v/>
      </c>
      <c r="N81" t="str">
        <f t="shared" si="22"/>
        <v/>
      </c>
      <c r="O81" t="str">
        <f t="shared" si="23"/>
        <v/>
      </c>
      <c r="P81" t="str">
        <f t="shared" si="24"/>
        <v/>
      </c>
      <c r="Q81" t="str">
        <f t="shared" si="25"/>
        <v/>
      </c>
      <c r="R81" t="str">
        <f t="shared" si="26"/>
        <v/>
      </c>
      <c r="S81" t="str">
        <f t="shared" si="27"/>
        <v/>
      </c>
      <c r="T81" t="str">
        <f t="shared" si="28"/>
        <v/>
      </c>
      <c r="U81" t="str">
        <f t="shared" si="29"/>
        <v/>
      </c>
      <c r="V81" t="str">
        <f t="shared" si="30"/>
        <v/>
      </c>
      <c r="W81" t="str">
        <f>IF($A81="","",Allocation!CD81)</f>
        <v/>
      </c>
      <c r="X81" t="str">
        <f>IF($A81="","",Allocation!CE81)</f>
        <v/>
      </c>
      <c r="Y81" t="str">
        <f>IF($A81="","",Allocation!CF81)</f>
        <v/>
      </c>
      <c r="Z81" t="str">
        <f>IF($A81="","",Allocation!CG81)</f>
        <v/>
      </c>
      <c r="AA81" t="str">
        <f>IF($A81="","",Allocation!CH81)</f>
        <v/>
      </c>
      <c r="AB81" t="str">
        <f>IF($A81="","",Allocation!CI81)</f>
        <v/>
      </c>
      <c r="AC81" t="str">
        <f>IF($A81="","",IF(Allocation!$N$4="VOL_EFF",$G81,IF(Allocation!$N$4="VOL_CLASS",$H81,$I81)))</f>
        <v/>
      </c>
      <c r="AD81" t="str">
        <f>IF($A81="","",IF(Allocation!$N$4="VOL_EFF",$L81,IF(Allocation!$N$4="VOL_CLASS",$M81,$N81)))</f>
        <v/>
      </c>
      <c r="AE81" t="str">
        <f>IF($A81="","",IF(Allocation!$N$3="VOL_EFF",$L81,IF(Allocation!$N$3="VOL_CLASS",$M81,$N81)))</f>
        <v/>
      </c>
      <c r="AF81" t="str">
        <f>IF($A81="","",IF(Allocation!$N$3="VOL_EFF",$Q81,IF(Allocation!$N$3="VOL_CLASS",$R81,$S81)))</f>
        <v/>
      </c>
      <c r="AG81" t="str">
        <f>IF($A81="","",IF(Allocation!$N$1="VOL_EFF",$Q81,IF(Allocation!$N$1="VOL_CLASS",$R81,$S81)))</f>
        <v/>
      </c>
      <c r="AH81" t="str">
        <f>IF($A81="","",IF(Allocation!$N$1="VOL_EFF",$T81,IF(Allocation!$N$1="VOL_CLASS",$U81,$V81)))</f>
        <v/>
      </c>
      <c r="AI81" t="str">
        <f t="shared" si="31"/>
        <v/>
      </c>
      <c r="AJ81" t="str">
        <f t="shared" si="32"/>
        <v/>
      </c>
      <c r="AK81" t="str">
        <f t="shared" si="33"/>
        <v/>
      </c>
      <c r="AL81" t="str">
        <f t="shared" si="34"/>
        <v/>
      </c>
      <c r="AM81" t="str">
        <f t="shared" si="35"/>
        <v/>
      </c>
      <c r="AN81" t="str">
        <f t="shared" si="36"/>
        <v/>
      </c>
      <c r="AO81" t="str">
        <f>IF($A81="","",Allocation!CJ81)</f>
        <v/>
      </c>
      <c r="AP81" t="str">
        <f>IF($A81="","",IF(Allocation!$N$2="VOL_EFF",$Q81,IF(Allocation!$N$2="VOL_CLASS",$R81,$S81)))</f>
        <v/>
      </c>
      <c r="AQ81" t="str">
        <f>IF($A81="","",IF(Allocation!$N$2="VOL_EFF",$T81,IF(Allocation!$N$2="VOL_CLASS",$U81,$V81)))</f>
        <v/>
      </c>
      <c r="AR81" t="str">
        <f t="shared" si="37"/>
        <v/>
      </c>
      <c r="AS81" t="str">
        <f>IF($A81="","",$A81&amp;"|"&amp;Allocation!BG81)</f>
        <v/>
      </c>
    </row>
    <row r="82" spans="1:45" x14ac:dyDescent="0.45">
      <c r="A82" t="str">
        <f>IF(Allocation!BI82="","",Allocation!BI82)</f>
        <v/>
      </c>
      <c r="B82" t="str">
        <f>IF(Allocation!BJ82="","",Allocation!BJ82)</f>
        <v/>
      </c>
      <c r="C82" t="str">
        <f>IF(Allocation!BK82="","",Allocation!BK82)</f>
        <v/>
      </c>
      <c r="D82" t="str">
        <f>IF(Allocation!BL82="","",Allocation!BL82)</f>
        <v/>
      </c>
      <c r="E82" t="str">
        <f>IF(Allocation!BM82="","",Allocation!BM82)</f>
        <v/>
      </c>
      <c r="F82" t="str">
        <f>IF(Allocation!BN82="","",Allocation!BN82)</f>
        <v/>
      </c>
      <c r="G82" t="str">
        <f>IF(Allocation!BO82="","",Allocation!BO82)</f>
        <v/>
      </c>
      <c r="H82" t="str">
        <f>IF(Allocation!BP82="","",Allocation!BP82)</f>
        <v/>
      </c>
      <c r="I82" t="str">
        <f>IF(Allocation!BQ82="","",Allocation!BQ82)</f>
        <v/>
      </c>
      <c r="J82" t="str">
        <f>IF(Allocation!CC82="","",Allocation!CC82)</f>
        <v/>
      </c>
      <c r="K82" t="str">
        <f t="shared" si="19"/>
        <v/>
      </c>
      <c r="L82" t="str">
        <f t="shared" si="20"/>
        <v/>
      </c>
      <c r="M82" t="str">
        <f t="shared" si="21"/>
        <v/>
      </c>
      <c r="N82" t="str">
        <f t="shared" si="22"/>
        <v/>
      </c>
      <c r="O82" t="str">
        <f t="shared" si="23"/>
        <v/>
      </c>
      <c r="P82" t="str">
        <f t="shared" si="24"/>
        <v/>
      </c>
      <c r="Q82" t="str">
        <f t="shared" si="25"/>
        <v/>
      </c>
      <c r="R82" t="str">
        <f t="shared" si="26"/>
        <v/>
      </c>
      <c r="S82" t="str">
        <f t="shared" si="27"/>
        <v/>
      </c>
      <c r="T82" t="str">
        <f t="shared" si="28"/>
        <v/>
      </c>
      <c r="U82" t="str">
        <f t="shared" si="29"/>
        <v/>
      </c>
      <c r="V82" t="str">
        <f t="shared" si="30"/>
        <v/>
      </c>
      <c r="W82" t="str">
        <f>IF($A82="","",Allocation!CD82)</f>
        <v/>
      </c>
      <c r="X82" t="str">
        <f>IF($A82="","",Allocation!CE82)</f>
        <v/>
      </c>
      <c r="Y82" t="str">
        <f>IF($A82="","",Allocation!CF82)</f>
        <v/>
      </c>
      <c r="Z82" t="str">
        <f>IF($A82="","",Allocation!CG82)</f>
        <v/>
      </c>
      <c r="AA82" t="str">
        <f>IF($A82="","",Allocation!CH82)</f>
        <v/>
      </c>
      <c r="AB82" t="str">
        <f>IF($A82="","",Allocation!CI82)</f>
        <v/>
      </c>
      <c r="AC82" t="str">
        <f>IF($A82="","",IF(Allocation!$N$4="VOL_EFF",$G82,IF(Allocation!$N$4="VOL_CLASS",$H82,$I82)))</f>
        <v/>
      </c>
      <c r="AD82" t="str">
        <f>IF($A82="","",IF(Allocation!$N$4="VOL_EFF",$L82,IF(Allocation!$N$4="VOL_CLASS",$M82,$N82)))</f>
        <v/>
      </c>
      <c r="AE82" t="str">
        <f>IF($A82="","",IF(Allocation!$N$3="VOL_EFF",$L82,IF(Allocation!$N$3="VOL_CLASS",$M82,$N82)))</f>
        <v/>
      </c>
      <c r="AF82" t="str">
        <f>IF($A82="","",IF(Allocation!$N$3="VOL_EFF",$Q82,IF(Allocation!$N$3="VOL_CLASS",$R82,$S82)))</f>
        <v/>
      </c>
      <c r="AG82" t="str">
        <f>IF($A82="","",IF(Allocation!$N$1="VOL_EFF",$Q82,IF(Allocation!$N$1="VOL_CLASS",$R82,$S82)))</f>
        <v/>
      </c>
      <c r="AH82" t="str">
        <f>IF($A82="","",IF(Allocation!$N$1="VOL_EFF",$T82,IF(Allocation!$N$1="VOL_CLASS",$U82,$V82)))</f>
        <v/>
      </c>
      <c r="AI82" t="str">
        <f t="shared" si="31"/>
        <v/>
      </c>
      <c r="AJ82" t="str">
        <f t="shared" si="32"/>
        <v/>
      </c>
      <c r="AK82" t="str">
        <f t="shared" si="33"/>
        <v/>
      </c>
      <c r="AL82" t="str">
        <f t="shared" si="34"/>
        <v/>
      </c>
      <c r="AM82" t="str">
        <f t="shared" si="35"/>
        <v/>
      </c>
      <c r="AN82" t="str">
        <f t="shared" si="36"/>
        <v/>
      </c>
      <c r="AO82" t="str">
        <f>IF($A82="","",Allocation!CJ82)</f>
        <v/>
      </c>
      <c r="AP82" t="str">
        <f>IF($A82="","",IF(Allocation!$N$2="VOL_EFF",$Q82,IF(Allocation!$N$2="VOL_CLASS",$R82,$S82)))</f>
        <v/>
      </c>
      <c r="AQ82" t="str">
        <f>IF($A82="","",IF(Allocation!$N$2="VOL_EFF",$T82,IF(Allocation!$N$2="VOL_CLASS",$U82,$V82)))</f>
        <v/>
      </c>
      <c r="AR82" t="str">
        <f t="shared" si="37"/>
        <v/>
      </c>
      <c r="AS82" t="str">
        <f>IF($A82="","",$A82&amp;"|"&amp;Allocation!BG82)</f>
        <v/>
      </c>
    </row>
    <row r="83" spans="1:45" x14ac:dyDescent="0.45">
      <c r="A83" t="str">
        <f>IF(Allocation!BI83="","",Allocation!BI83)</f>
        <v/>
      </c>
      <c r="B83" t="str">
        <f>IF(Allocation!BJ83="","",Allocation!BJ83)</f>
        <v/>
      </c>
      <c r="C83" t="str">
        <f>IF(Allocation!BK83="","",Allocation!BK83)</f>
        <v/>
      </c>
      <c r="D83" t="str">
        <f>IF(Allocation!BL83="","",Allocation!BL83)</f>
        <v/>
      </c>
      <c r="E83" t="str">
        <f>IF(Allocation!BM83="","",Allocation!BM83)</f>
        <v/>
      </c>
      <c r="F83" t="str">
        <f>IF(Allocation!BN83="","",Allocation!BN83)</f>
        <v/>
      </c>
      <c r="G83" t="str">
        <f>IF(Allocation!BO83="","",Allocation!BO83)</f>
        <v/>
      </c>
      <c r="H83" t="str">
        <f>IF(Allocation!BP83="","",Allocation!BP83)</f>
        <v/>
      </c>
      <c r="I83" t="str">
        <f>IF(Allocation!BQ83="","",Allocation!BQ83)</f>
        <v/>
      </c>
      <c r="J83" t="str">
        <f>IF(Allocation!CC83="","",Allocation!CC83)</f>
        <v/>
      </c>
      <c r="K83" t="str">
        <f t="shared" si="19"/>
        <v/>
      </c>
      <c r="L83" t="str">
        <f t="shared" si="20"/>
        <v/>
      </c>
      <c r="M83" t="str">
        <f t="shared" si="21"/>
        <v/>
      </c>
      <c r="N83" t="str">
        <f t="shared" si="22"/>
        <v/>
      </c>
      <c r="O83" t="str">
        <f t="shared" si="23"/>
        <v/>
      </c>
      <c r="P83" t="str">
        <f t="shared" si="24"/>
        <v/>
      </c>
      <c r="Q83" t="str">
        <f t="shared" si="25"/>
        <v/>
      </c>
      <c r="R83" t="str">
        <f t="shared" si="26"/>
        <v/>
      </c>
      <c r="S83" t="str">
        <f t="shared" si="27"/>
        <v/>
      </c>
      <c r="T83" t="str">
        <f t="shared" si="28"/>
        <v/>
      </c>
      <c r="U83" t="str">
        <f t="shared" si="29"/>
        <v/>
      </c>
      <c r="V83" t="str">
        <f t="shared" si="30"/>
        <v/>
      </c>
      <c r="W83" t="str">
        <f>IF($A83="","",Allocation!CD83)</f>
        <v/>
      </c>
      <c r="X83" t="str">
        <f>IF($A83="","",Allocation!CE83)</f>
        <v/>
      </c>
      <c r="Y83" t="str">
        <f>IF($A83="","",Allocation!CF83)</f>
        <v/>
      </c>
      <c r="Z83" t="str">
        <f>IF($A83="","",Allocation!CG83)</f>
        <v/>
      </c>
      <c r="AA83" t="str">
        <f>IF($A83="","",Allocation!CH83)</f>
        <v/>
      </c>
      <c r="AB83" t="str">
        <f>IF($A83="","",Allocation!CI83)</f>
        <v/>
      </c>
      <c r="AC83" t="str">
        <f>IF($A83="","",IF(Allocation!$N$4="VOL_EFF",$G83,IF(Allocation!$N$4="VOL_CLASS",$H83,$I83)))</f>
        <v/>
      </c>
      <c r="AD83" t="str">
        <f>IF($A83="","",IF(Allocation!$N$4="VOL_EFF",$L83,IF(Allocation!$N$4="VOL_CLASS",$M83,$N83)))</f>
        <v/>
      </c>
      <c r="AE83" t="str">
        <f>IF($A83="","",IF(Allocation!$N$3="VOL_EFF",$L83,IF(Allocation!$N$3="VOL_CLASS",$M83,$N83)))</f>
        <v/>
      </c>
      <c r="AF83" t="str">
        <f>IF($A83="","",IF(Allocation!$N$3="VOL_EFF",$Q83,IF(Allocation!$N$3="VOL_CLASS",$R83,$S83)))</f>
        <v/>
      </c>
      <c r="AG83" t="str">
        <f>IF($A83="","",IF(Allocation!$N$1="VOL_EFF",$Q83,IF(Allocation!$N$1="VOL_CLASS",$R83,$S83)))</f>
        <v/>
      </c>
      <c r="AH83" t="str">
        <f>IF($A83="","",IF(Allocation!$N$1="VOL_EFF",$T83,IF(Allocation!$N$1="VOL_CLASS",$U83,$V83)))</f>
        <v/>
      </c>
      <c r="AI83" t="str">
        <f t="shared" si="31"/>
        <v/>
      </c>
      <c r="AJ83" t="str">
        <f t="shared" si="32"/>
        <v/>
      </c>
      <c r="AK83" t="str">
        <f t="shared" si="33"/>
        <v/>
      </c>
      <c r="AL83" t="str">
        <f t="shared" si="34"/>
        <v/>
      </c>
      <c r="AM83" t="str">
        <f t="shared" si="35"/>
        <v/>
      </c>
      <c r="AN83" t="str">
        <f t="shared" si="36"/>
        <v/>
      </c>
      <c r="AO83" t="str">
        <f>IF($A83="","",Allocation!CJ83)</f>
        <v/>
      </c>
      <c r="AP83" t="str">
        <f>IF($A83="","",IF(Allocation!$N$2="VOL_EFF",$Q83,IF(Allocation!$N$2="VOL_CLASS",$R83,$S83)))</f>
        <v/>
      </c>
      <c r="AQ83" t="str">
        <f>IF($A83="","",IF(Allocation!$N$2="VOL_EFF",$T83,IF(Allocation!$N$2="VOL_CLASS",$U83,$V83)))</f>
        <v/>
      </c>
      <c r="AR83" t="str">
        <f t="shared" si="37"/>
        <v/>
      </c>
      <c r="AS83" t="str">
        <f>IF($A83="","",$A83&amp;"|"&amp;Allocation!BG83)</f>
        <v/>
      </c>
    </row>
    <row r="84" spans="1:45" x14ac:dyDescent="0.45">
      <c r="A84" t="str">
        <f>IF(Allocation!BI84="","",Allocation!BI84)</f>
        <v/>
      </c>
      <c r="B84" t="str">
        <f>IF(Allocation!BJ84="","",Allocation!BJ84)</f>
        <v/>
      </c>
      <c r="C84" t="str">
        <f>IF(Allocation!BK84="","",Allocation!BK84)</f>
        <v/>
      </c>
      <c r="D84" t="str">
        <f>IF(Allocation!BL84="","",Allocation!BL84)</f>
        <v/>
      </c>
      <c r="E84" t="str">
        <f>IF(Allocation!BM84="","",Allocation!BM84)</f>
        <v/>
      </c>
      <c r="F84" t="str">
        <f>IF(Allocation!BN84="","",Allocation!BN84)</f>
        <v/>
      </c>
      <c r="G84" t="str">
        <f>IF(Allocation!BO84="","",Allocation!BO84)</f>
        <v/>
      </c>
      <c r="H84" t="str">
        <f>IF(Allocation!BP84="","",Allocation!BP84)</f>
        <v/>
      </c>
      <c r="I84" t="str">
        <f>IF(Allocation!BQ84="","",Allocation!BQ84)</f>
        <v/>
      </c>
      <c r="J84" t="str">
        <f>IF(Allocation!CC84="","",Allocation!CC84)</f>
        <v/>
      </c>
      <c r="K84" t="str">
        <f t="shared" si="19"/>
        <v/>
      </c>
      <c r="L84" t="str">
        <f t="shared" si="20"/>
        <v/>
      </c>
      <c r="M84" t="str">
        <f t="shared" si="21"/>
        <v/>
      </c>
      <c r="N84" t="str">
        <f t="shared" si="22"/>
        <v/>
      </c>
      <c r="O84" t="str">
        <f t="shared" si="23"/>
        <v/>
      </c>
      <c r="P84" t="str">
        <f t="shared" si="24"/>
        <v/>
      </c>
      <c r="Q84" t="str">
        <f t="shared" si="25"/>
        <v/>
      </c>
      <c r="R84" t="str">
        <f t="shared" si="26"/>
        <v/>
      </c>
      <c r="S84" t="str">
        <f t="shared" si="27"/>
        <v/>
      </c>
      <c r="T84" t="str">
        <f t="shared" si="28"/>
        <v/>
      </c>
      <c r="U84" t="str">
        <f t="shared" si="29"/>
        <v/>
      </c>
      <c r="V84" t="str">
        <f t="shared" si="30"/>
        <v/>
      </c>
      <c r="W84" t="str">
        <f>IF($A84="","",Allocation!CD84)</f>
        <v/>
      </c>
      <c r="X84" t="str">
        <f>IF($A84="","",Allocation!CE84)</f>
        <v/>
      </c>
      <c r="Y84" t="str">
        <f>IF($A84="","",Allocation!CF84)</f>
        <v/>
      </c>
      <c r="Z84" t="str">
        <f>IF($A84="","",Allocation!CG84)</f>
        <v/>
      </c>
      <c r="AA84" t="str">
        <f>IF($A84="","",Allocation!CH84)</f>
        <v/>
      </c>
      <c r="AB84" t="str">
        <f>IF($A84="","",Allocation!CI84)</f>
        <v/>
      </c>
      <c r="AC84" t="str">
        <f>IF($A84="","",IF(Allocation!$N$4="VOL_EFF",$G84,IF(Allocation!$N$4="VOL_CLASS",$H84,$I84)))</f>
        <v/>
      </c>
      <c r="AD84" t="str">
        <f>IF($A84="","",IF(Allocation!$N$4="VOL_EFF",$L84,IF(Allocation!$N$4="VOL_CLASS",$M84,$N84)))</f>
        <v/>
      </c>
      <c r="AE84" t="str">
        <f>IF($A84="","",IF(Allocation!$N$3="VOL_EFF",$L84,IF(Allocation!$N$3="VOL_CLASS",$M84,$N84)))</f>
        <v/>
      </c>
      <c r="AF84" t="str">
        <f>IF($A84="","",IF(Allocation!$N$3="VOL_EFF",$Q84,IF(Allocation!$N$3="VOL_CLASS",$R84,$S84)))</f>
        <v/>
      </c>
      <c r="AG84" t="str">
        <f>IF($A84="","",IF(Allocation!$N$1="VOL_EFF",$Q84,IF(Allocation!$N$1="VOL_CLASS",$R84,$S84)))</f>
        <v/>
      </c>
      <c r="AH84" t="str">
        <f>IF($A84="","",IF(Allocation!$N$1="VOL_EFF",$T84,IF(Allocation!$N$1="VOL_CLASS",$U84,$V84)))</f>
        <v/>
      </c>
      <c r="AI84" t="str">
        <f t="shared" si="31"/>
        <v/>
      </c>
      <c r="AJ84" t="str">
        <f t="shared" si="32"/>
        <v/>
      </c>
      <c r="AK84" t="str">
        <f t="shared" si="33"/>
        <v/>
      </c>
      <c r="AL84" t="str">
        <f t="shared" si="34"/>
        <v/>
      </c>
      <c r="AM84" t="str">
        <f t="shared" si="35"/>
        <v/>
      </c>
      <c r="AN84" t="str">
        <f t="shared" si="36"/>
        <v/>
      </c>
      <c r="AO84" t="str">
        <f>IF($A84="","",Allocation!CJ84)</f>
        <v/>
      </c>
      <c r="AP84" t="str">
        <f>IF($A84="","",IF(Allocation!$N$2="VOL_EFF",$Q84,IF(Allocation!$N$2="VOL_CLASS",$R84,$S84)))</f>
        <v/>
      </c>
      <c r="AQ84" t="str">
        <f>IF($A84="","",IF(Allocation!$N$2="VOL_EFF",$T84,IF(Allocation!$N$2="VOL_CLASS",$U84,$V84)))</f>
        <v/>
      </c>
      <c r="AR84" t="str">
        <f t="shared" si="37"/>
        <v/>
      </c>
      <c r="AS84" t="str">
        <f>IF($A84="","",$A84&amp;"|"&amp;Allocation!BG84)</f>
        <v/>
      </c>
    </row>
    <row r="85" spans="1:45" x14ac:dyDescent="0.45">
      <c r="A85" t="str">
        <f>IF(Allocation!BI85="","",Allocation!BI85)</f>
        <v/>
      </c>
      <c r="B85" t="str">
        <f>IF(Allocation!BJ85="","",Allocation!BJ85)</f>
        <v/>
      </c>
      <c r="C85" t="str">
        <f>IF(Allocation!BK85="","",Allocation!BK85)</f>
        <v/>
      </c>
      <c r="D85" t="str">
        <f>IF(Allocation!BL85="","",Allocation!BL85)</f>
        <v/>
      </c>
      <c r="E85" t="str">
        <f>IF(Allocation!BM85="","",Allocation!BM85)</f>
        <v/>
      </c>
      <c r="F85" t="str">
        <f>IF(Allocation!BN85="","",Allocation!BN85)</f>
        <v/>
      </c>
      <c r="G85" t="str">
        <f>IF(Allocation!BO85="","",Allocation!BO85)</f>
        <v/>
      </c>
      <c r="H85" t="str">
        <f>IF(Allocation!BP85="","",Allocation!BP85)</f>
        <v/>
      </c>
      <c r="I85" t="str">
        <f>IF(Allocation!BQ85="","",Allocation!BQ85)</f>
        <v/>
      </c>
      <c r="J85" t="str">
        <f>IF(Allocation!CC85="","",Allocation!CC85)</f>
        <v/>
      </c>
      <c r="K85" t="str">
        <f t="shared" si="19"/>
        <v/>
      </c>
      <c r="L85" t="str">
        <f t="shared" si="20"/>
        <v/>
      </c>
      <c r="M85" t="str">
        <f t="shared" si="21"/>
        <v/>
      </c>
      <c r="N85" t="str">
        <f t="shared" si="22"/>
        <v/>
      </c>
      <c r="O85" t="str">
        <f t="shared" si="23"/>
        <v/>
      </c>
      <c r="P85" t="str">
        <f t="shared" si="24"/>
        <v/>
      </c>
      <c r="Q85" t="str">
        <f t="shared" si="25"/>
        <v/>
      </c>
      <c r="R85" t="str">
        <f t="shared" si="26"/>
        <v/>
      </c>
      <c r="S85" t="str">
        <f t="shared" si="27"/>
        <v/>
      </c>
      <c r="T85" t="str">
        <f t="shared" si="28"/>
        <v/>
      </c>
      <c r="U85" t="str">
        <f t="shared" si="29"/>
        <v/>
      </c>
      <c r="V85" t="str">
        <f t="shared" si="30"/>
        <v/>
      </c>
      <c r="W85" t="str">
        <f>IF($A85="","",Allocation!CD85)</f>
        <v/>
      </c>
      <c r="X85" t="str">
        <f>IF($A85="","",Allocation!CE85)</f>
        <v/>
      </c>
      <c r="Y85" t="str">
        <f>IF($A85="","",Allocation!CF85)</f>
        <v/>
      </c>
      <c r="Z85" t="str">
        <f>IF($A85="","",Allocation!CG85)</f>
        <v/>
      </c>
      <c r="AA85" t="str">
        <f>IF($A85="","",Allocation!CH85)</f>
        <v/>
      </c>
      <c r="AB85" t="str">
        <f>IF($A85="","",Allocation!CI85)</f>
        <v/>
      </c>
      <c r="AC85" t="str">
        <f>IF($A85="","",IF(Allocation!$N$4="VOL_EFF",$G85,IF(Allocation!$N$4="VOL_CLASS",$H85,$I85)))</f>
        <v/>
      </c>
      <c r="AD85" t="str">
        <f>IF($A85="","",IF(Allocation!$N$4="VOL_EFF",$L85,IF(Allocation!$N$4="VOL_CLASS",$M85,$N85)))</f>
        <v/>
      </c>
      <c r="AE85" t="str">
        <f>IF($A85="","",IF(Allocation!$N$3="VOL_EFF",$L85,IF(Allocation!$N$3="VOL_CLASS",$M85,$N85)))</f>
        <v/>
      </c>
      <c r="AF85" t="str">
        <f>IF($A85="","",IF(Allocation!$N$3="VOL_EFF",$Q85,IF(Allocation!$N$3="VOL_CLASS",$R85,$S85)))</f>
        <v/>
      </c>
      <c r="AG85" t="str">
        <f>IF($A85="","",IF(Allocation!$N$1="VOL_EFF",$Q85,IF(Allocation!$N$1="VOL_CLASS",$R85,$S85)))</f>
        <v/>
      </c>
      <c r="AH85" t="str">
        <f>IF($A85="","",IF(Allocation!$N$1="VOL_EFF",$T85,IF(Allocation!$N$1="VOL_CLASS",$U85,$V85)))</f>
        <v/>
      </c>
      <c r="AI85" t="str">
        <f t="shared" si="31"/>
        <v/>
      </c>
      <c r="AJ85" t="str">
        <f t="shared" si="32"/>
        <v/>
      </c>
      <c r="AK85" t="str">
        <f t="shared" si="33"/>
        <v/>
      </c>
      <c r="AL85" t="str">
        <f t="shared" si="34"/>
        <v/>
      </c>
      <c r="AM85" t="str">
        <f t="shared" si="35"/>
        <v/>
      </c>
      <c r="AN85" t="str">
        <f t="shared" si="36"/>
        <v/>
      </c>
      <c r="AO85" t="str">
        <f>IF($A85="","",Allocation!CJ85)</f>
        <v/>
      </c>
      <c r="AP85" t="str">
        <f>IF($A85="","",IF(Allocation!$N$2="VOL_EFF",$Q85,IF(Allocation!$N$2="VOL_CLASS",$R85,$S85)))</f>
        <v/>
      </c>
      <c r="AQ85" t="str">
        <f>IF($A85="","",IF(Allocation!$N$2="VOL_EFF",$T85,IF(Allocation!$N$2="VOL_CLASS",$U85,$V85)))</f>
        <v/>
      </c>
      <c r="AR85" t="str">
        <f t="shared" si="37"/>
        <v/>
      </c>
      <c r="AS85" t="str">
        <f>IF($A85="","",$A85&amp;"|"&amp;Allocation!BG85)</f>
        <v/>
      </c>
    </row>
    <row r="86" spans="1:45" x14ac:dyDescent="0.45">
      <c r="A86" t="str">
        <f>IF(Allocation!BI86="","",Allocation!BI86)</f>
        <v/>
      </c>
      <c r="B86" t="str">
        <f>IF(Allocation!BJ86="","",Allocation!BJ86)</f>
        <v/>
      </c>
      <c r="C86" t="str">
        <f>IF(Allocation!BK86="","",Allocation!BK86)</f>
        <v/>
      </c>
      <c r="D86" t="str">
        <f>IF(Allocation!BL86="","",Allocation!BL86)</f>
        <v/>
      </c>
      <c r="E86" t="str">
        <f>IF(Allocation!BM86="","",Allocation!BM86)</f>
        <v/>
      </c>
      <c r="F86" t="str">
        <f>IF(Allocation!BN86="","",Allocation!BN86)</f>
        <v/>
      </c>
      <c r="G86" t="str">
        <f>IF(Allocation!BO86="","",Allocation!BO86)</f>
        <v/>
      </c>
      <c r="H86" t="str">
        <f>IF(Allocation!BP86="","",Allocation!BP86)</f>
        <v/>
      </c>
      <c r="I86" t="str">
        <f>IF(Allocation!BQ86="","",Allocation!BQ86)</f>
        <v/>
      </c>
      <c r="J86" t="str">
        <f>IF(Allocation!CC86="","",Allocation!CC86)</f>
        <v/>
      </c>
      <c r="K86" t="str">
        <f t="shared" si="19"/>
        <v/>
      </c>
      <c r="L86" t="str">
        <f t="shared" si="20"/>
        <v/>
      </c>
      <c r="M86" t="str">
        <f t="shared" si="21"/>
        <v/>
      </c>
      <c r="N86" t="str">
        <f t="shared" si="22"/>
        <v/>
      </c>
      <c r="O86" t="str">
        <f t="shared" si="23"/>
        <v/>
      </c>
      <c r="P86" t="str">
        <f t="shared" si="24"/>
        <v/>
      </c>
      <c r="Q86" t="str">
        <f t="shared" si="25"/>
        <v/>
      </c>
      <c r="R86" t="str">
        <f t="shared" si="26"/>
        <v/>
      </c>
      <c r="S86" t="str">
        <f t="shared" si="27"/>
        <v/>
      </c>
      <c r="T86" t="str">
        <f t="shared" si="28"/>
        <v/>
      </c>
      <c r="U86" t="str">
        <f t="shared" si="29"/>
        <v/>
      </c>
      <c r="V86" t="str">
        <f t="shared" si="30"/>
        <v/>
      </c>
      <c r="W86" t="str">
        <f>IF($A86="","",Allocation!CD86)</f>
        <v/>
      </c>
      <c r="X86" t="str">
        <f>IF($A86="","",Allocation!CE86)</f>
        <v/>
      </c>
      <c r="Y86" t="str">
        <f>IF($A86="","",Allocation!CF86)</f>
        <v/>
      </c>
      <c r="Z86" t="str">
        <f>IF($A86="","",Allocation!CG86)</f>
        <v/>
      </c>
      <c r="AA86" t="str">
        <f>IF($A86="","",Allocation!CH86)</f>
        <v/>
      </c>
      <c r="AB86" t="str">
        <f>IF($A86="","",Allocation!CI86)</f>
        <v/>
      </c>
      <c r="AC86" t="str">
        <f>IF($A86="","",IF(Allocation!$N$4="VOL_EFF",$G86,IF(Allocation!$N$4="VOL_CLASS",$H86,$I86)))</f>
        <v/>
      </c>
      <c r="AD86" t="str">
        <f>IF($A86="","",IF(Allocation!$N$4="VOL_EFF",$L86,IF(Allocation!$N$4="VOL_CLASS",$M86,$N86)))</f>
        <v/>
      </c>
      <c r="AE86" t="str">
        <f>IF($A86="","",IF(Allocation!$N$3="VOL_EFF",$L86,IF(Allocation!$N$3="VOL_CLASS",$M86,$N86)))</f>
        <v/>
      </c>
      <c r="AF86" t="str">
        <f>IF($A86="","",IF(Allocation!$N$3="VOL_EFF",$Q86,IF(Allocation!$N$3="VOL_CLASS",$R86,$S86)))</f>
        <v/>
      </c>
      <c r="AG86" t="str">
        <f>IF($A86="","",IF(Allocation!$N$1="VOL_EFF",$Q86,IF(Allocation!$N$1="VOL_CLASS",$R86,$S86)))</f>
        <v/>
      </c>
      <c r="AH86" t="str">
        <f>IF($A86="","",IF(Allocation!$N$1="VOL_EFF",$T86,IF(Allocation!$N$1="VOL_CLASS",$U86,$V86)))</f>
        <v/>
      </c>
      <c r="AI86" t="str">
        <f t="shared" si="31"/>
        <v/>
      </c>
      <c r="AJ86" t="str">
        <f t="shared" si="32"/>
        <v/>
      </c>
      <c r="AK86" t="str">
        <f t="shared" si="33"/>
        <v/>
      </c>
      <c r="AL86" t="str">
        <f t="shared" si="34"/>
        <v/>
      </c>
      <c r="AM86" t="str">
        <f t="shared" si="35"/>
        <v/>
      </c>
      <c r="AN86" t="str">
        <f t="shared" si="36"/>
        <v/>
      </c>
      <c r="AO86" t="str">
        <f>IF($A86="","",Allocation!CJ86)</f>
        <v/>
      </c>
      <c r="AP86" t="str">
        <f>IF($A86="","",IF(Allocation!$N$2="VOL_EFF",$Q86,IF(Allocation!$N$2="VOL_CLASS",$R86,$S86)))</f>
        <v/>
      </c>
      <c r="AQ86" t="str">
        <f>IF($A86="","",IF(Allocation!$N$2="VOL_EFF",$T86,IF(Allocation!$N$2="VOL_CLASS",$U86,$V86)))</f>
        <v/>
      </c>
      <c r="AR86" t="str">
        <f t="shared" si="37"/>
        <v/>
      </c>
      <c r="AS86" t="str">
        <f>IF($A86="","",$A86&amp;"|"&amp;Allocation!BG86)</f>
        <v/>
      </c>
    </row>
    <row r="87" spans="1:45" x14ac:dyDescent="0.45">
      <c r="A87" t="str">
        <f>IF(Allocation!BI87="","",Allocation!BI87)</f>
        <v/>
      </c>
      <c r="B87" t="str">
        <f>IF(Allocation!BJ87="","",Allocation!BJ87)</f>
        <v/>
      </c>
      <c r="C87" t="str">
        <f>IF(Allocation!BK87="","",Allocation!BK87)</f>
        <v/>
      </c>
      <c r="D87" t="str">
        <f>IF(Allocation!BL87="","",Allocation!BL87)</f>
        <v/>
      </c>
      <c r="E87" t="str">
        <f>IF(Allocation!BM87="","",Allocation!BM87)</f>
        <v/>
      </c>
      <c r="F87" t="str">
        <f>IF(Allocation!BN87="","",Allocation!BN87)</f>
        <v/>
      </c>
      <c r="G87" t="str">
        <f>IF(Allocation!BO87="","",Allocation!BO87)</f>
        <v/>
      </c>
      <c r="H87" t="str">
        <f>IF(Allocation!BP87="","",Allocation!BP87)</f>
        <v/>
      </c>
      <c r="I87" t="str">
        <f>IF(Allocation!BQ87="","",Allocation!BQ87)</f>
        <v/>
      </c>
      <c r="J87" t="str">
        <f>IF(Allocation!CC87="","",Allocation!CC87)</f>
        <v/>
      </c>
      <c r="K87" t="str">
        <f t="shared" si="19"/>
        <v/>
      </c>
      <c r="L87" t="str">
        <f t="shared" si="20"/>
        <v/>
      </c>
      <c r="M87" t="str">
        <f t="shared" si="21"/>
        <v/>
      </c>
      <c r="N87" t="str">
        <f t="shared" si="22"/>
        <v/>
      </c>
      <c r="O87" t="str">
        <f t="shared" si="23"/>
        <v/>
      </c>
      <c r="P87" t="str">
        <f t="shared" si="24"/>
        <v/>
      </c>
      <c r="Q87" t="str">
        <f t="shared" si="25"/>
        <v/>
      </c>
      <c r="R87" t="str">
        <f t="shared" si="26"/>
        <v/>
      </c>
      <c r="S87" t="str">
        <f t="shared" si="27"/>
        <v/>
      </c>
      <c r="T87" t="str">
        <f t="shared" si="28"/>
        <v/>
      </c>
      <c r="U87" t="str">
        <f t="shared" si="29"/>
        <v/>
      </c>
      <c r="V87" t="str">
        <f t="shared" si="30"/>
        <v/>
      </c>
      <c r="W87" t="str">
        <f>IF($A87="","",Allocation!CD87)</f>
        <v/>
      </c>
      <c r="X87" t="str">
        <f>IF($A87="","",Allocation!CE87)</f>
        <v/>
      </c>
      <c r="Y87" t="str">
        <f>IF($A87="","",Allocation!CF87)</f>
        <v/>
      </c>
      <c r="Z87" t="str">
        <f>IF($A87="","",Allocation!CG87)</f>
        <v/>
      </c>
      <c r="AA87" t="str">
        <f>IF($A87="","",Allocation!CH87)</f>
        <v/>
      </c>
      <c r="AB87" t="str">
        <f>IF($A87="","",Allocation!CI87)</f>
        <v/>
      </c>
      <c r="AC87" t="str">
        <f>IF($A87="","",IF(Allocation!$N$4="VOL_EFF",$G87,IF(Allocation!$N$4="VOL_CLASS",$H87,$I87)))</f>
        <v/>
      </c>
      <c r="AD87" t="str">
        <f>IF($A87="","",IF(Allocation!$N$4="VOL_EFF",$L87,IF(Allocation!$N$4="VOL_CLASS",$M87,$N87)))</f>
        <v/>
      </c>
      <c r="AE87" t="str">
        <f>IF($A87="","",IF(Allocation!$N$3="VOL_EFF",$L87,IF(Allocation!$N$3="VOL_CLASS",$M87,$N87)))</f>
        <v/>
      </c>
      <c r="AF87" t="str">
        <f>IF($A87="","",IF(Allocation!$N$3="VOL_EFF",$Q87,IF(Allocation!$N$3="VOL_CLASS",$R87,$S87)))</f>
        <v/>
      </c>
      <c r="AG87" t="str">
        <f>IF($A87="","",IF(Allocation!$N$1="VOL_EFF",$Q87,IF(Allocation!$N$1="VOL_CLASS",$R87,$S87)))</f>
        <v/>
      </c>
      <c r="AH87" t="str">
        <f>IF($A87="","",IF(Allocation!$N$1="VOL_EFF",$T87,IF(Allocation!$N$1="VOL_CLASS",$U87,$V87)))</f>
        <v/>
      </c>
      <c r="AI87" t="str">
        <f t="shared" si="31"/>
        <v/>
      </c>
      <c r="AJ87" t="str">
        <f t="shared" si="32"/>
        <v/>
      </c>
      <c r="AK87" t="str">
        <f t="shared" si="33"/>
        <v/>
      </c>
      <c r="AL87" t="str">
        <f t="shared" si="34"/>
        <v/>
      </c>
      <c r="AM87" t="str">
        <f t="shared" si="35"/>
        <v/>
      </c>
      <c r="AN87" t="str">
        <f t="shared" si="36"/>
        <v/>
      </c>
      <c r="AO87" t="str">
        <f>IF($A87="","",Allocation!CJ87)</f>
        <v/>
      </c>
      <c r="AP87" t="str">
        <f>IF($A87="","",IF(Allocation!$N$2="VOL_EFF",$Q87,IF(Allocation!$N$2="VOL_CLASS",$R87,$S87)))</f>
        <v/>
      </c>
      <c r="AQ87" t="str">
        <f>IF($A87="","",IF(Allocation!$N$2="VOL_EFF",$T87,IF(Allocation!$N$2="VOL_CLASS",$U87,$V87)))</f>
        <v/>
      </c>
      <c r="AR87" t="str">
        <f t="shared" si="37"/>
        <v/>
      </c>
      <c r="AS87" t="str">
        <f>IF($A87="","",$A87&amp;"|"&amp;Allocation!BG87)</f>
        <v/>
      </c>
    </row>
    <row r="88" spans="1:45" x14ac:dyDescent="0.45">
      <c r="A88" t="str">
        <f>IF(Allocation!BI88="","",Allocation!BI88)</f>
        <v/>
      </c>
      <c r="B88" t="str">
        <f>IF(Allocation!BJ88="","",Allocation!BJ88)</f>
        <v/>
      </c>
      <c r="C88" t="str">
        <f>IF(Allocation!BK88="","",Allocation!BK88)</f>
        <v/>
      </c>
      <c r="D88" t="str">
        <f>IF(Allocation!BL88="","",Allocation!BL88)</f>
        <v/>
      </c>
      <c r="E88" t="str">
        <f>IF(Allocation!BM88="","",Allocation!BM88)</f>
        <v/>
      </c>
      <c r="F88" t="str">
        <f>IF(Allocation!BN88="","",Allocation!BN88)</f>
        <v/>
      </c>
      <c r="G88" t="str">
        <f>IF(Allocation!BO88="","",Allocation!BO88)</f>
        <v/>
      </c>
      <c r="H88" t="str">
        <f>IF(Allocation!BP88="","",Allocation!BP88)</f>
        <v/>
      </c>
      <c r="I88" t="str">
        <f>IF(Allocation!BQ88="","",Allocation!BQ88)</f>
        <v/>
      </c>
      <c r="J88" t="str">
        <f>IF(Allocation!CC88="","",Allocation!CC88)</f>
        <v/>
      </c>
      <c r="K88" t="str">
        <f t="shared" si="19"/>
        <v/>
      </c>
      <c r="L88" t="str">
        <f t="shared" si="20"/>
        <v/>
      </c>
      <c r="M88" t="str">
        <f t="shared" si="21"/>
        <v/>
      </c>
      <c r="N88" t="str">
        <f t="shared" si="22"/>
        <v/>
      </c>
      <c r="O88" t="str">
        <f t="shared" si="23"/>
        <v/>
      </c>
      <c r="P88" t="str">
        <f t="shared" si="24"/>
        <v/>
      </c>
      <c r="Q88" t="str">
        <f t="shared" si="25"/>
        <v/>
      </c>
      <c r="R88" t="str">
        <f t="shared" si="26"/>
        <v/>
      </c>
      <c r="S88" t="str">
        <f t="shared" si="27"/>
        <v/>
      </c>
      <c r="T88" t="str">
        <f t="shared" si="28"/>
        <v/>
      </c>
      <c r="U88" t="str">
        <f t="shared" si="29"/>
        <v/>
      </c>
      <c r="V88" t="str">
        <f t="shared" si="30"/>
        <v/>
      </c>
      <c r="W88" t="str">
        <f>IF($A88="","",Allocation!CD88)</f>
        <v/>
      </c>
      <c r="X88" t="str">
        <f>IF($A88="","",Allocation!CE88)</f>
        <v/>
      </c>
      <c r="Y88" t="str">
        <f>IF($A88="","",Allocation!CF88)</f>
        <v/>
      </c>
      <c r="Z88" t="str">
        <f>IF($A88="","",Allocation!CG88)</f>
        <v/>
      </c>
      <c r="AA88" t="str">
        <f>IF($A88="","",Allocation!CH88)</f>
        <v/>
      </c>
      <c r="AB88" t="str">
        <f>IF($A88="","",Allocation!CI88)</f>
        <v/>
      </c>
      <c r="AC88" t="str">
        <f>IF($A88="","",IF(Allocation!$N$4="VOL_EFF",$G88,IF(Allocation!$N$4="VOL_CLASS",$H88,$I88)))</f>
        <v/>
      </c>
      <c r="AD88" t="str">
        <f>IF($A88="","",IF(Allocation!$N$4="VOL_EFF",$L88,IF(Allocation!$N$4="VOL_CLASS",$M88,$N88)))</f>
        <v/>
      </c>
      <c r="AE88" t="str">
        <f>IF($A88="","",IF(Allocation!$N$3="VOL_EFF",$L88,IF(Allocation!$N$3="VOL_CLASS",$M88,$N88)))</f>
        <v/>
      </c>
      <c r="AF88" t="str">
        <f>IF($A88="","",IF(Allocation!$N$3="VOL_EFF",$Q88,IF(Allocation!$N$3="VOL_CLASS",$R88,$S88)))</f>
        <v/>
      </c>
      <c r="AG88" t="str">
        <f>IF($A88="","",IF(Allocation!$N$1="VOL_EFF",$Q88,IF(Allocation!$N$1="VOL_CLASS",$R88,$S88)))</f>
        <v/>
      </c>
      <c r="AH88" t="str">
        <f>IF($A88="","",IF(Allocation!$N$1="VOL_EFF",$T88,IF(Allocation!$N$1="VOL_CLASS",$U88,$V88)))</f>
        <v/>
      </c>
      <c r="AI88" t="str">
        <f t="shared" si="31"/>
        <v/>
      </c>
      <c r="AJ88" t="str">
        <f t="shared" si="32"/>
        <v/>
      </c>
      <c r="AK88" t="str">
        <f t="shared" si="33"/>
        <v/>
      </c>
      <c r="AL88" t="str">
        <f t="shared" si="34"/>
        <v/>
      </c>
      <c r="AM88" t="str">
        <f t="shared" si="35"/>
        <v/>
      </c>
      <c r="AN88" t="str">
        <f t="shared" si="36"/>
        <v/>
      </c>
      <c r="AO88" t="str">
        <f>IF($A88="","",Allocation!CJ88)</f>
        <v/>
      </c>
      <c r="AP88" t="str">
        <f>IF($A88="","",IF(Allocation!$N$2="VOL_EFF",$Q88,IF(Allocation!$N$2="VOL_CLASS",$R88,$S88)))</f>
        <v/>
      </c>
      <c r="AQ88" t="str">
        <f>IF($A88="","",IF(Allocation!$N$2="VOL_EFF",$T88,IF(Allocation!$N$2="VOL_CLASS",$U88,$V88)))</f>
        <v/>
      </c>
      <c r="AR88" t="str">
        <f t="shared" si="37"/>
        <v/>
      </c>
      <c r="AS88" t="str">
        <f>IF($A88="","",$A88&amp;"|"&amp;Allocation!BG88)</f>
        <v/>
      </c>
    </row>
    <row r="89" spans="1:45" x14ac:dyDescent="0.45">
      <c r="A89" t="str">
        <f>IF(Allocation!BI89="","",Allocation!BI89)</f>
        <v/>
      </c>
      <c r="B89" t="str">
        <f>IF(Allocation!BJ89="","",Allocation!BJ89)</f>
        <v/>
      </c>
      <c r="C89" t="str">
        <f>IF(Allocation!BK89="","",Allocation!BK89)</f>
        <v/>
      </c>
      <c r="D89" t="str">
        <f>IF(Allocation!BL89="","",Allocation!BL89)</f>
        <v/>
      </c>
      <c r="E89" t="str">
        <f>IF(Allocation!BM89="","",Allocation!BM89)</f>
        <v/>
      </c>
      <c r="F89" t="str">
        <f>IF(Allocation!BN89="","",Allocation!BN89)</f>
        <v/>
      </c>
      <c r="G89" t="str">
        <f>IF(Allocation!BO89="","",Allocation!BO89)</f>
        <v/>
      </c>
      <c r="H89" t="str">
        <f>IF(Allocation!BP89="","",Allocation!BP89)</f>
        <v/>
      </c>
      <c r="I89" t="str">
        <f>IF(Allocation!BQ89="","",Allocation!BQ89)</f>
        <v/>
      </c>
      <c r="J89" t="str">
        <f>IF(Allocation!CC89="","",Allocation!CC89)</f>
        <v/>
      </c>
      <c r="K89" t="str">
        <f t="shared" si="19"/>
        <v/>
      </c>
      <c r="L89" t="str">
        <f t="shared" si="20"/>
        <v/>
      </c>
      <c r="M89" t="str">
        <f t="shared" si="21"/>
        <v/>
      </c>
      <c r="N89" t="str">
        <f t="shared" si="22"/>
        <v/>
      </c>
      <c r="O89" t="str">
        <f t="shared" si="23"/>
        <v/>
      </c>
      <c r="P89" t="str">
        <f t="shared" si="24"/>
        <v/>
      </c>
      <c r="Q89" t="str">
        <f t="shared" si="25"/>
        <v/>
      </c>
      <c r="R89" t="str">
        <f t="shared" si="26"/>
        <v/>
      </c>
      <c r="S89" t="str">
        <f t="shared" si="27"/>
        <v/>
      </c>
      <c r="T89" t="str">
        <f t="shared" si="28"/>
        <v/>
      </c>
      <c r="U89" t="str">
        <f t="shared" si="29"/>
        <v/>
      </c>
      <c r="V89" t="str">
        <f t="shared" si="30"/>
        <v/>
      </c>
      <c r="W89" t="str">
        <f>IF($A89="","",Allocation!CD89)</f>
        <v/>
      </c>
      <c r="X89" t="str">
        <f>IF($A89="","",Allocation!CE89)</f>
        <v/>
      </c>
      <c r="Y89" t="str">
        <f>IF($A89="","",Allocation!CF89)</f>
        <v/>
      </c>
      <c r="Z89" t="str">
        <f>IF($A89="","",Allocation!CG89)</f>
        <v/>
      </c>
      <c r="AA89" t="str">
        <f>IF($A89="","",Allocation!CH89)</f>
        <v/>
      </c>
      <c r="AB89" t="str">
        <f>IF($A89="","",Allocation!CI89)</f>
        <v/>
      </c>
      <c r="AC89" t="str">
        <f>IF($A89="","",IF(Allocation!$N$4="VOL_EFF",$G89,IF(Allocation!$N$4="VOL_CLASS",$H89,$I89)))</f>
        <v/>
      </c>
      <c r="AD89" t="str">
        <f>IF($A89="","",IF(Allocation!$N$4="VOL_EFF",$L89,IF(Allocation!$N$4="VOL_CLASS",$M89,$N89)))</f>
        <v/>
      </c>
      <c r="AE89" t="str">
        <f>IF($A89="","",IF(Allocation!$N$3="VOL_EFF",$L89,IF(Allocation!$N$3="VOL_CLASS",$M89,$N89)))</f>
        <v/>
      </c>
      <c r="AF89" t="str">
        <f>IF($A89="","",IF(Allocation!$N$3="VOL_EFF",$Q89,IF(Allocation!$N$3="VOL_CLASS",$R89,$S89)))</f>
        <v/>
      </c>
      <c r="AG89" t="str">
        <f>IF($A89="","",IF(Allocation!$N$1="VOL_EFF",$Q89,IF(Allocation!$N$1="VOL_CLASS",$R89,$S89)))</f>
        <v/>
      </c>
      <c r="AH89" t="str">
        <f>IF($A89="","",IF(Allocation!$N$1="VOL_EFF",$T89,IF(Allocation!$N$1="VOL_CLASS",$U89,$V89)))</f>
        <v/>
      </c>
      <c r="AI89" t="str">
        <f t="shared" si="31"/>
        <v/>
      </c>
      <c r="AJ89" t="str">
        <f t="shared" si="32"/>
        <v/>
      </c>
      <c r="AK89" t="str">
        <f t="shared" si="33"/>
        <v/>
      </c>
      <c r="AL89" t="str">
        <f t="shared" si="34"/>
        <v/>
      </c>
      <c r="AM89" t="str">
        <f t="shared" si="35"/>
        <v/>
      </c>
      <c r="AN89" t="str">
        <f t="shared" si="36"/>
        <v/>
      </c>
      <c r="AO89" t="str">
        <f>IF($A89="","",Allocation!CJ89)</f>
        <v/>
      </c>
      <c r="AP89" t="str">
        <f>IF($A89="","",IF(Allocation!$N$2="VOL_EFF",$Q89,IF(Allocation!$N$2="VOL_CLASS",$R89,$S89)))</f>
        <v/>
      </c>
      <c r="AQ89" t="str">
        <f>IF($A89="","",IF(Allocation!$N$2="VOL_EFF",$T89,IF(Allocation!$N$2="VOL_CLASS",$U89,$V89)))</f>
        <v/>
      </c>
      <c r="AR89" t="str">
        <f t="shared" si="37"/>
        <v/>
      </c>
      <c r="AS89" t="str">
        <f>IF($A89="","",$A89&amp;"|"&amp;Allocation!BG89)</f>
        <v/>
      </c>
    </row>
    <row r="90" spans="1:45" x14ac:dyDescent="0.45">
      <c r="A90" t="str">
        <f>IF(Allocation!BI90="","",Allocation!BI90)</f>
        <v/>
      </c>
      <c r="B90" t="str">
        <f>IF(Allocation!BJ90="","",Allocation!BJ90)</f>
        <v/>
      </c>
      <c r="C90" t="str">
        <f>IF(Allocation!BK90="","",Allocation!BK90)</f>
        <v/>
      </c>
      <c r="D90" t="str">
        <f>IF(Allocation!BL90="","",Allocation!BL90)</f>
        <v/>
      </c>
      <c r="E90" t="str">
        <f>IF(Allocation!BM90="","",Allocation!BM90)</f>
        <v/>
      </c>
      <c r="F90" t="str">
        <f>IF(Allocation!BN90="","",Allocation!BN90)</f>
        <v/>
      </c>
      <c r="G90" t="str">
        <f>IF(Allocation!BO90="","",Allocation!BO90)</f>
        <v/>
      </c>
      <c r="H90" t="str">
        <f>IF(Allocation!BP90="","",Allocation!BP90)</f>
        <v/>
      </c>
      <c r="I90" t="str">
        <f>IF(Allocation!BQ90="","",Allocation!BQ90)</f>
        <v/>
      </c>
      <c r="J90" t="str">
        <f>IF(Allocation!CC90="","",Allocation!CC90)</f>
        <v/>
      </c>
      <c r="K90" t="str">
        <f t="shared" si="19"/>
        <v/>
      </c>
      <c r="L90" t="str">
        <f t="shared" si="20"/>
        <v/>
      </c>
      <c r="M90" t="str">
        <f t="shared" si="21"/>
        <v/>
      </c>
      <c r="N90" t="str">
        <f t="shared" si="22"/>
        <v/>
      </c>
      <c r="O90" t="str">
        <f t="shared" si="23"/>
        <v/>
      </c>
      <c r="P90" t="str">
        <f t="shared" si="24"/>
        <v/>
      </c>
      <c r="Q90" t="str">
        <f t="shared" si="25"/>
        <v/>
      </c>
      <c r="R90" t="str">
        <f t="shared" si="26"/>
        <v/>
      </c>
      <c r="S90" t="str">
        <f t="shared" si="27"/>
        <v/>
      </c>
      <c r="T90" t="str">
        <f t="shared" si="28"/>
        <v/>
      </c>
      <c r="U90" t="str">
        <f t="shared" si="29"/>
        <v/>
      </c>
      <c r="V90" t="str">
        <f t="shared" si="30"/>
        <v/>
      </c>
      <c r="W90" t="str">
        <f>IF($A90="","",Allocation!CD90)</f>
        <v/>
      </c>
      <c r="X90" t="str">
        <f>IF($A90="","",Allocation!CE90)</f>
        <v/>
      </c>
      <c r="Y90" t="str">
        <f>IF($A90="","",Allocation!CF90)</f>
        <v/>
      </c>
      <c r="Z90" t="str">
        <f>IF($A90="","",Allocation!CG90)</f>
        <v/>
      </c>
      <c r="AA90" t="str">
        <f>IF($A90="","",Allocation!CH90)</f>
        <v/>
      </c>
      <c r="AB90" t="str">
        <f>IF($A90="","",Allocation!CI90)</f>
        <v/>
      </c>
      <c r="AC90" t="str">
        <f>IF($A90="","",IF(Allocation!$N$4="VOL_EFF",$G90,IF(Allocation!$N$4="VOL_CLASS",$H90,$I90)))</f>
        <v/>
      </c>
      <c r="AD90" t="str">
        <f>IF($A90="","",IF(Allocation!$N$4="VOL_EFF",$L90,IF(Allocation!$N$4="VOL_CLASS",$M90,$N90)))</f>
        <v/>
      </c>
      <c r="AE90" t="str">
        <f>IF($A90="","",IF(Allocation!$N$3="VOL_EFF",$L90,IF(Allocation!$N$3="VOL_CLASS",$M90,$N90)))</f>
        <v/>
      </c>
      <c r="AF90" t="str">
        <f>IF($A90="","",IF(Allocation!$N$3="VOL_EFF",$Q90,IF(Allocation!$N$3="VOL_CLASS",$R90,$S90)))</f>
        <v/>
      </c>
      <c r="AG90" t="str">
        <f>IF($A90="","",IF(Allocation!$N$1="VOL_EFF",$Q90,IF(Allocation!$N$1="VOL_CLASS",$R90,$S90)))</f>
        <v/>
      </c>
      <c r="AH90" t="str">
        <f>IF($A90="","",IF(Allocation!$N$1="VOL_EFF",$T90,IF(Allocation!$N$1="VOL_CLASS",$U90,$V90)))</f>
        <v/>
      </c>
      <c r="AI90" t="str">
        <f t="shared" si="31"/>
        <v/>
      </c>
      <c r="AJ90" t="str">
        <f t="shared" si="32"/>
        <v/>
      </c>
      <c r="AK90" t="str">
        <f t="shared" si="33"/>
        <v/>
      </c>
      <c r="AL90" t="str">
        <f t="shared" si="34"/>
        <v/>
      </c>
      <c r="AM90" t="str">
        <f t="shared" si="35"/>
        <v/>
      </c>
      <c r="AN90" t="str">
        <f t="shared" si="36"/>
        <v/>
      </c>
      <c r="AO90" t="str">
        <f>IF($A90="","",Allocation!CJ90)</f>
        <v/>
      </c>
      <c r="AP90" t="str">
        <f>IF($A90="","",IF(Allocation!$N$2="VOL_EFF",$Q90,IF(Allocation!$N$2="VOL_CLASS",$R90,$S90)))</f>
        <v/>
      </c>
      <c r="AQ90" t="str">
        <f>IF($A90="","",IF(Allocation!$N$2="VOL_EFF",$T90,IF(Allocation!$N$2="VOL_CLASS",$U90,$V90)))</f>
        <v/>
      </c>
      <c r="AR90" t="str">
        <f t="shared" si="37"/>
        <v/>
      </c>
      <c r="AS90" t="str">
        <f>IF($A90="","",$A90&amp;"|"&amp;Allocation!BG90)</f>
        <v/>
      </c>
    </row>
    <row r="91" spans="1:45" x14ac:dyDescent="0.45">
      <c r="A91" t="str">
        <f>IF(Allocation!BI91="","",Allocation!BI91)</f>
        <v/>
      </c>
      <c r="B91" t="str">
        <f>IF(Allocation!BJ91="","",Allocation!BJ91)</f>
        <v/>
      </c>
      <c r="C91" t="str">
        <f>IF(Allocation!BK91="","",Allocation!BK91)</f>
        <v/>
      </c>
      <c r="D91" t="str">
        <f>IF(Allocation!BL91="","",Allocation!BL91)</f>
        <v/>
      </c>
      <c r="E91" t="str">
        <f>IF(Allocation!BM91="","",Allocation!BM91)</f>
        <v/>
      </c>
      <c r="F91" t="str">
        <f>IF(Allocation!BN91="","",Allocation!BN91)</f>
        <v/>
      </c>
      <c r="G91" t="str">
        <f>IF(Allocation!BO91="","",Allocation!BO91)</f>
        <v/>
      </c>
      <c r="H91" t="str">
        <f>IF(Allocation!BP91="","",Allocation!BP91)</f>
        <v/>
      </c>
      <c r="I91" t="str">
        <f>IF(Allocation!BQ91="","",Allocation!BQ91)</f>
        <v/>
      </c>
      <c r="J91" t="str">
        <f>IF(Allocation!CC91="","",Allocation!CC91)</f>
        <v/>
      </c>
      <c r="K91" t="str">
        <f t="shared" si="19"/>
        <v/>
      </c>
      <c r="L91" t="str">
        <f t="shared" si="20"/>
        <v/>
      </c>
      <c r="M91" t="str">
        <f t="shared" si="21"/>
        <v/>
      </c>
      <c r="N91" t="str">
        <f t="shared" si="22"/>
        <v/>
      </c>
      <c r="O91" t="str">
        <f t="shared" si="23"/>
        <v/>
      </c>
      <c r="P91" t="str">
        <f t="shared" si="24"/>
        <v/>
      </c>
      <c r="Q91" t="str">
        <f t="shared" si="25"/>
        <v/>
      </c>
      <c r="R91" t="str">
        <f t="shared" si="26"/>
        <v/>
      </c>
      <c r="S91" t="str">
        <f t="shared" si="27"/>
        <v/>
      </c>
      <c r="T91" t="str">
        <f t="shared" si="28"/>
        <v/>
      </c>
      <c r="U91" t="str">
        <f t="shared" si="29"/>
        <v/>
      </c>
      <c r="V91" t="str">
        <f t="shared" si="30"/>
        <v/>
      </c>
      <c r="W91" t="str">
        <f>IF($A91="","",Allocation!CD91)</f>
        <v/>
      </c>
      <c r="X91" t="str">
        <f>IF($A91="","",Allocation!CE91)</f>
        <v/>
      </c>
      <c r="Y91" t="str">
        <f>IF($A91="","",Allocation!CF91)</f>
        <v/>
      </c>
      <c r="Z91" t="str">
        <f>IF($A91="","",Allocation!CG91)</f>
        <v/>
      </c>
      <c r="AA91" t="str">
        <f>IF($A91="","",Allocation!CH91)</f>
        <v/>
      </c>
      <c r="AB91" t="str">
        <f>IF($A91="","",Allocation!CI91)</f>
        <v/>
      </c>
      <c r="AC91" t="str">
        <f>IF($A91="","",IF(Allocation!$N$4="VOL_EFF",$G91,IF(Allocation!$N$4="VOL_CLASS",$H91,$I91)))</f>
        <v/>
      </c>
      <c r="AD91" t="str">
        <f>IF($A91="","",IF(Allocation!$N$4="VOL_EFF",$L91,IF(Allocation!$N$4="VOL_CLASS",$M91,$N91)))</f>
        <v/>
      </c>
      <c r="AE91" t="str">
        <f>IF($A91="","",IF(Allocation!$N$3="VOL_EFF",$L91,IF(Allocation!$N$3="VOL_CLASS",$M91,$N91)))</f>
        <v/>
      </c>
      <c r="AF91" t="str">
        <f>IF($A91="","",IF(Allocation!$N$3="VOL_EFF",$Q91,IF(Allocation!$N$3="VOL_CLASS",$R91,$S91)))</f>
        <v/>
      </c>
      <c r="AG91" t="str">
        <f>IF($A91="","",IF(Allocation!$N$1="VOL_EFF",$Q91,IF(Allocation!$N$1="VOL_CLASS",$R91,$S91)))</f>
        <v/>
      </c>
      <c r="AH91" t="str">
        <f>IF($A91="","",IF(Allocation!$N$1="VOL_EFF",$T91,IF(Allocation!$N$1="VOL_CLASS",$U91,$V91)))</f>
        <v/>
      </c>
      <c r="AI91" t="str">
        <f t="shared" si="31"/>
        <v/>
      </c>
      <c r="AJ91" t="str">
        <f t="shared" si="32"/>
        <v/>
      </c>
      <c r="AK91" t="str">
        <f t="shared" si="33"/>
        <v/>
      </c>
      <c r="AL91" t="str">
        <f t="shared" si="34"/>
        <v/>
      </c>
      <c r="AM91" t="str">
        <f t="shared" si="35"/>
        <v/>
      </c>
      <c r="AN91" t="str">
        <f t="shared" si="36"/>
        <v/>
      </c>
      <c r="AO91" t="str">
        <f>IF($A91="","",Allocation!CJ91)</f>
        <v/>
      </c>
      <c r="AP91" t="str">
        <f>IF($A91="","",IF(Allocation!$N$2="VOL_EFF",$Q91,IF(Allocation!$N$2="VOL_CLASS",$R91,$S91)))</f>
        <v/>
      </c>
      <c r="AQ91" t="str">
        <f>IF($A91="","",IF(Allocation!$N$2="VOL_EFF",$T91,IF(Allocation!$N$2="VOL_CLASS",$U91,$V91)))</f>
        <v/>
      </c>
      <c r="AR91" t="str">
        <f t="shared" si="37"/>
        <v/>
      </c>
      <c r="AS91" t="str">
        <f>IF($A91="","",$A91&amp;"|"&amp;Allocation!BG91)</f>
        <v/>
      </c>
    </row>
    <row r="92" spans="1:45" x14ac:dyDescent="0.45">
      <c r="A92" t="str">
        <f>IF(Allocation!BI92="","",Allocation!BI92)</f>
        <v/>
      </c>
      <c r="B92" t="str">
        <f>IF(Allocation!BJ92="","",Allocation!BJ92)</f>
        <v/>
      </c>
      <c r="C92" t="str">
        <f>IF(Allocation!BK92="","",Allocation!BK92)</f>
        <v/>
      </c>
      <c r="D92" t="str">
        <f>IF(Allocation!BL92="","",Allocation!BL92)</f>
        <v/>
      </c>
      <c r="E92" t="str">
        <f>IF(Allocation!BM92="","",Allocation!BM92)</f>
        <v/>
      </c>
      <c r="F92" t="str">
        <f>IF(Allocation!BN92="","",Allocation!BN92)</f>
        <v/>
      </c>
      <c r="G92" t="str">
        <f>IF(Allocation!BO92="","",Allocation!BO92)</f>
        <v/>
      </c>
      <c r="H92" t="str">
        <f>IF(Allocation!BP92="","",Allocation!BP92)</f>
        <v/>
      </c>
      <c r="I92" t="str">
        <f>IF(Allocation!BQ92="","",Allocation!BQ92)</f>
        <v/>
      </c>
      <c r="J92" t="str">
        <f>IF(Allocation!CC92="","",Allocation!CC92)</f>
        <v/>
      </c>
      <c r="K92" t="str">
        <f t="shared" si="19"/>
        <v/>
      </c>
      <c r="L92" t="str">
        <f t="shared" si="20"/>
        <v/>
      </c>
      <c r="M92" t="str">
        <f t="shared" si="21"/>
        <v/>
      </c>
      <c r="N92" t="str">
        <f t="shared" si="22"/>
        <v/>
      </c>
      <c r="O92" t="str">
        <f t="shared" si="23"/>
        <v/>
      </c>
      <c r="P92" t="str">
        <f t="shared" si="24"/>
        <v/>
      </c>
      <c r="Q92" t="str">
        <f t="shared" si="25"/>
        <v/>
      </c>
      <c r="R92" t="str">
        <f t="shared" si="26"/>
        <v/>
      </c>
      <c r="S92" t="str">
        <f t="shared" si="27"/>
        <v/>
      </c>
      <c r="T92" t="str">
        <f t="shared" si="28"/>
        <v/>
      </c>
      <c r="U92" t="str">
        <f t="shared" si="29"/>
        <v/>
      </c>
      <c r="V92" t="str">
        <f t="shared" si="30"/>
        <v/>
      </c>
      <c r="W92" t="str">
        <f>IF($A92="","",Allocation!CD92)</f>
        <v/>
      </c>
      <c r="X92" t="str">
        <f>IF($A92="","",Allocation!CE92)</f>
        <v/>
      </c>
      <c r="Y92" t="str">
        <f>IF($A92="","",Allocation!CF92)</f>
        <v/>
      </c>
      <c r="Z92" t="str">
        <f>IF($A92="","",Allocation!CG92)</f>
        <v/>
      </c>
      <c r="AA92" t="str">
        <f>IF($A92="","",Allocation!CH92)</f>
        <v/>
      </c>
      <c r="AB92" t="str">
        <f>IF($A92="","",Allocation!CI92)</f>
        <v/>
      </c>
      <c r="AC92" t="str">
        <f>IF($A92="","",IF(Allocation!$N$4="VOL_EFF",$G92,IF(Allocation!$N$4="VOL_CLASS",$H92,$I92)))</f>
        <v/>
      </c>
      <c r="AD92" t="str">
        <f>IF($A92="","",IF(Allocation!$N$4="VOL_EFF",$L92,IF(Allocation!$N$4="VOL_CLASS",$M92,$N92)))</f>
        <v/>
      </c>
      <c r="AE92" t="str">
        <f>IF($A92="","",IF(Allocation!$N$3="VOL_EFF",$L92,IF(Allocation!$N$3="VOL_CLASS",$M92,$N92)))</f>
        <v/>
      </c>
      <c r="AF92" t="str">
        <f>IF($A92="","",IF(Allocation!$N$3="VOL_EFF",$Q92,IF(Allocation!$N$3="VOL_CLASS",$R92,$S92)))</f>
        <v/>
      </c>
      <c r="AG92" t="str">
        <f>IF($A92="","",IF(Allocation!$N$1="VOL_EFF",$Q92,IF(Allocation!$N$1="VOL_CLASS",$R92,$S92)))</f>
        <v/>
      </c>
      <c r="AH92" t="str">
        <f>IF($A92="","",IF(Allocation!$N$1="VOL_EFF",$T92,IF(Allocation!$N$1="VOL_CLASS",$U92,$V92)))</f>
        <v/>
      </c>
      <c r="AI92" t="str">
        <f t="shared" si="31"/>
        <v/>
      </c>
      <c r="AJ92" t="str">
        <f t="shared" si="32"/>
        <v/>
      </c>
      <c r="AK92" t="str">
        <f t="shared" si="33"/>
        <v/>
      </c>
      <c r="AL92" t="str">
        <f t="shared" si="34"/>
        <v/>
      </c>
      <c r="AM92" t="str">
        <f t="shared" si="35"/>
        <v/>
      </c>
      <c r="AN92" t="str">
        <f t="shared" si="36"/>
        <v/>
      </c>
      <c r="AO92" t="str">
        <f>IF($A92="","",Allocation!CJ92)</f>
        <v/>
      </c>
      <c r="AP92" t="str">
        <f>IF($A92="","",IF(Allocation!$N$2="VOL_EFF",$Q92,IF(Allocation!$N$2="VOL_CLASS",$R92,$S92)))</f>
        <v/>
      </c>
      <c r="AQ92" t="str">
        <f>IF($A92="","",IF(Allocation!$N$2="VOL_EFF",$T92,IF(Allocation!$N$2="VOL_CLASS",$U92,$V92)))</f>
        <v/>
      </c>
      <c r="AR92" t="str">
        <f t="shared" si="37"/>
        <v/>
      </c>
      <c r="AS92" t="str">
        <f>IF($A92="","",$A92&amp;"|"&amp;Allocation!BG92)</f>
        <v/>
      </c>
    </row>
    <row r="93" spans="1:45" x14ac:dyDescent="0.45">
      <c r="A93" t="str">
        <f>IF(Allocation!BI93="","",Allocation!BI93)</f>
        <v/>
      </c>
      <c r="B93" t="str">
        <f>IF(Allocation!BJ93="","",Allocation!BJ93)</f>
        <v/>
      </c>
      <c r="C93" t="str">
        <f>IF(Allocation!BK93="","",Allocation!BK93)</f>
        <v/>
      </c>
      <c r="D93" t="str">
        <f>IF(Allocation!BL93="","",Allocation!BL93)</f>
        <v/>
      </c>
      <c r="E93" t="str">
        <f>IF(Allocation!BM93="","",Allocation!BM93)</f>
        <v/>
      </c>
      <c r="F93" t="str">
        <f>IF(Allocation!BN93="","",Allocation!BN93)</f>
        <v/>
      </c>
      <c r="G93" t="str">
        <f>IF(Allocation!BO93="","",Allocation!BO93)</f>
        <v/>
      </c>
      <c r="H93" t="str">
        <f>IF(Allocation!BP93="","",Allocation!BP93)</f>
        <v/>
      </c>
      <c r="I93" t="str">
        <f>IF(Allocation!BQ93="","",Allocation!BQ93)</f>
        <v/>
      </c>
      <c r="J93" t="str">
        <f>IF(Allocation!CC93="","",Allocation!CC93)</f>
        <v/>
      </c>
      <c r="K93" t="str">
        <f t="shared" si="19"/>
        <v/>
      </c>
      <c r="L93" t="str">
        <f t="shared" si="20"/>
        <v/>
      </c>
      <c r="M93" t="str">
        <f t="shared" si="21"/>
        <v/>
      </c>
      <c r="N93" t="str">
        <f t="shared" si="22"/>
        <v/>
      </c>
      <c r="O93" t="str">
        <f t="shared" si="23"/>
        <v/>
      </c>
      <c r="P93" t="str">
        <f t="shared" si="24"/>
        <v/>
      </c>
      <c r="Q93" t="str">
        <f t="shared" si="25"/>
        <v/>
      </c>
      <c r="R93" t="str">
        <f t="shared" si="26"/>
        <v/>
      </c>
      <c r="S93" t="str">
        <f t="shared" si="27"/>
        <v/>
      </c>
      <c r="T93" t="str">
        <f t="shared" si="28"/>
        <v/>
      </c>
      <c r="U93" t="str">
        <f t="shared" si="29"/>
        <v/>
      </c>
      <c r="V93" t="str">
        <f t="shared" si="30"/>
        <v/>
      </c>
      <c r="W93" t="str">
        <f>IF($A93="","",Allocation!CD93)</f>
        <v/>
      </c>
      <c r="X93" t="str">
        <f>IF($A93="","",Allocation!CE93)</f>
        <v/>
      </c>
      <c r="Y93" t="str">
        <f>IF($A93="","",Allocation!CF93)</f>
        <v/>
      </c>
      <c r="Z93" t="str">
        <f>IF($A93="","",Allocation!CG93)</f>
        <v/>
      </c>
      <c r="AA93" t="str">
        <f>IF($A93="","",Allocation!CH93)</f>
        <v/>
      </c>
      <c r="AB93" t="str">
        <f>IF($A93="","",Allocation!CI93)</f>
        <v/>
      </c>
      <c r="AC93" t="str">
        <f>IF($A93="","",IF(Allocation!$N$4="VOL_EFF",$G93,IF(Allocation!$N$4="VOL_CLASS",$H93,$I93)))</f>
        <v/>
      </c>
      <c r="AD93" t="str">
        <f>IF($A93="","",IF(Allocation!$N$4="VOL_EFF",$L93,IF(Allocation!$N$4="VOL_CLASS",$M93,$N93)))</f>
        <v/>
      </c>
      <c r="AE93" t="str">
        <f>IF($A93="","",IF(Allocation!$N$3="VOL_EFF",$L93,IF(Allocation!$N$3="VOL_CLASS",$M93,$N93)))</f>
        <v/>
      </c>
      <c r="AF93" t="str">
        <f>IF($A93="","",IF(Allocation!$N$3="VOL_EFF",$Q93,IF(Allocation!$N$3="VOL_CLASS",$R93,$S93)))</f>
        <v/>
      </c>
      <c r="AG93" t="str">
        <f>IF($A93="","",IF(Allocation!$N$1="VOL_EFF",$Q93,IF(Allocation!$N$1="VOL_CLASS",$R93,$S93)))</f>
        <v/>
      </c>
      <c r="AH93" t="str">
        <f>IF($A93="","",IF(Allocation!$N$1="VOL_EFF",$T93,IF(Allocation!$N$1="VOL_CLASS",$U93,$V93)))</f>
        <v/>
      </c>
      <c r="AI93" t="str">
        <f t="shared" si="31"/>
        <v/>
      </c>
      <c r="AJ93" t="str">
        <f t="shared" si="32"/>
        <v/>
      </c>
      <c r="AK93" t="str">
        <f t="shared" si="33"/>
        <v/>
      </c>
      <c r="AL93" t="str">
        <f t="shared" si="34"/>
        <v/>
      </c>
      <c r="AM93" t="str">
        <f t="shared" si="35"/>
        <v/>
      </c>
      <c r="AN93" t="str">
        <f t="shared" si="36"/>
        <v/>
      </c>
      <c r="AO93" t="str">
        <f>IF($A93="","",Allocation!CJ93)</f>
        <v/>
      </c>
      <c r="AP93" t="str">
        <f>IF($A93="","",IF(Allocation!$N$2="VOL_EFF",$Q93,IF(Allocation!$N$2="VOL_CLASS",$R93,$S93)))</f>
        <v/>
      </c>
      <c r="AQ93" t="str">
        <f>IF($A93="","",IF(Allocation!$N$2="VOL_EFF",$T93,IF(Allocation!$N$2="VOL_CLASS",$U93,$V93)))</f>
        <v/>
      </c>
      <c r="AR93" t="str">
        <f t="shared" si="37"/>
        <v/>
      </c>
      <c r="AS93" t="str">
        <f>IF($A93="","",$A93&amp;"|"&amp;Allocation!BG93)</f>
        <v/>
      </c>
    </row>
    <row r="94" spans="1:45" x14ac:dyDescent="0.45">
      <c r="A94" t="str">
        <f>IF(Allocation!BI94="","",Allocation!BI94)</f>
        <v/>
      </c>
      <c r="B94" t="str">
        <f>IF(Allocation!BJ94="","",Allocation!BJ94)</f>
        <v/>
      </c>
      <c r="C94" t="str">
        <f>IF(Allocation!BK94="","",Allocation!BK94)</f>
        <v/>
      </c>
      <c r="D94" t="str">
        <f>IF(Allocation!BL94="","",Allocation!BL94)</f>
        <v/>
      </c>
      <c r="E94" t="str">
        <f>IF(Allocation!BM94="","",Allocation!BM94)</f>
        <v/>
      </c>
      <c r="F94" t="str">
        <f>IF(Allocation!BN94="","",Allocation!BN94)</f>
        <v/>
      </c>
      <c r="G94" t="str">
        <f>IF(Allocation!BO94="","",Allocation!BO94)</f>
        <v/>
      </c>
      <c r="H94" t="str">
        <f>IF(Allocation!BP94="","",Allocation!BP94)</f>
        <v/>
      </c>
      <c r="I94" t="str">
        <f>IF(Allocation!BQ94="","",Allocation!BQ94)</f>
        <v/>
      </c>
      <c r="J94" t="str">
        <f>IF(Allocation!CC94="","",Allocation!CC94)</f>
        <v/>
      </c>
      <c r="K94" t="str">
        <f t="shared" si="19"/>
        <v/>
      </c>
      <c r="L94" t="str">
        <f t="shared" si="20"/>
        <v/>
      </c>
      <c r="M94" t="str">
        <f t="shared" si="21"/>
        <v/>
      </c>
      <c r="N94" t="str">
        <f t="shared" si="22"/>
        <v/>
      </c>
      <c r="O94" t="str">
        <f t="shared" si="23"/>
        <v/>
      </c>
      <c r="P94" t="str">
        <f t="shared" si="24"/>
        <v/>
      </c>
      <c r="Q94" t="str">
        <f t="shared" si="25"/>
        <v/>
      </c>
      <c r="R94" t="str">
        <f t="shared" si="26"/>
        <v/>
      </c>
      <c r="S94" t="str">
        <f t="shared" si="27"/>
        <v/>
      </c>
      <c r="T94" t="str">
        <f t="shared" si="28"/>
        <v/>
      </c>
      <c r="U94" t="str">
        <f t="shared" si="29"/>
        <v/>
      </c>
      <c r="V94" t="str">
        <f t="shared" si="30"/>
        <v/>
      </c>
      <c r="W94" t="str">
        <f>IF($A94="","",Allocation!CD94)</f>
        <v/>
      </c>
      <c r="X94" t="str">
        <f>IF($A94="","",Allocation!CE94)</f>
        <v/>
      </c>
      <c r="Y94" t="str">
        <f>IF($A94="","",Allocation!CF94)</f>
        <v/>
      </c>
      <c r="Z94" t="str">
        <f>IF($A94="","",Allocation!CG94)</f>
        <v/>
      </c>
      <c r="AA94" t="str">
        <f>IF($A94="","",Allocation!CH94)</f>
        <v/>
      </c>
      <c r="AB94" t="str">
        <f>IF($A94="","",Allocation!CI94)</f>
        <v/>
      </c>
      <c r="AC94" t="str">
        <f>IF($A94="","",IF(Allocation!$N$4="VOL_EFF",$G94,IF(Allocation!$N$4="VOL_CLASS",$H94,$I94)))</f>
        <v/>
      </c>
      <c r="AD94" t="str">
        <f>IF($A94="","",IF(Allocation!$N$4="VOL_EFF",$L94,IF(Allocation!$N$4="VOL_CLASS",$M94,$N94)))</f>
        <v/>
      </c>
      <c r="AE94" t="str">
        <f>IF($A94="","",IF(Allocation!$N$3="VOL_EFF",$L94,IF(Allocation!$N$3="VOL_CLASS",$M94,$N94)))</f>
        <v/>
      </c>
      <c r="AF94" t="str">
        <f>IF($A94="","",IF(Allocation!$N$3="VOL_EFF",$Q94,IF(Allocation!$N$3="VOL_CLASS",$R94,$S94)))</f>
        <v/>
      </c>
      <c r="AG94" t="str">
        <f>IF($A94="","",IF(Allocation!$N$1="VOL_EFF",$Q94,IF(Allocation!$N$1="VOL_CLASS",$R94,$S94)))</f>
        <v/>
      </c>
      <c r="AH94" t="str">
        <f>IF($A94="","",IF(Allocation!$N$1="VOL_EFF",$T94,IF(Allocation!$N$1="VOL_CLASS",$U94,$V94)))</f>
        <v/>
      </c>
      <c r="AI94" t="str">
        <f t="shared" si="31"/>
        <v/>
      </c>
      <c r="AJ94" t="str">
        <f t="shared" si="32"/>
        <v/>
      </c>
      <c r="AK94" t="str">
        <f t="shared" si="33"/>
        <v/>
      </c>
      <c r="AL94" t="str">
        <f t="shared" si="34"/>
        <v/>
      </c>
      <c r="AM94" t="str">
        <f t="shared" si="35"/>
        <v/>
      </c>
      <c r="AN94" t="str">
        <f t="shared" si="36"/>
        <v/>
      </c>
      <c r="AO94" t="str">
        <f>IF($A94="","",Allocation!CJ94)</f>
        <v/>
      </c>
      <c r="AP94" t="str">
        <f>IF($A94="","",IF(Allocation!$N$2="VOL_EFF",$Q94,IF(Allocation!$N$2="VOL_CLASS",$R94,$S94)))</f>
        <v/>
      </c>
      <c r="AQ94" t="str">
        <f>IF($A94="","",IF(Allocation!$N$2="VOL_EFF",$T94,IF(Allocation!$N$2="VOL_CLASS",$U94,$V94)))</f>
        <v/>
      </c>
      <c r="AR94" t="str">
        <f t="shared" si="37"/>
        <v/>
      </c>
      <c r="AS94" t="str">
        <f>IF($A94="","",$A94&amp;"|"&amp;Allocation!BG94)</f>
        <v/>
      </c>
    </row>
    <row r="95" spans="1:45" x14ac:dyDescent="0.45">
      <c r="A95" t="str">
        <f>IF(Allocation!BI95="","",Allocation!BI95)</f>
        <v/>
      </c>
      <c r="B95" t="str">
        <f>IF(Allocation!BJ95="","",Allocation!BJ95)</f>
        <v/>
      </c>
      <c r="C95" t="str">
        <f>IF(Allocation!BK95="","",Allocation!BK95)</f>
        <v/>
      </c>
      <c r="D95" t="str">
        <f>IF(Allocation!BL95="","",Allocation!BL95)</f>
        <v/>
      </c>
      <c r="E95" t="str">
        <f>IF(Allocation!BM95="","",Allocation!BM95)</f>
        <v/>
      </c>
      <c r="F95" t="str">
        <f>IF(Allocation!BN95="","",Allocation!BN95)</f>
        <v/>
      </c>
      <c r="G95" t="str">
        <f>IF(Allocation!BO95="","",Allocation!BO95)</f>
        <v/>
      </c>
      <c r="H95" t="str">
        <f>IF(Allocation!BP95="","",Allocation!BP95)</f>
        <v/>
      </c>
      <c r="I95" t="str">
        <f>IF(Allocation!BQ95="","",Allocation!BQ95)</f>
        <v/>
      </c>
      <c r="J95" t="str">
        <f>IF(Allocation!CC95="","",Allocation!CC95)</f>
        <v/>
      </c>
      <c r="K95" t="str">
        <f t="shared" si="19"/>
        <v/>
      </c>
      <c r="L95" t="str">
        <f t="shared" si="20"/>
        <v/>
      </c>
      <c r="M95" t="str">
        <f t="shared" si="21"/>
        <v/>
      </c>
      <c r="N95" t="str">
        <f t="shared" si="22"/>
        <v/>
      </c>
      <c r="O95" t="str">
        <f t="shared" si="23"/>
        <v/>
      </c>
      <c r="P95" t="str">
        <f t="shared" si="24"/>
        <v/>
      </c>
      <c r="Q95" t="str">
        <f t="shared" si="25"/>
        <v/>
      </c>
      <c r="R95" t="str">
        <f t="shared" si="26"/>
        <v/>
      </c>
      <c r="S95" t="str">
        <f t="shared" si="27"/>
        <v/>
      </c>
      <c r="T95" t="str">
        <f t="shared" si="28"/>
        <v/>
      </c>
      <c r="U95" t="str">
        <f t="shared" si="29"/>
        <v/>
      </c>
      <c r="V95" t="str">
        <f t="shared" si="30"/>
        <v/>
      </c>
      <c r="W95" t="str">
        <f>IF($A95="","",Allocation!CD95)</f>
        <v/>
      </c>
      <c r="X95" t="str">
        <f>IF($A95="","",Allocation!CE95)</f>
        <v/>
      </c>
      <c r="Y95" t="str">
        <f>IF($A95="","",Allocation!CF95)</f>
        <v/>
      </c>
      <c r="Z95" t="str">
        <f>IF($A95="","",Allocation!CG95)</f>
        <v/>
      </c>
      <c r="AA95" t="str">
        <f>IF($A95="","",Allocation!CH95)</f>
        <v/>
      </c>
      <c r="AB95" t="str">
        <f>IF($A95="","",Allocation!CI95)</f>
        <v/>
      </c>
      <c r="AC95" t="str">
        <f>IF($A95="","",IF(Allocation!$N$4="VOL_EFF",$G95,IF(Allocation!$N$4="VOL_CLASS",$H95,$I95)))</f>
        <v/>
      </c>
      <c r="AD95" t="str">
        <f>IF($A95="","",IF(Allocation!$N$4="VOL_EFF",$L95,IF(Allocation!$N$4="VOL_CLASS",$M95,$N95)))</f>
        <v/>
      </c>
      <c r="AE95" t="str">
        <f>IF($A95="","",IF(Allocation!$N$3="VOL_EFF",$L95,IF(Allocation!$N$3="VOL_CLASS",$M95,$N95)))</f>
        <v/>
      </c>
      <c r="AF95" t="str">
        <f>IF($A95="","",IF(Allocation!$N$3="VOL_EFF",$Q95,IF(Allocation!$N$3="VOL_CLASS",$R95,$S95)))</f>
        <v/>
      </c>
      <c r="AG95" t="str">
        <f>IF($A95="","",IF(Allocation!$N$1="VOL_EFF",$Q95,IF(Allocation!$N$1="VOL_CLASS",$R95,$S95)))</f>
        <v/>
      </c>
      <c r="AH95" t="str">
        <f>IF($A95="","",IF(Allocation!$N$1="VOL_EFF",$T95,IF(Allocation!$N$1="VOL_CLASS",$U95,$V95)))</f>
        <v/>
      </c>
      <c r="AI95" t="str">
        <f t="shared" si="31"/>
        <v/>
      </c>
      <c r="AJ95" t="str">
        <f t="shared" si="32"/>
        <v/>
      </c>
      <c r="AK95" t="str">
        <f t="shared" si="33"/>
        <v/>
      </c>
      <c r="AL95" t="str">
        <f t="shared" si="34"/>
        <v/>
      </c>
      <c r="AM95" t="str">
        <f t="shared" si="35"/>
        <v/>
      </c>
      <c r="AN95" t="str">
        <f t="shared" si="36"/>
        <v/>
      </c>
      <c r="AO95" t="str">
        <f>IF($A95="","",Allocation!CJ95)</f>
        <v/>
      </c>
      <c r="AP95" t="str">
        <f>IF($A95="","",IF(Allocation!$N$2="VOL_EFF",$Q95,IF(Allocation!$N$2="VOL_CLASS",$R95,$S95)))</f>
        <v/>
      </c>
      <c r="AQ95" t="str">
        <f>IF($A95="","",IF(Allocation!$N$2="VOL_EFF",$T95,IF(Allocation!$N$2="VOL_CLASS",$U95,$V95)))</f>
        <v/>
      </c>
      <c r="AR95" t="str">
        <f t="shared" si="37"/>
        <v/>
      </c>
      <c r="AS95" t="str">
        <f>IF($A95="","",$A95&amp;"|"&amp;Allocation!BG95)</f>
        <v/>
      </c>
    </row>
    <row r="96" spans="1:45" x14ac:dyDescent="0.45">
      <c r="A96" t="str">
        <f>IF(Allocation!BI96="","",Allocation!BI96)</f>
        <v/>
      </c>
      <c r="B96" t="str">
        <f>IF(Allocation!BJ96="","",Allocation!BJ96)</f>
        <v/>
      </c>
      <c r="C96" t="str">
        <f>IF(Allocation!BK96="","",Allocation!BK96)</f>
        <v/>
      </c>
      <c r="D96" t="str">
        <f>IF(Allocation!BL96="","",Allocation!BL96)</f>
        <v/>
      </c>
      <c r="E96" t="str">
        <f>IF(Allocation!BM96="","",Allocation!BM96)</f>
        <v/>
      </c>
      <c r="F96" t="str">
        <f>IF(Allocation!BN96="","",Allocation!BN96)</f>
        <v/>
      </c>
      <c r="G96" t="str">
        <f>IF(Allocation!BO96="","",Allocation!BO96)</f>
        <v/>
      </c>
      <c r="H96" t="str">
        <f>IF(Allocation!BP96="","",Allocation!BP96)</f>
        <v/>
      </c>
      <c r="I96" t="str">
        <f>IF(Allocation!BQ96="","",Allocation!BQ96)</f>
        <v/>
      </c>
      <c r="J96" t="str">
        <f>IF(Allocation!CC96="","",Allocation!CC96)</f>
        <v/>
      </c>
      <c r="K96" t="str">
        <f t="shared" si="19"/>
        <v/>
      </c>
      <c r="L96" t="str">
        <f t="shared" si="20"/>
        <v/>
      </c>
      <c r="M96" t="str">
        <f t="shared" si="21"/>
        <v/>
      </c>
      <c r="N96" t="str">
        <f t="shared" si="22"/>
        <v/>
      </c>
      <c r="O96" t="str">
        <f t="shared" si="23"/>
        <v/>
      </c>
      <c r="P96" t="str">
        <f t="shared" si="24"/>
        <v/>
      </c>
      <c r="Q96" t="str">
        <f t="shared" si="25"/>
        <v/>
      </c>
      <c r="R96" t="str">
        <f t="shared" si="26"/>
        <v/>
      </c>
      <c r="S96" t="str">
        <f t="shared" si="27"/>
        <v/>
      </c>
      <c r="T96" t="str">
        <f t="shared" si="28"/>
        <v/>
      </c>
      <c r="U96" t="str">
        <f t="shared" si="29"/>
        <v/>
      </c>
      <c r="V96" t="str">
        <f t="shared" si="30"/>
        <v/>
      </c>
      <c r="W96" t="str">
        <f>IF($A96="","",Allocation!CD96)</f>
        <v/>
      </c>
      <c r="X96" t="str">
        <f>IF($A96="","",Allocation!CE96)</f>
        <v/>
      </c>
      <c r="Y96" t="str">
        <f>IF($A96="","",Allocation!CF96)</f>
        <v/>
      </c>
      <c r="Z96" t="str">
        <f>IF($A96="","",Allocation!CG96)</f>
        <v/>
      </c>
      <c r="AA96" t="str">
        <f>IF($A96="","",Allocation!CH96)</f>
        <v/>
      </c>
      <c r="AB96" t="str">
        <f>IF($A96="","",Allocation!CI96)</f>
        <v/>
      </c>
      <c r="AC96" t="str">
        <f>IF($A96="","",IF(Allocation!$N$4="VOL_EFF",$G96,IF(Allocation!$N$4="VOL_CLASS",$H96,$I96)))</f>
        <v/>
      </c>
      <c r="AD96" t="str">
        <f>IF($A96="","",IF(Allocation!$N$4="VOL_EFF",$L96,IF(Allocation!$N$4="VOL_CLASS",$M96,$N96)))</f>
        <v/>
      </c>
      <c r="AE96" t="str">
        <f>IF($A96="","",IF(Allocation!$N$3="VOL_EFF",$L96,IF(Allocation!$N$3="VOL_CLASS",$M96,$N96)))</f>
        <v/>
      </c>
      <c r="AF96" t="str">
        <f>IF($A96="","",IF(Allocation!$N$3="VOL_EFF",$Q96,IF(Allocation!$N$3="VOL_CLASS",$R96,$S96)))</f>
        <v/>
      </c>
      <c r="AG96" t="str">
        <f>IF($A96="","",IF(Allocation!$N$1="VOL_EFF",$Q96,IF(Allocation!$N$1="VOL_CLASS",$R96,$S96)))</f>
        <v/>
      </c>
      <c r="AH96" t="str">
        <f>IF($A96="","",IF(Allocation!$N$1="VOL_EFF",$T96,IF(Allocation!$N$1="VOL_CLASS",$U96,$V96)))</f>
        <v/>
      </c>
      <c r="AI96" t="str">
        <f t="shared" si="31"/>
        <v/>
      </c>
      <c r="AJ96" t="str">
        <f t="shared" si="32"/>
        <v/>
      </c>
      <c r="AK96" t="str">
        <f t="shared" si="33"/>
        <v/>
      </c>
      <c r="AL96" t="str">
        <f t="shared" si="34"/>
        <v/>
      </c>
      <c r="AM96" t="str">
        <f t="shared" si="35"/>
        <v/>
      </c>
      <c r="AN96" t="str">
        <f t="shared" si="36"/>
        <v/>
      </c>
      <c r="AO96" t="str">
        <f>IF($A96="","",Allocation!CJ96)</f>
        <v/>
      </c>
      <c r="AP96" t="str">
        <f>IF($A96="","",IF(Allocation!$N$2="VOL_EFF",$Q96,IF(Allocation!$N$2="VOL_CLASS",$R96,$S96)))</f>
        <v/>
      </c>
      <c r="AQ96" t="str">
        <f>IF($A96="","",IF(Allocation!$N$2="VOL_EFF",$T96,IF(Allocation!$N$2="VOL_CLASS",$U96,$V96)))</f>
        <v/>
      </c>
      <c r="AR96" t="str">
        <f t="shared" si="37"/>
        <v/>
      </c>
      <c r="AS96" t="str">
        <f>IF($A96="","",$A96&amp;"|"&amp;Allocation!BG96)</f>
        <v/>
      </c>
    </row>
    <row r="97" spans="1:45" x14ac:dyDescent="0.45">
      <c r="A97" t="str">
        <f>IF(Allocation!BI97="","",Allocation!BI97)</f>
        <v/>
      </c>
      <c r="B97" t="str">
        <f>IF(Allocation!BJ97="","",Allocation!BJ97)</f>
        <v/>
      </c>
      <c r="C97" t="str">
        <f>IF(Allocation!BK97="","",Allocation!BK97)</f>
        <v/>
      </c>
      <c r="D97" t="str">
        <f>IF(Allocation!BL97="","",Allocation!BL97)</f>
        <v/>
      </c>
      <c r="E97" t="str">
        <f>IF(Allocation!BM97="","",Allocation!BM97)</f>
        <v/>
      </c>
      <c r="F97" t="str">
        <f>IF(Allocation!BN97="","",Allocation!BN97)</f>
        <v/>
      </c>
      <c r="G97" t="str">
        <f>IF(Allocation!BO97="","",Allocation!BO97)</f>
        <v/>
      </c>
      <c r="H97" t="str">
        <f>IF(Allocation!BP97="","",Allocation!BP97)</f>
        <v/>
      </c>
      <c r="I97" t="str">
        <f>IF(Allocation!BQ97="","",Allocation!BQ97)</f>
        <v/>
      </c>
      <c r="J97" t="str">
        <f>IF(Allocation!CC97="","",Allocation!CC97)</f>
        <v/>
      </c>
      <c r="K97" t="str">
        <f t="shared" si="19"/>
        <v/>
      </c>
      <c r="L97" t="str">
        <f t="shared" si="20"/>
        <v/>
      </c>
      <c r="M97" t="str">
        <f t="shared" si="21"/>
        <v/>
      </c>
      <c r="N97" t="str">
        <f t="shared" si="22"/>
        <v/>
      </c>
      <c r="O97" t="str">
        <f t="shared" si="23"/>
        <v/>
      </c>
      <c r="P97" t="str">
        <f t="shared" si="24"/>
        <v/>
      </c>
      <c r="Q97" t="str">
        <f t="shared" si="25"/>
        <v/>
      </c>
      <c r="R97" t="str">
        <f t="shared" si="26"/>
        <v/>
      </c>
      <c r="S97" t="str">
        <f t="shared" si="27"/>
        <v/>
      </c>
      <c r="T97" t="str">
        <f t="shared" si="28"/>
        <v/>
      </c>
      <c r="U97" t="str">
        <f t="shared" si="29"/>
        <v/>
      </c>
      <c r="V97" t="str">
        <f t="shared" si="30"/>
        <v/>
      </c>
      <c r="W97" t="str">
        <f>IF($A97="","",Allocation!CD97)</f>
        <v/>
      </c>
      <c r="X97" t="str">
        <f>IF($A97="","",Allocation!CE97)</f>
        <v/>
      </c>
      <c r="Y97" t="str">
        <f>IF($A97="","",Allocation!CF97)</f>
        <v/>
      </c>
      <c r="Z97" t="str">
        <f>IF($A97="","",Allocation!CG97)</f>
        <v/>
      </c>
      <c r="AA97" t="str">
        <f>IF($A97="","",Allocation!CH97)</f>
        <v/>
      </c>
      <c r="AB97" t="str">
        <f>IF($A97="","",Allocation!CI97)</f>
        <v/>
      </c>
      <c r="AC97" t="str">
        <f>IF($A97="","",IF(Allocation!$N$4="VOL_EFF",$G97,IF(Allocation!$N$4="VOL_CLASS",$H97,$I97)))</f>
        <v/>
      </c>
      <c r="AD97" t="str">
        <f>IF($A97="","",IF(Allocation!$N$4="VOL_EFF",$L97,IF(Allocation!$N$4="VOL_CLASS",$M97,$N97)))</f>
        <v/>
      </c>
      <c r="AE97" t="str">
        <f>IF($A97="","",IF(Allocation!$N$3="VOL_EFF",$L97,IF(Allocation!$N$3="VOL_CLASS",$M97,$N97)))</f>
        <v/>
      </c>
      <c r="AF97" t="str">
        <f>IF($A97="","",IF(Allocation!$N$3="VOL_EFF",$Q97,IF(Allocation!$N$3="VOL_CLASS",$R97,$S97)))</f>
        <v/>
      </c>
      <c r="AG97" t="str">
        <f>IF($A97="","",IF(Allocation!$N$1="VOL_EFF",$Q97,IF(Allocation!$N$1="VOL_CLASS",$R97,$S97)))</f>
        <v/>
      </c>
      <c r="AH97" t="str">
        <f>IF($A97="","",IF(Allocation!$N$1="VOL_EFF",$T97,IF(Allocation!$N$1="VOL_CLASS",$U97,$V97)))</f>
        <v/>
      </c>
      <c r="AI97" t="str">
        <f t="shared" si="31"/>
        <v/>
      </c>
      <c r="AJ97" t="str">
        <f t="shared" si="32"/>
        <v/>
      </c>
      <c r="AK97" t="str">
        <f t="shared" si="33"/>
        <v/>
      </c>
      <c r="AL97" t="str">
        <f t="shared" si="34"/>
        <v/>
      </c>
      <c r="AM97" t="str">
        <f t="shared" si="35"/>
        <v/>
      </c>
      <c r="AN97" t="str">
        <f t="shared" si="36"/>
        <v/>
      </c>
      <c r="AO97" t="str">
        <f>IF($A97="","",Allocation!CJ97)</f>
        <v/>
      </c>
      <c r="AP97" t="str">
        <f>IF($A97="","",IF(Allocation!$N$2="VOL_EFF",$Q97,IF(Allocation!$N$2="VOL_CLASS",$R97,$S97)))</f>
        <v/>
      </c>
      <c r="AQ97" t="str">
        <f>IF($A97="","",IF(Allocation!$N$2="VOL_EFF",$T97,IF(Allocation!$N$2="VOL_CLASS",$U97,$V97)))</f>
        <v/>
      </c>
      <c r="AR97" t="str">
        <f t="shared" si="37"/>
        <v/>
      </c>
      <c r="AS97" t="str">
        <f>IF($A97="","",$A97&amp;"|"&amp;Allocation!BG97)</f>
        <v/>
      </c>
    </row>
    <row r="98" spans="1:45" x14ac:dyDescent="0.45">
      <c r="A98" t="str">
        <f>IF(Allocation!BI98="","",Allocation!BI98)</f>
        <v/>
      </c>
      <c r="B98" t="str">
        <f>IF(Allocation!BJ98="","",Allocation!BJ98)</f>
        <v/>
      </c>
      <c r="C98" t="str">
        <f>IF(Allocation!BK98="","",Allocation!BK98)</f>
        <v/>
      </c>
      <c r="D98" t="str">
        <f>IF(Allocation!BL98="","",Allocation!BL98)</f>
        <v/>
      </c>
      <c r="E98" t="str">
        <f>IF(Allocation!BM98="","",Allocation!BM98)</f>
        <v/>
      </c>
      <c r="F98" t="str">
        <f>IF(Allocation!BN98="","",Allocation!BN98)</f>
        <v/>
      </c>
      <c r="G98" t="str">
        <f>IF(Allocation!BO98="","",Allocation!BO98)</f>
        <v/>
      </c>
      <c r="H98" t="str">
        <f>IF(Allocation!BP98="","",Allocation!BP98)</f>
        <v/>
      </c>
      <c r="I98" t="str">
        <f>IF(Allocation!BQ98="","",Allocation!BQ98)</f>
        <v/>
      </c>
      <c r="J98" t="str">
        <f>IF(Allocation!CC98="","",Allocation!CC98)</f>
        <v/>
      </c>
      <c r="K98" t="str">
        <f t="shared" si="19"/>
        <v/>
      </c>
      <c r="L98" t="str">
        <f t="shared" si="20"/>
        <v/>
      </c>
      <c r="M98" t="str">
        <f t="shared" si="21"/>
        <v/>
      </c>
      <c r="N98" t="str">
        <f t="shared" si="22"/>
        <v/>
      </c>
      <c r="O98" t="str">
        <f t="shared" si="23"/>
        <v/>
      </c>
      <c r="P98" t="str">
        <f t="shared" si="24"/>
        <v/>
      </c>
      <c r="Q98" t="str">
        <f t="shared" si="25"/>
        <v/>
      </c>
      <c r="R98" t="str">
        <f t="shared" si="26"/>
        <v/>
      </c>
      <c r="S98" t="str">
        <f t="shared" si="27"/>
        <v/>
      </c>
      <c r="T98" t="str">
        <f t="shared" si="28"/>
        <v/>
      </c>
      <c r="U98" t="str">
        <f t="shared" si="29"/>
        <v/>
      </c>
      <c r="V98" t="str">
        <f t="shared" si="30"/>
        <v/>
      </c>
      <c r="W98" t="str">
        <f>IF($A98="","",Allocation!CD98)</f>
        <v/>
      </c>
      <c r="X98" t="str">
        <f>IF($A98="","",Allocation!CE98)</f>
        <v/>
      </c>
      <c r="Y98" t="str">
        <f>IF($A98="","",Allocation!CF98)</f>
        <v/>
      </c>
      <c r="Z98" t="str">
        <f>IF($A98="","",Allocation!CG98)</f>
        <v/>
      </c>
      <c r="AA98" t="str">
        <f>IF($A98="","",Allocation!CH98)</f>
        <v/>
      </c>
      <c r="AB98" t="str">
        <f>IF($A98="","",Allocation!CI98)</f>
        <v/>
      </c>
      <c r="AC98" t="str">
        <f>IF($A98="","",IF(Allocation!$N$4="VOL_EFF",$G98,IF(Allocation!$N$4="VOL_CLASS",$H98,$I98)))</f>
        <v/>
      </c>
      <c r="AD98" t="str">
        <f>IF($A98="","",IF(Allocation!$N$4="VOL_EFF",$L98,IF(Allocation!$N$4="VOL_CLASS",$M98,$N98)))</f>
        <v/>
      </c>
      <c r="AE98" t="str">
        <f>IF($A98="","",IF(Allocation!$N$3="VOL_EFF",$L98,IF(Allocation!$N$3="VOL_CLASS",$M98,$N98)))</f>
        <v/>
      </c>
      <c r="AF98" t="str">
        <f>IF($A98="","",IF(Allocation!$N$3="VOL_EFF",$Q98,IF(Allocation!$N$3="VOL_CLASS",$R98,$S98)))</f>
        <v/>
      </c>
      <c r="AG98" t="str">
        <f>IF($A98="","",IF(Allocation!$N$1="VOL_EFF",$Q98,IF(Allocation!$N$1="VOL_CLASS",$R98,$S98)))</f>
        <v/>
      </c>
      <c r="AH98" t="str">
        <f>IF($A98="","",IF(Allocation!$N$1="VOL_EFF",$T98,IF(Allocation!$N$1="VOL_CLASS",$U98,$V98)))</f>
        <v/>
      </c>
      <c r="AI98" t="str">
        <f t="shared" si="31"/>
        <v/>
      </c>
      <c r="AJ98" t="str">
        <f t="shared" si="32"/>
        <v/>
      </c>
      <c r="AK98" t="str">
        <f t="shared" si="33"/>
        <v/>
      </c>
      <c r="AL98" t="str">
        <f t="shared" si="34"/>
        <v/>
      </c>
      <c r="AM98" t="str">
        <f t="shared" si="35"/>
        <v/>
      </c>
      <c r="AN98" t="str">
        <f t="shared" si="36"/>
        <v/>
      </c>
      <c r="AO98" t="str">
        <f>IF($A98="","",Allocation!CJ98)</f>
        <v/>
      </c>
      <c r="AP98" t="str">
        <f>IF($A98="","",IF(Allocation!$N$2="VOL_EFF",$Q98,IF(Allocation!$N$2="VOL_CLASS",$R98,$S98)))</f>
        <v/>
      </c>
      <c r="AQ98" t="str">
        <f>IF($A98="","",IF(Allocation!$N$2="VOL_EFF",$T98,IF(Allocation!$N$2="VOL_CLASS",$U98,$V98)))</f>
        <v/>
      </c>
      <c r="AR98" t="str">
        <f t="shared" si="37"/>
        <v/>
      </c>
      <c r="AS98" t="str">
        <f>IF($A98="","",$A98&amp;"|"&amp;Allocation!BG98)</f>
        <v/>
      </c>
    </row>
    <row r="99" spans="1:45" x14ac:dyDescent="0.45">
      <c r="A99" t="str">
        <f>IF(Allocation!BI99="","",Allocation!BI99)</f>
        <v/>
      </c>
      <c r="B99" t="str">
        <f>IF(Allocation!BJ99="","",Allocation!BJ99)</f>
        <v/>
      </c>
      <c r="C99" t="str">
        <f>IF(Allocation!BK99="","",Allocation!BK99)</f>
        <v/>
      </c>
      <c r="D99" t="str">
        <f>IF(Allocation!BL99="","",Allocation!BL99)</f>
        <v/>
      </c>
      <c r="E99" t="str">
        <f>IF(Allocation!BM99="","",Allocation!BM99)</f>
        <v/>
      </c>
      <c r="F99" t="str">
        <f>IF(Allocation!BN99="","",Allocation!BN99)</f>
        <v/>
      </c>
      <c r="G99" t="str">
        <f>IF(Allocation!BO99="","",Allocation!BO99)</f>
        <v/>
      </c>
      <c r="H99" t="str">
        <f>IF(Allocation!BP99="","",Allocation!BP99)</f>
        <v/>
      </c>
      <c r="I99" t="str">
        <f>IF(Allocation!BQ99="","",Allocation!BQ99)</f>
        <v/>
      </c>
      <c r="J99" t="str">
        <f>IF(Allocation!CC99="","",Allocation!CC99)</f>
        <v/>
      </c>
      <c r="K99" t="str">
        <f t="shared" si="19"/>
        <v/>
      </c>
      <c r="L99" t="str">
        <f t="shared" si="20"/>
        <v/>
      </c>
      <c r="M99" t="str">
        <f t="shared" si="21"/>
        <v/>
      </c>
      <c r="N99" t="str">
        <f t="shared" si="22"/>
        <v/>
      </c>
      <c r="O99" t="str">
        <f t="shared" si="23"/>
        <v/>
      </c>
      <c r="P99" t="str">
        <f t="shared" si="24"/>
        <v/>
      </c>
      <c r="Q99" t="str">
        <f t="shared" si="25"/>
        <v/>
      </c>
      <c r="R99" t="str">
        <f t="shared" si="26"/>
        <v/>
      </c>
      <c r="S99" t="str">
        <f t="shared" si="27"/>
        <v/>
      </c>
      <c r="T99" t="str">
        <f t="shared" si="28"/>
        <v/>
      </c>
      <c r="U99" t="str">
        <f t="shared" si="29"/>
        <v/>
      </c>
      <c r="V99" t="str">
        <f t="shared" si="30"/>
        <v/>
      </c>
      <c r="W99" t="str">
        <f>IF($A99="","",Allocation!CD99)</f>
        <v/>
      </c>
      <c r="X99" t="str">
        <f>IF($A99="","",Allocation!CE99)</f>
        <v/>
      </c>
      <c r="Y99" t="str">
        <f>IF($A99="","",Allocation!CF99)</f>
        <v/>
      </c>
      <c r="Z99" t="str">
        <f>IF($A99="","",Allocation!CG99)</f>
        <v/>
      </c>
      <c r="AA99" t="str">
        <f>IF($A99="","",Allocation!CH99)</f>
        <v/>
      </c>
      <c r="AB99" t="str">
        <f>IF($A99="","",Allocation!CI99)</f>
        <v/>
      </c>
      <c r="AC99" t="str">
        <f>IF($A99="","",IF(Allocation!$N$4="VOL_EFF",$G99,IF(Allocation!$N$4="VOL_CLASS",$H99,$I99)))</f>
        <v/>
      </c>
      <c r="AD99" t="str">
        <f>IF($A99="","",IF(Allocation!$N$4="VOL_EFF",$L99,IF(Allocation!$N$4="VOL_CLASS",$M99,$N99)))</f>
        <v/>
      </c>
      <c r="AE99" t="str">
        <f>IF($A99="","",IF(Allocation!$N$3="VOL_EFF",$L99,IF(Allocation!$N$3="VOL_CLASS",$M99,$N99)))</f>
        <v/>
      </c>
      <c r="AF99" t="str">
        <f>IF($A99="","",IF(Allocation!$N$3="VOL_EFF",$Q99,IF(Allocation!$N$3="VOL_CLASS",$R99,$S99)))</f>
        <v/>
      </c>
      <c r="AG99" t="str">
        <f>IF($A99="","",IF(Allocation!$N$1="VOL_EFF",$Q99,IF(Allocation!$N$1="VOL_CLASS",$R99,$S99)))</f>
        <v/>
      </c>
      <c r="AH99" t="str">
        <f>IF($A99="","",IF(Allocation!$N$1="VOL_EFF",$T99,IF(Allocation!$N$1="VOL_CLASS",$U99,$V99)))</f>
        <v/>
      </c>
      <c r="AI99" t="str">
        <f t="shared" si="31"/>
        <v/>
      </c>
      <c r="AJ99" t="str">
        <f t="shared" si="32"/>
        <v/>
      </c>
      <c r="AK99" t="str">
        <f t="shared" si="33"/>
        <v/>
      </c>
      <c r="AL99" t="str">
        <f t="shared" si="34"/>
        <v/>
      </c>
      <c r="AM99" t="str">
        <f t="shared" si="35"/>
        <v/>
      </c>
      <c r="AN99" t="str">
        <f t="shared" si="36"/>
        <v/>
      </c>
      <c r="AO99" t="str">
        <f>IF($A99="","",Allocation!CJ99)</f>
        <v/>
      </c>
      <c r="AP99" t="str">
        <f>IF($A99="","",IF(Allocation!$N$2="VOL_EFF",$Q99,IF(Allocation!$N$2="VOL_CLASS",$R99,$S99)))</f>
        <v/>
      </c>
      <c r="AQ99" t="str">
        <f>IF($A99="","",IF(Allocation!$N$2="VOL_EFF",$T99,IF(Allocation!$N$2="VOL_CLASS",$U99,$V99)))</f>
        <v/>
      </c>
      <c r="AR99" t="str">
        <f t="shared" si="37"/>
        <v/>
      </c>
      <c r="AS99" t="str">
        <f>IF($A99="","",$A99&amp;"|"&amp;Allocation!BG99)</f>
        <v/>
      </c>
    </row>
    <row r="100" spans="1:45" x14ac:dyDescent="0.45">
      <c r="A100" t="str">
        <f>IF(Allocation!BI100="","",Allocation!BI100)</f>
        <v/>
      </c>
      <c r="B100" t="str">
        <f>IF(Allocation!BJ100="","",Allocation!BJ100)</f>
        <v/>
      </c>
      <c r="C100" t="str">
        <f>IF(Allocation!BK100="","",Allocation!BK100)</f>
        <v/>
      </c>
      <c r="D100" t="str">
        <f>IF(Allocation!BL100="","",Allocation!BL100)</f>
        <v/>
      </c>
      <c r="E100" t="str">
        <f>IF(Allocation!BM100="","",Allocation!BM100)</f>
        <v/>
      </c>
      <c r="F100" t="str">
        <f>IF(Allocation!BN100="","",Allocation!BN100)</f>
        <v/>
      </c>
      <c r="G100" t="str">
        <f>IF(Allocation!BO100="","",Allocation!BO100)</f>
        <v/>
      </c>
      <c r="H100" t="str">
        <f>IF(Allocation!BP100="","",Allocation!BP100)</f>
        <v/>
      </c>
      <c r="I100" t="str">
        <f>IF(Allocation!BQ100="","",Allocation!BQ100)</f>
        <v/>
      </c>
      <c r="J100" t="str">
        <f>IF(Allocation!CC100="","",Allocation!CC100)</f>
        <v/>
      </c>
      <c r="K100" t="str">
        <f t="shared" si="19"/>
        <v/>
      </c>
      <c r="L100" t="str">
        <f t="shared" si="20"/>
        <v/>
      </c>
      <c r="M100" t="str">
        <f t="shared" si="21"/>
        <v/>
      </c>
      <c r="N100" t="str">
        <f t="shared" si="22"/>
        <v/>
      </c>
      <c r="O100" t="str">
        <f t="shared" si="23"/>
        <v/>
      </c>
      <c r="P100" t="str">
        <f t="shared" si="24"/>
        <v/>
      </c>
      <c r="Q100" t="str">
        <f t="shared" si="25"/>
        <v/>
      </c>
      <c r="R100" t="str">
        <f t="shared" si="26"/>
        <v/>
      </c>
      <c r="S100" t="str">
        <f t="shared" si="27"/>
        <v/>
      </c>
      <c r="T100" t="str">
        <f t="shared" si="28"/>
        <v/>
      </c>
      <c r="U100" t="str">
        <f t="shared" si="29"/>
        <v/>
      </c>
      <c r="V100" t="str">
        <f t="shared" si="30"/>
        <v/>
      </c>
      <c r="W100" t="str">
        <f>IF($A100="","",Allocation!CD100)</f>
        <v/>
      </c>
      <c r="X100" t="str">
        <f>IF($A100="","",Allocation!CE100)</f>
        <v/>
      </c>
      <c r="Y100" t="str">
        <f>IF($A100="","",Allocation!CF100)</f>
        <v/>
      </c>
      <c r="Z100" t="str">
        <f>IF($A100="","",Allocation!CG100)</f>
        <v/>
      </c>
      <c r="AA100" t="str">
        <f>IF($A100="","",Allocation!CH100)</f>
        <v/>
      </c>
      <c r="AB100" t="str">
        <f>IF($A100="","",Allocation!CI100)</f>
        <v/>
      </c>
      <c r="AC100" t="str">
        <f>IF($A100="","",IF(Allocation!$N$4="VOL_EFF",$G100,IF(Allocation!$N$4="VOL_CLASS",$H100,$I100)))</f>
        <v/>
      </c>
      <c r="AD100" t="str">
        <f>IF($A100="","",IF(Allocation!$N$4="VOL_EFF",$L100,IF(Allocation!$N$4="VOL_CLASS",$M100,$N100)))</f>
        <v/>
      </c>
      <c r="AE100" t="str">
        <f>IF($A100="","",IF(Allocation!$N$3="VOL_EFF",$L100,IF(Allocation!$N$3="VOL_CLASS",$M100,$N100)))</f>
        <v/>
      </c>
      <c r="AF100" t="str">
        <f>IF($A100="","",IF(Allocation!$N$3="VOL_EFF",$Q100,IF(Allocation!$N$3="VOL_CLASS",$R100,$S100)))</f>
        <v/>
      </c>
      <c r="AG100" t="str">
        <f>IF($A100="","",IF(Allocation!$N$1="VOL_EFF",$Q100,IF(Allocation!$N$1="VOL_CLASS",$R100,$S100)))</f>
        <v/>
      </c>
      <c r="AH100" t="str">
        <f>IF($A100="","",IF(Allocation!$N$1="VOL_EFF",$T100,IF(Allocation!$N$1="VOL_CLASS",$U100,$V100)))</f>
        <v/>
      </c>
      <c r="AI100" t="str">
        <f t="shared" si="31"/>
        <v/>
      </c>
      <c r="AJ100" t="str">
        <f t="shared" si="32"/>
        <v/>
      </c>
      <c r="AK100" t="str">
        <f t="shared" si="33"/>
        <v/>
      </c>
      <c r="AL100" t="str">
        <f t="shared" si="34"/>
        <v/>
      </c>
      <c r="AM100" t="str">
        <f t="shared" si="35"/>
        <v/>
      </c>
      <c r="AN100" t="str">
        <f t="shared" si="36"/>
        <v/>
      </c>
      <c r="AO100" t="str">
        <f>IF($A100="","",Allocation!CJ100)</f>
        <v/>
      </c>
      <c r="AP100" t="str">
        <f>IF($A100="","",IF(Allocation!$N$2="VOL_EFF",$Q100,IF(Allocation!$N$2="VOL_CLASS",$R100,$S100)))</f>
        <v/>
      </c>
      <c r="AQ100" t="str">
        <f>IF($A100="","",IF(Allocation!$N$2="VOL_EFF",$T100,IF(Allocation!$N$2="VOL_CLASS",$U100,$V100)))</f>
        <v/>
      </c>
      <c r="AR100" t="str">
        <f t="shared" si="37"/>
        <v/>
      </c>
      <c r="AS100" t="str">
        <f>IF($A100="","",$A100&amp;"|"&amp;Allocation!BG100)</f>
        <v/>
      </c>
    </row>
    <row r="101" spans="1:45" x14ac:dyDescent="0.45">
      <c r="A101" t="str">
        <f>IF(Allocation!BI101="","",Allocation!BI101)</f>
        <v/>
      </c>
      <c r="B101" t="str">
        <f>IF(Allocation!BJ101="","",Allocation!BJ101)</f>
        <v/>
      </c>
      <c r="C101" t="str">
        <f>IF(Allocation!BK101="","",Allocation!BK101)</f>
        <v/>
      </c>
      <c r="D101" t="str">
        <f>IF(Allocation!BL101="","",Allocation!BL101)</f>
        <v/>
      </c>
      <c r="E101" t="str">
        <f>IF(Allocation!BM101="","",Allocation!BM101)</f>
        <v/>
      </c>
      <c r="F101" t="str">
        <f>IF(Allocation!BN101="","",Allocation!BN101)</f>
        <v/>
      </c>
      <c r="G101" t="str">
        <f>IF(Allocation!BO101="","",Allocation!BO101)</f>
        <v/>
      </c>
      <c r="H101" t="str">
        <f>IF(Allocation!BP101="","",Allocation!BP101)</f>
        <v/>
      </c>
      <c r="I101" t="str">
        <f>IF(Allocation!BQ101="","",Allocation!BQ101)</f>
        <v/>
      </c>
      <c r="J101" t="str">
        <f>IF(Allocation!CC101="","",Allocation!CC101)</f>
        <v/>
      </c>
      <c r="K101" t="str">
        <f t="shared" si="19"/>
        <v/>
      </c>
      <c r="L101" t="str">
        <f t="shared" si="20"/>
        <v/>
      </c>
      <c r="M101" t="str">
        <f t="shared" si="21"/>
        <v/>
      </c>
      <c r="N101" t="str">
        <f t="shared" si="22"/>
        <v/>
      </c>
      <c r="O101" t="str">
        <f t="shared" si="23"/>
        <v/>
      </c>
      <c r="P101" t="str">
        <f t="shared" si="24"/>
        <v/>
      </c>
      <c r="Q101" t="str">
        <f t="shared" si="25"/>
        <v/>
      </c>
      <c r="R101" t="str">
        <f t="shared" si="26"/>
        <v/>
      </c>
      <c r="S101" t="str">
        <f t="shared" si="27"/>
        <v/>
      </c>
      <c r="T101" t="str">
        <f t="shared" si="28"/>
        <v/>
      </c>
      <c r="U101" t="str">
        <f t="shared" si="29"/>
        <v/>
      </c>
      <c r="V101" t="str">
        <f t="shared" si="30"/>
        <v/>
      </c>
      <c r="W101" t="str">
        <f>IF($A101="","",Allocation!CD101)</f>
        <v/>
      </c>
      <c r="X101" t="str">
        <f>IF($A101="","",Allocation!CE101)</f>
        <v/>
      </c>
      <c r="Y101" t="str">
        <f>IF($A101="","",Allocation!CF101)</f>
        <v/>
      </c>
      <c r="Z101" t="str">
        <f>IF($A101="","",Allocation!CG101)</f>
        <v/>
      </c>
      <c r="AA101" t="str">
        <f>IF($A101="","",Allocation!CH101)</f>
        <v/>
      </c>
      <c r="AB101" t="str">
        <f>IF($A101="","",Allocation!CI101)</f>
        <v/>
      </c>
      <c r="AC101" t="str">
        <f>IF($A101="","",IF(Allocation!$N$4="VOL_EFF",$G101,IF(Allocation!$N$4="VOL_CLASS",$H101,$I101)))</f>
        <v/>
      </c>
      <c r="AD101" t="str">
        <f>IF($A101="","",IF(Allocation!$N$4="VOL_EFF",$L101,IF(Allocation!$N$4="VOL_CLASS",$M101,$N101)))</f>
        <v/>
      </c>
      <c r="AE101" t="str">
        <f>IF($A101="","",IF(Allocation!$N$3="VOL_EFF",$L101,IF(Allocation!$N$3="VOL_CLASS",$M101,$N101)))</f>
        <v/>
      </c>
      <c r="AF101" t="str">
        <f>IF($A101="","",IF(Allocation!$N$3="VOL_EFF",$Q101,IF(Allocation!$N$3="VOL_CLASS",$R101,$S101)))</f>
        <v/>
      </c>
      <c r="AG101" t="str">
        <f>IF($A101="","",IF(Allocation!$N$1="VOL_EFF",$Q101,IF(Allocation!$N$1="VOL_CLASS",$R101,$S101)))</f>
        <v/>
      </c>
      <c r="AH101" t="str">
        <f>IF($A101="","",IF(Allocation!$N$1="VOL_EFF",$T101,IF(Allocation!$N$1="VOL_CLASS",$U101,$V101)))</f>
        <v/>
      </c>
      <c r="AI101" t="str">
        <f t="shared" si="31"/>
        <v/>
      </c>
      <c r="AJ101" t="str">
        <f t="shared" si="32"/>
        <v/>
      </c>
      <c r="AK101" t="str">
        <f t="shared" si="33"/>
        <v/>
      </c>
      <c r="AL101" t="str">
        <f t="shared" si="34"/>
        <v/>
      </c>
      <c r="AM101" t="str">
        <f t="shared" si="35"/>
        <v/>
      </c>
      <c r="AN101" t="str">
        <f t="shared" si="36"/>
        <v/>
      </c>
      <c r="AO101" t="str">
        <f>IF($A101="","",Allocation!CJ101)</f>
        <v/>
      </c>
      <c r="AP101" t="str">
        <f>IF($A101="","",IF(Allocation!$N$2="VOL_EFF",$Q101,IF(Allocation!$N$2="VOL_CLASS",$R101,$S101)))</f>
        <v/>
      </c>
      <c r="AQ101" t="str">
        <f>IF($A101="","",IF(Allocation!$N$2="VOL_EFF",$T101,IF(Allocation!$N$2="VOL_CLASS",$U101,$V101)))</f>
        <v/>
      </c>
      <c r="AR101" t="str">
        <f t="shared" si="37"/>
        <v/>
      </c>
      <c r="AS101" t="str">
        <f>IF($A101="","",$A101&amp;"|"&amp;Allocation!BG101)</f>
        <v/>
      </c>
    </row>
    <row r="102" spans="1:45" x14ac:dyDescent="0.45">
      <c r="A102" t="str">
        <f>IF(Allocation!BI102="","",Allocation!BI102)</f>
        <v/>
      </c>
      <c r="B102" t="str">
        <f>IF(Allocation!BJ102="","",Allocation!BJ102)</f>
        <v/>
      </c>
      <c r="C102" t="str">
        <f>IF(Allocation!BK102="","",Allocation!BK102)</f>
        <v/>
      </c>
      <c r="D102" t="str">
        <f>IF(Allocation!BL102="","",Allocation!BL102)</f>
        <v/>
      </c>
      <c r="E102" t="str">
        <f>IF(Allocation!BM102="","",Allocation!BM102)</f>
        <v/>
      </c>
      <c r="F102" t="str">
        <f>IF(Allocation!BN102="","",Allocation!BN102)</f>
        <v/>
      </c>
      <c r="G102" t="str">
        <f>IF(Allocation!BO102="","",Allocation!BO102)</f>
        <v/>
      </c>
      <c r="H102" t="str">
        <f>IF(Allocation!BP102="","",Allocation!BP102)</f>
        <v/>
      </c>
      <c r="I102" t="str">
        <f>IF(Allocation!BQ102="","",Allocation!BQ102)</f>
        <v/>
      </c>
      <c r="J102" t="str">
        <f>IF(Allocation!CC102="","",Allocation!CC102)</f>
        <v/>
      </c>
      <c r="K102" t="str">
        <f t="shared" si="19"/>
        <v/>
      </c>
      <c r="L102" t="str">
        <f t="shared" si="20"/>
        <v/>
      </c>
      <c r="M102" t="str">
        <f t="shared" si="21"/>
        <v/>
      </c>
      <c r="N102" t="str">
        <f t="shared" si="22"/>
        <v/>
      </c>
      <c r="O102" t="str">
        <f t="shared" si="23"/>
        <v/>
      </c>
      <c r="P102" t="str">
        <f t="shared" si="24"/>
        <v/>
      </c>
      <c r="Q102" t="str">
        <f t="shared" si="25"/>
        <v/>
      </c>
      <c r="R102" t="str">
        <f t="shared" si="26"/>
        <v/>
      </c>
      <c r="S102" t="str">
        <f t="shared" si="27"/>
        <v/>
      </c>
      <c r="T102" t="str">
        <f t="shared" si="28"/>
        <v/>
      </c>
      <c r="U102" t="str">
        <f t="shared" si="29"/>
        <v/>
      </c>
      <c r="V102" t="str">
        <f t="shared" si="30"/>
        <v/>
      </c>
      <c r="W102" t="str">
        <f>IF($A102="","",Allocation!CD102)</f>
        <v/>
      </c>
      <c r="X102" t="str">
        <f>IF($A102="","",Allocation!CE102)</f>
        <v/>
      </c>
      <c r="Y102" t="str">
        <f>IF($A102="","",Allocation!CF102)</f>
        <v/>
      </c>
      <c r="Z102" t="str">
        <f>IF($A102="","",Allocation!CG102)</f>
        <v/>
      </c>
      <c r="AA102" t="str">
        <f>IF($A102="","",Allocation!CH102)</f>
        <v/>
      </c>
      <c r="AB102" t="str">
        <f>IF($A102="","",Allocation!CI102)</f>
        <v/>
      </c>
      <c r="AC102" t="str">
        <f>IF($A102="","",IF(Allocation!$N$4="VOL_EFF",$G102,IF(Allocation!$N$4="VOL_CLASS",$H102,$I102)))</f>
        <v/>
      </c>
      <c r="AD102" t="str">
        <f>IF($A102="","",IF(Allocation!$N$4="VOL_EFF",$L102,IF(Allocation!$N$4="VOL_CLASS",$M102,$N102)))</f>
        <v/>
      </c>
      <c r="AE102" t="str">
        <f>IF($A102="","",IF(Allocation!$N$3="VOL_EFF",$L102,IF(Allocation!$N$3="VOL_CLASS",$M102,$N102)))</f>
        <v/>
      </c>
      <c r="AF102" t="str">
        <f>IF($A102="","",IF(Allocation!$N$3="VOL_EFF",$Q102,IF(Allocation!$N$3="VOL_CLASS",$R102,$S102)))</f>
        <v/>
      </c>
      <c r="AG102" t="str">
        <f>IF($A102="","",IF(Allocation!$N$1="VOL_EFF",$Q102,IF(Allocation!$N$1="VOL_CLASS",$R102,$S102)))</f>
        <v/>
      </c>
      <c r="AH102" t="str">
        <f>IF($A102="","",IF(Allocation!$N$1="VOL_EFF",$T102,IF(Allocation!$N$1="VOL_CLASS",$U102,$V102)))</f>
        <v/>
      </c>
      <c r="AI102" t="str">
        <f t="shared" si="31"/>
        <v/>
      </c>
      <c r="AJ102" t="str">
        <f t="shared" si="32"/>
        <v/>
      </c>
      <c r="AK102" t="str">
        <f t="shared" si="33"/>
        <v/>
      </c>
      <c r="AL102" t="str">
        <f t="shared" si="34"/>
        <v/>
      </c>
      <c r="AM102" t="str">
        <f t="shared" si="35"/>
        <v/>
      </c>
      <c r="AN102" t="str">
        <f t="shared" si="36"/>
        <v/>
      </c>
      <c r="AO102" t="str">
        <f>IF($A102="","",Allocation!CJ102)</f>
        <v/>
      </c>
      <c r="AP102" t="str">
        <f>IF($A102="","",IF(Allocation!$N$2="VOL_EFF",$Q102,IF(Allocation!$N$2="VOL_CLASS",$R102,$S102)))</f>
        <v/>
      </c>
      <c r="AQ102" t="str">
        <f>IF($A102="","",IF(Allocation!$N$2="VOL_EFF",$T102,IF(Allocation!$N$2="VOL_CLASS",$U102,$V102)))</f>
        <v/>
      </c>
      <c r="AR102" t="str">
        <f t="shared" si="37"/>
        <v/>
      </c>
      <c r="AS102" t="str">
        <f>IF($A102="","",$A102&amp;"|"&amp;Allocation!BG102)</f>
        <v/>
      </c>
    </row>
    <row r="103" spans="1:45" x14ac:dyDescent="0.45">
      <c r="A103" t="str">
        <f>IF(Allocation!BI103="","",Allocation!BI103)</f>
        <v/>
      </c>
      <c r="B103" t="str">
        <f>IF(Allocation!BJ103="","",Allocation!BJ103)</f>
        <v/>
      </c>
      <c r="C103" t="str">
        <f>IF(Allocation!BK103="","",Allocation!BK103)</f>
        <v/>
      </c>
      <c r="D103" t="str">
        <f>IF(Allocation!BL103="","",Allocation!BL103)</f>
        <v/>
      </c>
      <c r="E103" t="str">
        <f>IF(Allocation!BM103="","",Allocation!BM103)</f>
        <v/>
      </c>
      <c r="F103" t="str">
        <f>IF(Allocation!BN103="","",Allocation!BN103)</f>
        <v/>
      </c>
      <c r="G103" t="str">
        <f>IF(Allocation!BO103="","",Allocation!BO103)</f>
        <v/>
      </c>
      <c r="H103" t="str">
        <f>IF(Allocation!BP103="","",Allocation!BP103)</f>
        <v/>
      </c>
      <c r="I103" t="str">
        <f>IF(Allocation!BQ103="","",Allocation!BQ103)</f>
        <v/>
      </c>
      <c r="J103" t="str">
        <f>IF(Allocation!CC103="","",Allocation!CC103)</f>
        <v/>
      </c>
      <c r="K103" t="str">
        <f t="shared" si="19"/>
        <v/>
      </c>
      <c r="L103" t="str">
        <f t="shared" si="20"/>
        <v/>
      </c>
      <c r="M103" t="str">
        <f t="shared" si="21"/>
        <v/>
      </c>
      <c r="N103" t="str">
        <f t="shared" si="22"/>
        <v/>
      </c>
      <c r="O103" t="str">
        <f t="shared" si="23"/>
        <v/>
      </c>
      <c r="P103" t="str">
        <f t="shared" si="24"/>
        <v/>
      </c>
      <c r="Q103" t="str">
        <f t="shared" si="25"/>
        <v/>
      </c>
      <c r="R103" t="str">
        <f t="shared" si="26"/>
        <v/>
      </c>
      <c r="S103" t="str">
        <f t="shared" si="27"/>
        <v/>
      </c>
      <c r="T103" t="str">
        <f t="shared" si="28"/>
        <v/>
      </c>
      <c r="U103" t="str">
        <f t="shared" si="29"/>
        <v/>
      </c>
      <c r="V103" t="str">
        <f t="shared" si="30"/>
        <v/>
      </c>
      <c r="W103" t="str">
        <f>IF($A103="","",Allocation!CD103)</f>
        <v/>
      </c>
      <c r="X103" t="str">
        <f>IF($A103="","",Allocation!CE103)</f>
        <v/>
      </c>
      <c r="Y103" t="str">
        <f>IF($A103="","",Allocation!CF103)</f>
        <v/>
      </c>
      <c r="Z103" t="str">
        <f>IF($A103="","",Allocation!CG103)</f>
        <v/>
      </c>
      <c r="AA103" t="str">
        <f>IF($A103="","",Allocation!CH103)</f>
        <v/>
      </c>
      <c r="AB103" t="str">
        <f>IF($A103="","",Allocation!CI103)</f>
        <v/>
      </c>
      <c r="AC103" t="str">
        <f>IF($A103="","",IF(Allocation!$N$4="VOL_EFF",$G103,IF(Allocation!$N$4="VOL_CLASS",$H103,$I103)))</f>
        <v/>
      </c>
      <c r="AD103" t="str">
        <f>IF($A103="","",IF(Allocation!$N$4="VOL_EFF",$L103,IF(Allocation!$N$4="VOL_CLASS",$M103,$N103)))</f>
        <v/>
      </c>
      <c r="AE103" t="str">
        <f>IF($A103="","",IF(Allocation!$N$3="VOL_EFF",$L103,IF(Allocation!$N$3="VOL_CLASS",$M103,$N103)))</f>
        <v/>
      </c>
      <c r="AF103" t="str">
        <f>IF($A103="","",IF(Allocation!$N$3="VOL_EFF",$Q103,IF(Allocation!$N$3="VOL_CLASS",$R103,$S103)))</f>
        <v/>
      </c>
      <c r="AG103" t="str">
        <f>IF($A103="","",IF(Allocation!$N$1="VOL_EFF",$Q103,IF(Allocation!$N$1="VOL_CLASS",$R103,$S103)))</f>
        <v/>
      </c>
      <c r="AH103" t="str">
        <f>IF($A103="","",IF(Allocation!$N$1="VOL_EFF",$T103,IF(Allocation!$N$1="VOL_CLASS",$U103,$V103)))</f>
        <v/>
      </c>
      <c r="AI103" t="str">
        <f t="shared" si="31"/>
        <v/>
      </c>
      <c r="AJ103" t="str">
        <f t="shared" si="32"/>
        <v/>
      </c>
      <c r="AK103" t="str">
        <f t="shared" si="33"/>
        <v/>
      </c>
      <c r="AL103" t="str">
        <f t="shared" si="34"/>
        <v/>
      </c>
      <c r="AM103" t="str">
        <f t="shared" si="35"/>
        <v/>
      </c>
      <c r="AN103" t="str">
        <f t="shared" si="36"/>
        <v/>
      </c>
      <c r="AO103" t="str">
        <f>IF($A103="","",Allocation!CJ103)</f>
        <v/>
      </c>
      <c r="AP103" t="str">
        <f>IF($A103="","",IF(Allocation!$N$2="VOL_EFF",$Q103,IF(Allocation!$N$2="VOL_CLASS",$R103,$S103)))</f>
        <v/>
      </c>
      <c r="AQ103" t="str">
        <f>IF($A103="","",IF(Allocation!$N$2="VOL_EFF",$T103,IF(Allocation!$N$2="VOL_CLASS",$U103,$V103)))</f>
        <v/>
      </c>
      <c r="AR103" t="str">
        <f t="shared" si="37"/>
        <v/>
      </c>
      <c r="AS103" t="str">
        <f>IF($A103="","",$A103&amp;"|"&amp;Allocation!BG103)</f>
        <v/>
      </c>
    </row>
    <row r="104" spans="1:45" x14ac:dyDescent="0.45">
      <c r="A104" t="str">
        <f>IF(Allocation!BI104="","",Allocation!BI104)</f>
        <v/>
      </c>
      <c r="B104" t="str">
        <f>IF(Allocation!BJ104="","",Allocation!BJ104)</f>
        <v/>
      </c>
      <c r="C104" t="str">
        <f>IF(Allocation!BK104="","",Allocation!BK104)</f>
        <v/>
      </c>
      <c r="D104" t="str">
        <f>IF(Allocation!BL104="","",Allocation!BL104)</f>
        <v/>
      </c>
      <c r="E104" t="str">
        <f>IF(Allocation!BM104="","",Allocation!BM104)</f>
        <v/>
      </c>
      <c r="F104" t="str">
        <f>IF(Allocation!BN104="","",Allocation!BN104)</f>
        <v/>
      </c>
      <c r="G104" t="str">
        <f>IF(Allocation!BO104="","",Allocation!BO104)</f>
        <v/>
      </c>
      <c r="H104" t="str">
        <f>IF(Allocation!BP104="","",Allocation!BP104)</f>
        <v/>
      </c>
      <c r="I104" t="str">
        <f>IF(Allocation!BQ104="","",Allocation!BQ104)</f>
        <v/>
      </c>
      <c r="J104" t="str">
        <f>IF(Allocation!CC104="","",Allocation!CC104)</f>
        <v/>
      </c>
      <c r="K104" t="str">
        <f t="shared" si="19"/>
        <v/>
      </c>
      <c r="L104" t="str">
        <f t="shared" si="20"/>
        <v/>
      </c>
      <c r="M104" t="str">
        <f t="shared" si="21"/>
        <v/>
      </c>
      <c r="N104" t="str">
        <f t="shared" si="22"/>
        <v/>
      </c>
      <c r="O104" t="str">
        <f t="shared" si="23"/>
        <v/>
      </c>
      <c r="P104" t="str">
        <f t="shared" si="24"/>
        <v/>
      </c>
      <c r="Q104" t="str">
        <f t="shared" si="25"/>
        <v/>
      </c>
      <c r="R104" t="str">
        <f t="shared" si="26"/>
        <v/>
      </c>
      <c r="S104" t="str">
        <f t="shared" si="27"/>
        <v/>
      </c>
      <c r="T104" t="str">
        <f t="shared" si="28"/>
        <v/>
      </c>
      <c r="U104" t="str">
        <f t="shared" si="29"/>
        <v/>
      </c>
      <c r="V104" t="str">
        <f t="shared" si="30"/>
        <v/>
      </c>
      <c r="W104" t="str">
        <f>IF($A104="","",Allocation!CD104)</f>
        <v/>
      </c>
      <c r="X104" t="str">
        <f>IF($A104="","",Allocation!CE104)</f>
        <v/>
      </c>
      <c r="Y104" t="str">
        <f>IF($A104="","",Allocation!CF104)</f>
        <v/>
      </c>
      <c r="Z104" t="str">
        <f>IF($A104="","",Allocation!CG104)</f>
        <v/>
      </c>
      <c r="AA104" t="str">
        <f>IF($A104="","",Allocation!CH104)</f>
        <v/>
      </c>
      <c r="AB104" t="str">
        <f>IF($A104="","",Allocation!CI104)</f>
        <v/>
      </c>
      <c r="AC104" t="str">
        <f>IF($A104="","",IF(Allocation!$N$4="VOL_EFF",$G104,IF(Allocation!$N$4="VOL_CLASS",$H104,$I104)))</f>
        <v/>
      </c>
      <c r="AD104" t="str">
        <f>IF($A104="","",IF(Allocation!$N$4="VOL_EFF",$L104,IF(Allocation!$N$4="VOL_CLASS",$M104,$N104)))</f>
        <v/>
      </c>
      <c r="AE104" t="str">
        <f>IF($A104="","",IF(Allocation!$N$3="VOL_EFF",$L104,IF(Allocation!$N$3="VOL_CLASS",$M104,$N104)))</f>
        <v/>
      </c>
      <c r="AF104" t="str">
        <f>IF($A104="","",IF(Allocation!$N$3="VOL_EFF",$Q104,IF(Allocation!$N$3="VOL_CLASS",$R104,$S104)))</f>
        <v/>
      </c>
      <c r="AG104" t="str">
        <f>IF($A104="","",IF(Allocation!$N$1="VOL_EFF",$Q104,IF(Allocation!$N$1="VOL_CLASS",$R104,$S104)))</f>
        <v/>
      </c>
      <c r="AH104" t="str">
        <f>IF($A104="","",IF(Allocation!$N$1="VOL_EFF",$T104,IF(Allocation!$N$1="VOL_CLASS",$U104,$V104)))</f>
        <v/>
      </c>
      <c r="AI104" t="str">
        <f t="shared" si="31"/>
        <v/>
      </c>
      <c r="AJ104" t="str">
        <f t="shared" si="32"/>
        <v/>
      </c>
      <c r="AK104" t="str">
        <f t="shared" si="33"/>
        <v/>
      </c>
      <c r="AL104" t="str">
        <f t="shared" si="34"/>
        <v/>
      </c>
      <c r="AM104" t="str">
        <f t="shared" si="35"/>
        <v/>
      </c>
      <c r="AN104" t="str">
        <f t="shared" si="36"/>
        <v/>
      </c>
      <c r="AO104" t="str">
        <f>IF($A104="","",Allocation!CJ104)</f>
        <v/>
      </c>
      <c r="AP104" t="str">
        <f>IF($A104="","",IF(Allocation!$N$2="VOL_EFF",$Q104,IF(Allocation!$N$2="VOL_CLASS",$R104,$S104)))</f>
        <v/>
      </c>
      <c r="AQ104" t="str">
        <f>IF($A104="","",IF(Allocation!$N$2="VOL_EFF",$T104,IF(Allocation!$N$2="VOL_CLASS",$U104,$V104)))</f>
        <v/>
      </c>
      <c r="AR104" t="str">
        <f t="shared" si="37"/>
        <v/>
      </c>
      <c r="AS104" t="str">
        <f>IF($A104="","",$A104&amp;"|"&amp;Allocation!BG104)</f>
        <v/>
      </c>
    </row>
    <row r="105" spans="1:45" x14ac:dyDescent="0.45">
      <c r="A105" t="str">
        <f>IF(Allocation!BI105="","",Allocation!BI105)</f>
        <v/>
      </c>
      <c r="B105" t="str">
        <f>IF(Allocation!BJ105="","",Allocation!BJ105)</f>
        <v/>
      </c>
      <c r="C105" t="str">
        <f>IF(Allocation!BK105="","",Allocation!BK105)</f>
        <v/>
      </c>
      <c r="D105" t="str">
        <f>IF(Allocation!BL105="","",Allocation!BL105)</f>
        <v/>
      </c>
      <c r="E105" t="str">
        <f>IF(Allocation!BM105="","",Allocation!BM105)</f>
        <v/>
      </c>
      <c r="F105" t="str">
        <f>IF(Allocation!BN105="","",Allocation!BN105)</f>
        <v/>
      </c>
      <c r="G105" t="str">
        <f>IF(Allocation!BO105="","",Allocation!BO105)</f>
        <v/>
      </c>
      <c r="H105" t="str">
        <f>IF(Allocation!BP105="","",Allocation!BP105)</f>
        <v/>
      </c>
      <c r="I105" t="str">
        <f>IF(Allocation!BQ105="","",Allocation!BQ105)</f>
        <v/>
      </c>
      <c r="J105" t="str">
        <f>IF(Allocation!CC105="","",Allocation!CC105)</f>
        <v/>
      </c>
      <c r="K105" t="str">
        <f t="shared" si="19"/>
        <v/>
      </c>
      <c r="L105" t="str">
        <f t="shared" si="20"/>
        <v/>
      </c>
      <c r="M105" t="str">
        <f t="shared" si="21"/>
        <v/>
      </c>
      <c r="N105" t="str">
        <f t="shared" si="22"/>
        <v/>
      </c>
      <c r="O105" t="str">
        <f t="shared" si="23"/>
        <v/>
      </c>
      <c r="P105" t="str">
        <f t="shared" si="24"/>
        <v/>
      </c>
      <c r="Q105" t="str">
        <f t="shared" si="25"/>
        <v/>
      </c>
      <c r="R105" t="str">
        <f t="shared" si="26"/>
        <v/>
      </c>
      <c r="S105" t="str">
        <f t="shared" si="27"/>
        <v/>
      </c>
      <c r="T105" t="str">
        <f t="shared" si="28"/>
        <v/>
      </c>
      <c r="U105" t="str">
        <f t="shared" si="29"/>
        <v/>
      </c>
      <c r="V105" t="str">
        <f t="shared" si="30"/>
        <v/>
      </c>
      <c r="W105" t="str">
        <f>IF($A105="","",Allocation!CD105)</f>
        <v/>
      </c>
      <c r="X105" t="str">
        <f>IF($A105="","",Allocation!CE105)</f>
        <v/>
      </c>
      <c r="Y105" t="str">
        <f>IF($A105="","",Allocation!CF105)</f>
        <v/>
      </c>
      <c r="Z105" t="str">
        <f>IF($A105="","",Allocation!CG105)</f>
        <v/>
      </c>
      <c r="AA105" t="str">
        <f>IF($A105="","",Allocation!CH105)</f>
        <v/>
      </c>
      <c r="AB105" t="str">
        <f>IF($A105="","",Allocation!CI105)</f>
        <v/>
      </c>
      <c r="AC105" t="str">
        <f>IF($A105="","",IF(Allocation!$N$4="VOL_EFF",$G105,IF(Allocation!$N$4="VOL_CLASS",$H105,$I105)))</f>
        <v/>
      </c>
      <c r="AD105" t="str">
        <f>IF($A105="","",IF(Allocation!$N$4="VOL_EFF",$L105,IF(Allocation!$N$4="VOL_CLASS",$M105,$N105)))</f>
        <v/>
      </c>
      <c r="AE105" t="str">
        <f>IF($A105="","",IF(Allocation!$N$3="VOL_EFF",$L105,IF(Allocation!$N$3="VOL_CLASS",$M105,$N105)))</f>
        <v/>
      </c>
      <c r="AF105" t="str">
        <f>IF($A105="","",IF(Allocation!$N$3="VOL_EFF",$Q105,IF(Allocation!$N$3="VOL_CLASS",$R105,$S105)))</f>
        <v/>
      </c>
      <c r="AG105" t="str">
        <f>IF($A105="","",IF(Allocation!$N$1="VOL_EFF",$Q105,IF(Allocation!$N$1="VOL_CLASS",$R105,$S105)))</f>
        <v/>
      </c>
      <c r="AH105" t="str">
        <f>IF($A105="","",IF(Allocation!$N$1="VOL_EFF",$T105,IF(Allocation!$N$1="VOL_CLASS",$U105,$V105)))</f>
        <v/>
      </c>
      <c r="AI105" t="str">
        <f t="shared" si="31"/>
        <v/>
      </c>
      <c r="AJ105" t="str">
        <f t="shared" si="32"/>
        <v/>
      </c>
      <c r="AK105" t="str">
        <f t="shared" si="33"/>
        <v/>
      </c>
      <c r="AL105" t="str">
        <f t="shared" si="34"/>
        <v/>
      </c>
      <c r="AM105" t="str">
        <f t="shared" si="35"/>
        <v/>
      </c>
      <c r="AN105" t="str">
        <f t="shared" si="36"/>
        <v/>
      </c>
      <c r="AO105" t="str">
        <f>IF($A105="","",Allocation!CJ105)</f>
        <v/>
      </c>
      <c r="AP105" t="str">
        <f>IF($A105="","",IF(Allocation!$N$2="VOL_EFF",$Q105,IF(Allocation!$N$2="VOL_CLASS",$R105,$S105)))</f>
        <v/>
      </c>
      <c r="AQ105" t="str">
        <f>IF($A105="","",IF(Allocation!$N$2="VOL_EFF",$T105,IF(Allocation!$N$2="VOL_CLASS",$U105,$V105)))</f>
        <v/>
      </c>
      <c r="AR105" t="str">
        <f t="shared" si="37"/>
        <v/>
      </c>
      <c r="AS105" t="str">
        <f>IF($A105="","",$A105&amp;"|"&amp;Allocation!BG105)</f>
        <v/>
      </c>
    </row>
    <row r="106" spans="1:45" x14ac:dyDescent="0.45">
      <c r="A106" t="str">
        <f>IF(Allocation!BI106="","",Allocation!BI106)</f>
        <v/>
      </c>
      <c r="B106" t="str">
        <f>IF(Allocation!BJ106="","",Allocation!BJ106)</f>
        <v/>
      </c>
      <c r="C106" t="str">
        <f>IF(Allocation!BK106="","",Allocation!BK106)</f>
        <v/>
      </c>
      <c r="D106" t="str">
        <f>IF(Allocation!BL106="","",Allocation!BL106)</f>
        <v/>
      </c>
      <c r="E106" t="str">
        <f>IF(Allocation!BM106="","",Allocation!BM106)</f>
        <v/>
      </c>
      <c r="F106" t="str">
        <f>IF(Allocation!BN106="","",Allocation!BN106)</f>
        <v/>
      </c>
      <c r="G106" t="str">
        <f>IF(Allocation!BO106="","",Allocation!BO106)</f>
        <v/>
      </c>
      <c r="H106" t="str">
        <f>IF(Allocation!BP106="","",Allocation!BP106)</f>
        <v/>
      </c>
      <c r="I106" t="str">
        <f>IF(Allocation!BQ106="","",Allocation!BQ106)</f>
        <v/>
      </c>
      <c r="J106" t="str">
        <f>IF(Allocation!CC106="","",Allocation!CC106)</f>
        <v/>
      </c>
      <c r="K106" t="str">
        <f t="shared" si="19"/>
        <v/>
      </c>
      <c r="L106" t="str">
        <f t="shared" si="20"/>
        <v/>
      </c>
      <c r="M106" t="str">
        <f t="shared" si="21"/>
        <v/>
      </c>
      <c r="N106" t="str">
        <f t="shared" si="22"/>
        <v/>
      </c>
      <c r="O106" t="str">
        <f t="shared" si="23"/>
        <v/>
      </c>
      <c r="P106" t="str">
        <f t="shared" si="24"/>
        <v/>
      </c>
      <c r="Q106" t="str">
        <f t="shared" si="25"/>
        <v/>
      </c>
      <c r="R106" t="str">
        <f t="shared" si="26"/>
        <v/>
      </c>
      <c r="S106" t="str">
        <f t="shared" si="27"/>
        <v/>
      </c>
      <c r="T106" t="str">
        <f t="shared" si="28"/>
        <v/>
      </c>
      <c r="U106" t="str">
        <f t="shared" si="29"/>
        <v/>
      </c>
      <c r="V106" t="str">
        <f t="shared" si="30"/>
        <v/>
      </c>
      <c r="W106" t="str">
        <f>IF($A106="","",Allocation!CD106)</f>
        <v/>
      </c>
      <c r="X106" t="str">
        <f>IF($A106="","",Allocation!CE106)</f>
        <v/>
      </c>
      <c r="Y106" t="str">
        <f>IF($A106="","",Allocation!CF106)</f>
        <v/>
      </c>
      <c r="Z106" t="str">
        <f>IF($A106="","",Allocation!CG106)</f>
        <v/>
      </c>
      <c r="AA106" t="str">
        <f>IF($A106="","",Allocation!CH106)</f>
        <v/>
      </c>
      <c r="AB106" t="str">
        <f>IF($A106="","",Allocation!CI106)</f>
        <v/>
      </c>
      <c r="AC106" t="str">
        <f>IF($A106="","",IF(Allocation!$N$4="VOL_EFF",$G106,IF(Allocation!$N$4="VOL_CLASS",$H106,$I106)))</f>
        <v/>
      </c>
      <c r="AD106" t="str">
        <f>IF($A106="","",IF(Allocation!$N$4="VOL_EFF",$L106,IF(Allocation!$N$4="VOL_CLASS",$M106,$N106)))</f>
        <v/>
      </c>
      <c r="AE106" t="str">
        <f>IF($A106="","",IF(Allocation!$N$3="VOL_EFF",$L106,IF(Allocation!$N$3="VOL_CLASS",$M106,$N106)))</f>
        <v/>
      </c>
      <c r="AF106" t="str">
        <f>IF($A106="","",IF(Allocation!$N$3="VOL_EFF",$Q106,IF(Allocation!$N$3="VOL_CLASS",$R106,$S106)))</f>
        <v/>
      </c>
      <c r="AG106" t="str">
        <f>IF($A106="","",IF(Allocation!$N$1="VOL_EFF",$Q106,IF(Allocation!$N$1="VOL_CLASS",$R106,$S106)))</f>
        <v/>
      </c>
      <c r="AH106" t="str">
        <f>IF($A106="","",IF(Allocation!$N$1="VOL_EFF",$T106,IF(Allocation!$N$1="VOL_CLASS",$U106,$V106)))</f>
        <v/>
      </c>
      <c r="AI106" t="str">
        <f t="shared" si="31"/>
        <v/>
      </c>
      <c r="AJ106" t="str">
        <f t="shared" si="32"/>
        <v/>
      </c>
      <c r="AK106" t="str">
        <f t="shared" si="33"/>
        <v/>
      </c>
      <c r="AL106" t="str">
        <f t="shared" si="34"/>
        <v/>
      </c>
      <c r="AM106" t="str">
        <f t="shared" si="35"/>
        <v/>
      </c>
      <c r="AN106" t="str">
        <f t="shared" si="36"/>
        <v/>
      </c>
      <c r="AO106" t="str">
        <f>IF($A106="","",Allocation!CJ106)</f>
        <v/>
      </c>
      <c r="AP106" t="str">
        <f>IF($A106="","",IF(Allocation!$N$2="VOL_EFF",$Q106,IF(Allocation!$N$2="VOL_CLASS",$R106,$S106)))</f>
        <v/>
      </c>
      <c r="AQ106" t="str">
        <f>IF($A106="","",IF(Allocation!$N$2="VOL_EFF",$T106,IF(Allocation!$N$2="VOL_CLASS",$U106,$V106)))</f>
        <v/>
      </c>
      <c r="AR106" t="str">
        <f t="shared" si="37"/>
        <v/>
      </c>
      <c r="AS106" t="str">
        <f>IF($A106="","",$A106&amp;"|"&amp;Allocation!BG106)</f>
        <v/>
      </c>
    </row>
    <row r="107" spans="1:45" x14ac:dyDescent="0.45">
      <c r="A107" t="str">
        <f>IF(Allocation!BI107="","",Allocation!BI107)</f>
        <v/>
      </c>
      <c r="B107" t="str">
        <f>IF(Allocation!BJ107="","",Allocation!BJ107)</f>
        <v/>
      </c>
      <c r="C107" t="str">
        <f>IF(Allocation!BK107="","",Allocation!BK107)</f>
        <v/>
      </c>
      <c r="D107" t="str">
        <f>IF(Allocation!BL107="","",Allocation!BL107)</f>
        <v/>
      </c>
      <c r="E107" t="str">
        <f>IF(Allocation!BM107="","",Allocation!BM107)</f>
        <v/>
      </c>
      <c r="F107" t="str">
        <f>IF(Allocation!BN107="","",Allocation!BN107)</f>
        <v/>
      </c>
      <c r="G107" t="str">
        <f>IF(Allocation!BO107="","",Allocation!BO107)</f>
        <v/>
      </c>
      <c r="H107" t="str">
        <f>IF(Allocation!BP107="","",Allocation!BP107)</f>
        <v/>
      </c>
      <c r="I107" t="str">
        <f>IF(Allocation!BQ107="","",Allocation!BQ107)</f>
        <v/>
      </c>
      <c r="J107" t="str">
        <f>IF(Allocation!CC107="","",Allocation!CC107)</f>
        <v/>
      </c>
      <c r="K107" t="str">
        <f t="shared" si="19"/>
        <v/>
      </c>
      <c r="L107" t="str">
        <f t="shared" si="20"/>
        <v/>
      </c>
      <c r="M107" t="str">
        <f t="shared" si="21"/>
        <v/>
      </c>
      <c r="N107" t="str">
        <f t="shared" si="22"/>
        <v/>
      </c>
      <c r="O107" t="str">
        <f t="shared" si="23"/>
        <v/>
      </c>
      <c r="P107" t="str">
        <f t="shared" si="24"/>
        <v/>
      </c>
      <c r="Q107" t="str">
        <f t="shared" si="25"/>
        <v/>
      </c>
      <c r="R107" t="str">
        <f t="shared" si="26"/>
        <v/>
      </c>
      <c r="S107" t="str">
        <f t="shared" si="27"/>
        <v/>
      </c>
      <c r="T107" t="str">
        <f t="shared" si="28"/>
        <v/>
      </c>
      <c r="U107" t="str">
        <f t="shared" si="29"/>
        <v/>
      </c>
      <c r="V107" t="str">
        <f t="shared" si="30"/>
        <v/>
      </c>
      <c r="W107" t="str">
        <f>IF($A107="","",Allocation!CD107)</f>
        <v/>
      </c>
      <c r="X107" t="str">
        <f>IF($A107="","",Allocation!CE107)</f>
        <v/>
      </c>
      <c r="Y107" t="str">
        <f>IF($A107="","",Allocation!CF107)</f>
        <v/>
      </c>
      <c r="Z107" t="str">
        <f>IF($A107="","",Allocation!CG107)</f>
        <v/>
      </c>
      <c r="AA107" t="str">
        <f>IF($A107="","",Allocation!CH107)</f>
        <v/>
      </c>
      <c r="AB107" t="str">
        <f>IF($A107="","",Allocation!CI107)</f>
        <v/>
      </c>
      <c r="AC107" t="str">
        <f>IF($A107="","",IF(Allocation!$N$4="VOL_EFF",$G107,IF(Allocation!$N$4="VOL_CLASS",$H107,$I107)))</f>
        <v/>
      </c>
      <c r="AD107" t="str">
        <f>IF($A107="","",IF(Allocation!$N$4="VOL_EFF",$L107,IF(Allocation!$N$4="VOL_CLASS",$M107,$N107)))</f>
        <v/>
      </c>
      <c r="AE107" t="str">
        <f>IF($A107="","",IF(Allocation!$N$3="VOL_EFF",$L107,IF(Allocation!$N$3="VOL_CLASS",$M107,$N107)))</f>
        <v/>
      </c>
      <c r="AF107" t="str">
        <f>IF($A107="","",IF(Allocation!$N$3="VOL_EFF",$Q107,IF(Allocation!$N$3="VOL_CLASS",$R107,$S107)))</f>
        <v/>
      </c>
      <c r="AG107" t="str">
        <f>IF($A107="","",IF(Allocation!$N$1="VOL_EFF",$Q107,IF(Allocation!$N$1="VOL_CLASS",$R107,$S107)))</f>
        <v/>
      </c>
      <c r="AH107" t="str">
        <f>IF($A107="","",IF(Allocation!$N$1="VOL_EFF",$T107,IF(Allocation!$N$1="VOL_CLASS",$U107,$V107)))</f>
        <v/>
      </c>
      <c r="AI107" t="str">
        <f t="shared" si="31"/>
        <v/>
      </c>
      <c r="AJ107" t="str">
        <f t="shared" si="32"/>
        <v/>
      </c>
      <c r="AK107" t="str">
        <f t="shared" si="33"/>
        <v/>
      </c>
      <c r="AL107" t="str">
        <f t="shared" si="34"/>
        <v/>
      </c>
      <c r="AM107" t="str">
        <f t="shared" si="35"/>
        <v/>
      </c>
      <c r="AN107" t="str">
        <f t="shared" si="36"/>
        <v/>
      </c>
      <c r="AO107" t="str">
        <f>IF($A107="","",Allocation!CJ107)</f>
        <v/>
      </c>
      <c r="AP107" t="str">
        <f>IF($A107="","",IF(Allocation!$N$2="VOL_EFF",$Q107,IF(Allocation!$N$2="VOL_CLASS",$R107,$S107)))</f>
        <v/>
      </c>
      <c r="AQ107" t="str">
        <f>IF($A107="","",IF(Allocation!$N$2="VOL_EFF",$T107,IF(Allocation!$N$2="VOL_CLASS",$U107,$V107)))</f>
        <v/>
      </c>
      <c r="AR107" t="str">
        <f t="shared" si="37"/>
        <v/>
      </c>
      <c r="AS107" t="str">
        <f>IF($A107="","",$A107&amp;"|"&amp;Allocation!BG107)</f>
        <v/>
      </c>
    </row>
    <row r="108" spans="1:45" x14ac:dyDescent="0.45">
      <c r="A108" t="str">
        <f>IF(Allocation!BI108="","",Allocation!BI108)</f>
        <v/>
      </c>
      <c r="B108" t="str">
        <f>IF(Allocation!BJ108="","",Allocation!BJ108)</f>
        <v/>
      </c>
      <c r="C108" t="str">
        <f>IF(Allocation!BK108="","",Allocation!BK108)</f>
        <v/>
      </c>
      <c r="D108" t="str">
        <f>IF(Allocation!BL108="","",Allocation!BL108)</f>
        <v/>
      </c>
      <c r="E108" t="str">
        <f>IF(Allocation!BM108="","",Allocation!BM108)</f>
        <v/>
      </c>
      <c r="F108" t="str">
        <f>IF(Allocation!BN108="","",Allocation!BN108)</f>
        <v/>
      </c>
      <c r="G108" t="str">
        <f>IF(Allocation!BO108="","",Allocation!BO108)</f>
        <v/>
      </c>
      <c r="H108" t="str">
        <f>IF(Allocation!BP108="","",Allocation!BP108)</f>
        <v/>
      </c>
      <c r="I108" t="str">
        <f>IF(Allocation!BQ108="","",Allocation!BQ108)</f>
        <v/>
      </c>
      <c r="J108" t="str">
        <f>IF(Allocation!CC108="","",Allocation!CC108)</f>
        <v/>
      </c>
      <c r="K108" t="str">
        <f t="shared" si="19"/>
        <v/>
      </c>
      <c r="L108" t="str">
        <f t="shared" si="20"/>
        <v/>
      </c>
      <c r="M108" t="str">
        <f t="shared" si="21"/>
        <v/>
      </c>
      <c r="N108" t="str">
        <f t="shared" si="22"/>
        <v/>
      </c>
      <c r="O108" t="str">
        <f t="shared" si="23"/>
        <v/>
      </c>
      <c r="P108" t="str">
        <f t="shared" si="24"/>
        <v/>
      </c>
      <c r="Q108" t="str">
        <f t="shared" si="25"/>
        <v/>
      </c>
      <c r="R108" t="str">
        <f t="shared" si="26"/>
        <v/>
      </c>
      <c r="S108" t="str">
        <f t="shared" si="27"/>
        <v/>
      </c>
      <c r="T108" t="str">
        <f t="shared" si="28"/>
        <v/>
      </c>
      <c r="U108" t="str">
        <f t="shared" si="29"/>
        <v/>
      </c>
      <c r="V108" t="str">
        <f t="shared" si="30"/>
        <v/>
      </c>
      <c r="W108" t="str">
        <f>IF($A108="","",Allocation!CD108)</f>
        <v/>
      </c>
      <c r="X108" t="str">
        <f>IF($A108="","",Allocation!CE108)</f>
        <v/>
      </c>
      <c r="Y108" t="str">
        <f>IF($A108="","",Allocation!CF108)</f>
        <v/>
      </c>
      <c r="Z108" t="str">
        <f>IF($A108="","",Allocation!CG108)</f>
        <v/>
      </c>
      <c r="AA108" t="str">
        <f>IF($A108="","",Allocation!CH108)</f>
        <v/>
      </c>
      <c r="AB108" t="str">
        <f>IF($A108="","",Allocation!CI108)</f>
        <v/>
      </c>
      <c r="AC108" t="str">
        <f>IF($A108="","",IF(Allocation!$N$4="VOL_EFF",$G108,IF(Allocation!$N$4="VOL_CLASS",$H108,$I108)))</f>
        <v/>
      </c>
      <c r="AD108" t="str">
        <f>IF($A108="","",IF(Allocation!$N$4="VOL_EFF",$L108,IF(Allocation!$N$4="VOL_CLASS",$M108,$N108)))</f>
        <v/>
      </c>
      <c r="AE108" t="str">
        <f>IF($A108="","",IF(Allocation!$N$3="VOL_EFF",$L108,IF(Allocation!$N$3="VOL_CLASS",$M108,$N108)))</f>
        <v/>
      </c>
      <c r="AF108" t="str">
        <f>IF($A108="","",IF(Allocation!$N$3="VOL_EFF",$Q108,IF(Allocation!$N$3="VOL_CLASS",$R108,$S108)))</f>
        <v/>
      </c>
      <c r="AG108" t="str">
        <f>IF($A108="","",IF(Allocation!$N$1="VOL_EFF",$Q108,IF(Allocation!$N$1="VOL_CLASS",$R108,$S108)))</f>
        <v/>
      </c>
      <c r="AH108" t="str">
        <f>IF($A108="","",IF(Allocation!$N$1="VOL_EFF",$T108,IF(Allocation!$N$1="VOL_CLASS",$U108,$V108)))</f>
        <v/>
      </c>
      <c r="AI108" t="str">
        <f t="shared" si="31"/>
        <v/>
      </c>
      <c r="AJ108" t="str">
        <f t="shared" si="32"/>
        <v/>
      </c>
      <c r="AK108" t="str">
        <f t="shared" si="33"/>
        <v/>
      </c>
      <c r="AL108" t="str">
        <f t="shared" si="34"/>
        <v/>
      </c>
      <c r="AM108" t="str">
        <f t="shared" si="35"/>
        <v/>
      </c>
      <c r="AN108" t="str">
        <f t="shared" si="36"/>
        <v/>
      </c>
      <c r="AO108" t="str">
        <f>IF($A108="","",Allocation!CJ108)</f>
        <v/>
      </c>
      <c r="AP108" t="str">
        <f>IF($A108="","",IF(Allocation!$N$2="VOL_EFF",$Q108,IF(Allocation!$N$2="VOL_CLASS",$R108,$S108)))</f>
        <v/>
      </c>
      <c r="AQ108" t="str">
        <f>IF($A108="","",IF(Allocation!$N$2="VOL_EFF",$T108,IF(Allocation!$N$2="VOL_CLASS",$U108,$V108)))</f>
        <v/>
      </c>
      <c r="AR108" t="str">
        <f t="shared" si="37"/>
        <v/>
      </c>
      <c r="AS108" t="str">
        <f>IF($A108="","",$A108&amp;"|"&amp;Allocation!BG108)</f>
        <v/>
      </c>
    </row>
    <row r="109" spans="1:45" x14ac:dyDescent="0.45">
      <c r="A109" t="str">
        <f>IF(Allocation!BI109="","",Allocation!BI109)</f>
        <v/>
      </c>
      <c r="B109" t="str">
        <f>IF(Allocation!BJ109="","",Allocation!BJ109)</f>
        <v/>
      </c>
      <c r="C109" t="str">
        <f>IF(Allocation!BK109="","",Allocation!BK109)</f>
        <v/>
      </c>
      <c r="D109" t="str">
        <f>IF(Allocation!BL109="","",Allocation!BL109)</f>
        <v/>
      </c>
      <c r="E109" t="str">
        <f>IF(Allocation!BM109="","",Allocation!BM109)</f>
        <v/>
      </c>
      <c r="F109" t="str">
        <f>IF(Allocation!BN109="","",Allocation!BN109)</f>
        <v/>
      </c>
      <c r="G109" t="str">
        <f>IF(Allocation!BO109="","",Allocation!BO109)</f>
        <v/>
      </c>
      <c r="H109" t="str">
        <f>IF(Allocation!BP109="","",Allocation!BP109)</f>
        <v/>
      </c>
      <c r="I109" t="str">
        <f>IF(Allocation!BQ109="","",Allocation!BQ109)</f>
        <v/>
      </c>
      <c r="J109" t="str">
        <f>IF(Allocation!CC109="","",Allocation!CC109)</f>
        <v/>
      </c>
      <c r="K109" t="str">
        <f t="shared" si="19"/>
        <v/>
      </c>
      <c r="L109" t="str">
        <f t="shared" si="20"/>
        <v/>
      </c>
      <c r="M109" t="str">
        <f t="shared" si="21"/>
        <v/>
      </c>
      <c r="N109" t="str">
        <f t="shared" si="22"/>
        <v/>
      </c>
      <c r="O109" t="str">
        <f t="shared" si="23"/>
        <v/>
      </c>
      <c r="P109" t="str">
        <f t="shared" si="24"/>
        <v/>
      </c>
      <c r="Q109" t="str">
        <f t="shared" si="25"/>
        <v/>
      </c>
      <c r="R109" t="str">
        <f t="shared" si="26"/>
        <v/>
      </c>
      <c r="S109" t="str">
        <f t="shared" si="27"/>
        <v/>
      </c>
      <c r="T109" t="str">
        <f t="shared" si="28"/>
        <v/>
      </c>
      <c r="U109" t="str">
        <f t="shared" si="29"/>
        <v/>
      </c>
      <c r="V109" t="str">
        <f t="shared" si="30"/>
        <v/>
      </c>
      <c r="W109" t="str">
        <f>IF($A109="","",Allocation!CD109)</f>
        <v/>
      </c>
      <c r="X109" t="str">
        <f>IF($A109="","",Allocation!CE109)</f>
        <v/>
      </c>
      <c r="Y109" t="str">
        <f>IF($A109="","",Allocation!CF109)</f>
        <v/>
      </c>
      <c r="Z109" t="str">
        <f>IF($A109="","",Allocation!CG109)</f>
        <v/>
      </c>
      <c r="AA109" t="str">
        <f>IF($A109="","",Allocation!CH109)</f>
        <v/>
      </c>
      <c r="AB109" t="str">
        <f>IF($A109="","",Allocation!CI109)</f>
        <v/>
      </c>
      <c r="AC109" t="str">
        <f>IF($A109="","",IF(Allocation!$N$4="VOL_EFF",$G109,IF(Allocation!$N$4="VOL_CLASS",$H109,$I109)))</f>
        <v/>
      </c>
      <c r="AD109" t="str">
        <f>IF($A109="","",IF(Allocation!$N$4="VOL_EFF",$L109,IF(Allocation!$N$4="VOL_CLASS",$M109,$N109)))</f>
        <v/>
      </c>
      <c r="AE109" t="str">
        <f>IF($A109="","",IF(Allocation!$N$3="VOL_EFF",$L109,IF(Allocation!$N$3="VOL_CLASS",$M109,$N109)))</f>
        <v/>
      </c>
      <c r="AF109" t="str">
        <f>IF($A109="","",IF(Allocation!$N$3="VOL_EFF",$Q109,IF(Allocation!$N$3="VOL_CLASS",$R109,$S109)))</f>
        <v/>
      </c>
      <c r="AG109" t="str">
        <f>IF($A109="","",IF(Allocation!$N$1="VOL_EFF",$Q109,IF(Allocation!$N$1="VOL_CLASS",$R109,$S109)))</f>
        <v/>
      </c>
      <c r="AH109" t="str">
        <f>IF($A109="","",IF(Allocation!$N$1="VOL_EFF",$T109,IF(Allocation!$N$1="VOL_CLASS",$U109,$V109)))</f>
        <v/>
      </c>
      <c r="AI109" t="str">
        <f t="shared" si="31"/>
        <v/>
      </c>
      <c r="AJ109" t="str">
        <f t="shared" si="32"/>
        <v/>
      </c>
      <c r="AK109" t="str">
        <f t="shared" si="33"/>
        <v/>
      </c>
      <c r="AL109" t="str">
        <f t="shared" si="34"/>
        <v/>
      </c>
      <c r="AM109" t="str">
        <f t="shared" si="35"/>
        <v/>
      </c>
      <c r="AN109" t="str">
        <f t="shared" si="36"/>
        <v/>
      </c>
      <c r="AO109" t="str">
        <f>IF($A109="","",Allocation!CJ109)</f>
        <v/>
      </c>
      <c r="AP109" t="str">
        <f>IF($A109="","",IF(Allocation!$N$2="VOL_EFF",$Q109,IF(Allocation!$N$2="VOL_CLASS",$R109,$S109)))</f>
        <v/>
      </c>
      <c r="AQ109" t="str">
        <f>IF($A109="","",IF(Allocation!$N$2="VOL_EFF",$T109,IF(Allocation!$N$2="VOL_CLASS",$U109,$V109)))</f>
        <v/>
      </c>
      <c r="AR109" t="str">
        <f t="shared" si="37"/>
        <v/>
      </c>
      <c r="AS109" t="str">
        <f>IF($A109="","",$A109&amp;"|"&amp;Allocation!BG109)</f>
        <v/>
      </c>
    </row>
    <row r="110" spans="1:45" x14ac:dyDescent="0.45">
      <c r="A110" t="str">
        <f>IF(Allocation!BI110="","",Allocation!BI110)</f>
        <v/>
      </c>
      <c r="B110" t="str">
        <f>IF(Allocation!BJ110="","",Allocation!BJ110)</f>
        <v/>
      </c>
      <c r="C110" t="str">
        <f>IF(Allocation!BK110="","",Allocation!BK110)</f>
        <v/>
      </c>
      <c r="D110" t="str">
        <f>IF(Allocation!BL110="","",Allocation!BL110)</f>
        <v/>
      </c>
      <c r="E110" t="str">
        <f>IF(Allocation!BM110="","",Allocation!BM110)</f>
        <v/>
      </c>
      <c r="F110" t="str">
        <f>IF(Allocation!BN110="","",Allocation!BN110)</f>
        <v/>
      </c>
      <c r="G110" t="str">
        <f>IF(Allocation!BO110="","",Allocation!BO110)</f>
        <v/>
      </c>
      <c r="H110" t="str">
        <f>IF(Allocation!BP110="","",Allocation!BP110)</f>
        <v/>
      </c>
      <c r="I110" t="str">
        <f>IF(Allocation!BQ110="","",Allocation!BQ110)</f>
        <v/>
      </c>
      <c r="J110" t="str">
        <f>IF(Allocation!CC110="","",Allocation!CC110)</f>
        <v/>
      </c>
      <c r="K110" t="str">
        <f t="shared" si="19"/>
        <v/>
      </c>
      <c r="L110" t="str">
        <f t="shared" si="20"/>
        <v/>
      </c>
      <c r="M110" t="str">
        <f t="shared" si="21"/>
        <v/>
      </c>
      <c r="N110" t="str">
        <f t="shared" si="22"/>
        <v/>
      </c>
      <c r="O110" t="str">
        <f t="shared" si="23"/>
        <v/>
      </c>
      <c r="P110" t="str">
        <f t="shared" si="24"/>
        <v/>
      </c>
      <c r="Q110" t="str">
        <f t="shared" si="25"/>
        <v/>
      </c>
      <c r="R110" t="str">
        <f t="shared" si="26"/>
        <v/>
      </c>
      <c r="S110" t="str">
        <f t="shared" si="27"/>
        <v/>
      </c>
      <c r="T110" t="str">
        <f t="shared" si="28"/>
        <v/>
      </c>
      <c r="U110" t="str">
        <f t="shared" si="29"/>
        <v/>
      </c>
      <c r="V110" t="str">
        <f t="shared" si="30"/>
        <v/>
      </c>
      <c r="W110" t="str">
        <f>IF($A110="","",Allocation!CD110)</f>
        <v/>
      </c>
      <c r="X110" t="str">
        <f>IF($A110="","",Allocation!CE110)</f>
        <v/>
      </c>
      <c r="Y110" t="str">
        <f>IF($A110="","",Allocation!CF110)</f>
        <v/>
      </c>
      <c r="Z110" t="str">
        <f>IF($A110="","",Allocation!CG110)</f>
        <v/>
      </c>
      <c r="AA110" t="str">
        <f>IF($A110="","",Allocation!CH110)</f>
        <v/>
      </c>
      <c r="AB110" t="str">
        <f>IF($A110="","",Allocation!CI110)</f>
        <v/>
      </c>
      <c r="AC110" t="str">
        <f>IF($A110="","",IF(Allocation!$N$4="VOL_EFF",$G110,IF(Allocation!$N$4="VOL_CLASS",$H110,$I110)))</f>
        <v/>
      </c>
      <c r="AD110" t="str">
        <f>IF($A110="","",IF(Allocation!$N$4="VOL_EFF",$L110,IF(Allocation!$N$4="VOL_CLASS",$M110,$N110)))</f>
        <v/>
      </c>
      <c r="AE110" t="str">
        <f>IF($A110="","",IF(Allocation!$N$3="VOL_EFF",$L110,IF(Allocation!$N$3="VOL_CLASS",$M110,$N110)))</f>
        <v/>
      </c>
      <c r="AF110" t="str">
        <f>IF($A110="","",IF(Allocation!$N$3="VOL_EFF",$Q110,IF(Allocation!$N$3="VOL_CLASS",$R110,$S110)))</f>
        <v/>
      </c>
      <c r="AG110" t="str">
        <f>IF($A110="","",IF(Allocation!$N$1="VOL_EFF",$Q110,IF(Allocation!$N$1="VOL_CLASS",$R110,$S110)))</f>
        <v/>
      </c>
      <c r="AH110" t="str">
        <f>IF($A110="","",IF(Allocation!$N$1="VOL_EFF",$T110,IF(Allocation!$N$1="VOL_CLASS",$U110,$V110)))</f>
        <v/>
      </c>
      <c r="AI110" t="str">
        <f t="shared" si="31"/>
        <v/>
      </c>
      <c r="AJ110" t="str">
        <f t="shared" si="32"/>
        <v/>
      </c>
      <c r="AK110" t="str">
        <f t="shared" si="33"/>
        <v/>
      </c>
      <c r="AL110" t="str">
        <f t="shared" si="34"/>
        <v/>
      </c>
      <c r="AM110" t="str">
        <f t="shared" si="35"/>
        <v/>
      </c>
      <c r="AN110" t="str">
        <f t="shared" si="36"/>
        <v/>
      </c>
      <c r="AO110" t="str">
        <f>IF($A110="","",Allocation!CJ110)</f>
        <v/>
      </c>
      <c r="AP110" t="str">
        <f>IF($A110="","",IF(Allocation!$N$2="VOL_EFF",$Q110,IF(Allocation!$N$2="VOL_CLASS",$R110,$S110)))</f>
        <v/>
      </c>
      <c r="AQ110" t="str">
        <f>IF($A110="","",IF(Allocation!$N$2="VOL_EFF",$T110,IF(Allocation!$N$2="VOL_CLASS",$U110,$V110)))</f>
        <v/>
      </c>
      <c r="AR110" t="str">
        <f t="shared" si="37"/>
        <v/>
      </c>
      <c r="AS110" t="str">
        <f>IF($A110="","",$A110&amp;"|"&amp;Allocation!BG110)</f>
        <v/>
      </c>
    </row>
    <row r="111" spans="1:45" x14ac:dyDescent="0.45">
      <c r="A111" t="str">
        <f>IF(Allocation!BI111="","",Allocation!BI111)</f>
        <v/>
      </c>
      <c r="B111" t="str">
        <f>IF(Allocation!BJ111="","",Allocation!BJ111)</f>
        <v/>
      </c>
      <c r="C111" t="str">
        <f>IF(Allocation!BK111="","",Allocation!BK111)</f>
        <v/>
      </c>
      <c r="D111" t="str">
        <f>IF(Allocation!BL111="","",Allocation!BL111)</f>
        <v/>
      </c>
      <c r="E111" t="str">
        <f>IF(Allocation!BM111="","",Allocation!BM111)</f>
        <v/>
      </c>
      <c r="F111" t="str">
        <f>IF(Allocation!BN111="","",Allocation!BN111)</f>
        <v/>
      </c>
      <c r="G111" t="str">
        <f>IF(Allocation!BO111="","",Allocation!BO111)</f>
        <v/>
      </c>
      <c r="H111" t="str">
        <f>IF(Allocation!BP111="","",Allocation!BP111)</f>
        <v/>
      </c>
      <c r="I111" t="str">
        <f>IF(Allocation!BQ111="","",Allocation!BQ111)</f>
        <v/>
      </c>
      <c r="J111" t="str">
        <f>IF(Allocation!CC111="","",Allocation!CC111)</f>
        <v/>
      </c>
      <c r="K111" t="str">
        <f t="shared" si="19"/>
        <v/>
      </c>
      <c r="L111" t="str">
        <f t="shared" si="20"/>
        <v/>
      </c>
      <c r="M111" t="str">
        <f t="shared" si="21"/>
        <v/>
      </c>
      <c r="N111" t="str">
        <f t="shared" si="22"/>
        <v/>
      </c>
      <c r="O111" t="str">
        <f t="shared" si="23"/>
        <v/>
      </c>
      <c r="P111" t="str">
        <f t="shared" si="24"/>
        <v/>
      </c>
      <c r="Q111" t="str">
        <f t="shared" si="25"/>
        <v/>
      </c>
      <c r="R111" t="str">
        <f t="shared" si="26"/>
        <v/>
      </c>
      <c r="S111" t="str">
        <f t="shared" si="27"/>
        <v/>
      </c>
      <c r="T111" t="str">
        <f t="shared" si="28"/>
        <v/>
      </c>
      <c r="U111" t="str">
        <f t="shared" si="29"/>
        <v/>
      </c>
      <c r="V111" t="str">
        <f t="shared" si="30"/>
        <v/>
      </c>
      <c r="W111" t="str">
        <f>IF($A111="","",Allocation!CD111)</f>
        <v/>
      </c>
      <c r="X111" t="str">
        <f>IF($A111="","",Allocation!CE111)</f>
        <v/>
      </c>
      <c r="Y111" t="str">
        <f>IF($A111="","",Allocation!CF111)</f>
        <v/>
      </c>
      <c r="Z111" t="str">
        <f>IF($A111="","",Allocation!CG111)</f>
        <v/>
      </c>
      <c r="AA111" t="str">
        <f>IF($A111="","",Allocation!CH111)</f>
        <v/>
      </c>
      <c r="AB111" t="str">
        <f>IF($A111="","",Allocation!CI111)</f>
        <v/>
      </c>
      <c r="AC111" t="str">
        <f>IF($A111="","",IF(Allocation!$N$4="VOL_EFF",$G111,IF(Allocation!$N$4="VOL_CLASS",$H111,$I111)))</f>
        <v/>
      </c>
      <c r="AD111" t="str">
        <f>IF($A111="","",IF(Allocation!$N$4="VOL_EFF",$L111,IF(Allocation!$N$4="VOL_CLASS",$M111,$N111)))</f>
        <v/>
      </c>
      <c r="AE111" t="str">
        <f>IF($A111="","",IF(Allocation!$N$3="VOL_EFF",$L111,IF(Allocation!$N$3="VOL_CLASS",$M111,$N111)))</f>
        <v/>
      </c>
      <c r="AF111" t="str">
        <f>IF($A111="","",IF(Allocation!$N$3="VOL_EFF",$Q111,IF(Allocation!$N$3="VOL_CLASS",$R111,$S111)))</f>
        <v/>
      </c>
      <c r="AG111" t="str">
        <f>IF($A111="","",IF(Allocation!$N$1="VOL_EFF",$Q111,IF(Allocation!$N$1="VOL_CLASS",$R111,$S111)))</f>
        <v/>
      </c>
      <c r="AH111" t="str">
        <f>IF($A111="","",IF(Allocation!$N$1="VOL_EFF",$T111,IF(Allocation!$N$1="VOL_CLASS",$U111,$V111)))</f>
        <v/>
      </c>
      <c r="AI111" t="str">
        <f t="shared" si="31"/>
        <v/>
      </c>
      <c r="AJ111" t="str">
        <f t="shared" si="32"/>
        <v/>
      </c>
      <c r="AK111" t="str">
        <f t="shared" si="33"/>
        <v/>
      </c>
      <c r="AL111" t="str">
        <f t="shared" si="34"/>
        <v/>
      </c>
      <c r="AM111" t="str">
        <f t="shared" si="35"/>
        <v/>
      </c>
      <c r="AN111" t="str">
        <f t="shared" si="36"/>
        <v/>
      </c>
      <c r="AO111" t="str">
        <f>IF($A111="","",Allocation!CJ111)</f>
        <v/>
      </c>
      <c r="AP111" t="str">
        <f>IF($A111="","",IF(Allocation!$N$2="VOL_EFF",$Q111,IF(Allocation!$N$2="VOL_CLASS",$R111,$S111)))</f>
        <v/>
      </c>
      <c r="AQ111" t="str">
        <f>IF($A111="","",IF(Allocation!$N$2="VOL_EFF",$T111,IF(Allocation!$N$2="VOL_CLASS",$U111,$V111)))</f>
        <v/>
      </c>
      <c r="AR111" t="str">
        <f t="shared" si="37"/>
        <v/>
      </c>
      <c r="AS111" t="str">
        <f>IF($A111="","",$A111&amp;"|"&amp;Allocation!BG111)</f>
        <v/>
      </c>
    </row>
    <row r="112" spans="1:45" x14ac:dyDescent="0.45">
      <c r="A112" t="str">
        <f>IF(Allocation!BI112="","",Allocation!BI112)</f>
        <v/>
      </c>
      <c r="B112" t="str">
        <f>IF(Allocation!BJ112="","",Allocation!BJ112)</f>
        <v/>
      </c>
      <c r="C112" t="str">
        <f>IF(Allocation!BK112="","",Allocation!BK112)</f>
        <v/>
      </c>
      <c r="D112" t="str">
        <f>IF(Allocation!BL112="","",Allocation!BL112)</f>
        <v/>
      </c>
      <c r="E112" t="str">
        <f>IF(Allocation!BM112="","",Allocation!BM112)</f>
        <v/>
      </c>
      <c r="F112" t="str">
        <f>IF(Allocation!BN112="","",Allocation!BN112)</f>
        <v/>
      </c>
      <c r="G112" t="str">
        <f>IF(Allocation!BO112="","",Allocation!BO112)</f>
        <v/>
      </c>
      <c r="H112" t="str">
        <f>IF(Allocation!BP112="","",Allocation!BP112)</f>
        <v/>
      </c>
      <c r="I112" t="str">
        <f>IF(Allocation!BQ112="","",Allocation!BQ112)</f>
        <v/>
      </c>
      <c r="J112" t="str">
        <f>IF(Allocation!CC112="","",Allocation!CC112)</f>
        <v/>
      </c>
      <c r="K112" t="str">
        <f t="shared" si="19"/>
        <v/>
      </c>
      <c r="L112" t="str">
        <f t="shared" si="20"/>
        <v/>
      </c>
      <c r="M112" t="str">
        <f t="shared" si="21"/>
        <v/>
      </c>
      <c r="N112" t="str">
        <f t="shared" si="22"/>
        <v/>
      </c>
      <c r="O112" t="str">
        <f t="shared" si="23"/>
        <v/>
      </c>
      <c r="P112" t="str">
        <f t="shared" si="24"/>
        <v/>
      </c>
      <c r="Q112" t="str">
        <f t="shared" si="25"/>
        <v/>
      </c>
      <c r="R112" t="str">
        <f t="shared" si="26"/>
        <v/>
      </c>
      <c r="S112" t="str">
        <f t="shared" si="27"/>
        <v/>
      </c>
      <c r="T112" t="str">
        <f t="shared" si="28"/>
        <v/>
      </c>
      <c r="U112" t="str">
        <f t="shared" si="29"/>
        <v/>
      </c>
      <c r="V112" t="str">
        <f t="shared" si="30"/>
        <v/>
      </c>
      <c r="W112" t="str">
        <f>IF($A112="","",Allocation!CD112)</f>
        <v/>
      </c>
      <c r="X112" t="str">
        <f>IF($A112="","",Allocation!CE112)</f>
        <v/>
      </c>
      <c r="Y112" t="str">
        <f>IF($A112="","",Allocation!CF112)</f>
        <v/>
      </c>
      <c r="Z112" t="str">
        <f>IF($A112="","",Allocation!CG112)</f>
        <v/>
      </c>
      <c r="AA112" t="str">
        <f>IF($A112="","",Allocation!CH112)</f>
        <v/>
      </c>
      <c r="AB112" t="str">
        <f>IF($A112="","",Allocation!CI112)</f>
        <v/>
      </c>
      <c r="AC112" t="str">
        <f>IF($A112="","",IF(Allocation!$N$4="VOL_EFF",$G112,IF(Allocation!$N$4="VOL_CLASS",$H112,$I112)))</f>
        <v/>
      </c>
      <c r="AD112" t="str">
        <f>IF($A112="","",IF(Allocation!$N$4="VOL_EFF",$L112,IF(Allocation!$N$4="VOL_CLASS",$M112,$N112)))</f>
        <v/>
      </c>
      <c r="AE112" t="str">
        <f>IF($A112="","",IF(Allocation!$N$3="VOL_EFF",$L112,IF(Allocation!$N$3="VOL_CLASS",$M112,$N112)))</f>
        <v/>
      </c>
      <c r="AF112" t="str">
        <f>IF($A112="","",IF(Allocation!$N$3="VOL_EFF",$Q112,IF(Allocation!$N$3="VOL_CLASS",$R112,$S112)))</f>
        <v/>
      </c>
      <c r="AG112" t="str">
        <f>IF($A112="","",IF(Allocation!$N$1="VOL_EFF",$Q112,IF(Allocation!$N$1="VOL_CLASS",$R112,$S112)))</f>
        <v/>
      </c>
      <c r="AH112" t="str">
        <f>IF($A112="","",IF(Allocation!$N$1="VOL_EFF",$T112,IF(Allocation!$N$1="VOL_CLASS",$U112,$V112)))</f>
        <v/>
      </c>
      <c r="AI112" t="str">
        <f t="shared" si="31"/>
        <v/>
      </c>
      <c r="AJ112" t="str">
        <f t="shared" si="32"/>
        <v/>
      </c>
      <c r="AK112" t="str">
        <f t="shared" si="33"/>
        <v/>
      </c>
      <c r="AL112" t="str">
        <f t="shared" si="34"/>
        <v/>
      </c>
      <c r="AM112" t="str">
        <f t="shared" si="35"/>
        <v/>
      </c>
      <c r="AN112" t="str">
        <f t="shared" si="36"/>
        <v/>
      </c>
      <c r="AO112" t="str">
        <f>IF($A112="","",Allocation!CJ112)</f>
        <v/>
      </c>
      <c r="AP112" t="str">
        <f>IF($A112="","",IF(Allocation!$N$2="VOL_EFF",$Q112,IF(Allocation!$N$2="VOL_CLASS",$R112,$S112)))</f>
        <v/>
      </c>
      <c r="AQ112" t="str">
        <f>IF($A112="","",IF(Allocation!$N$2="VOL_EFF",$T112,IF(Allocation!$N$2="VOL_CLASS",$U112,$V112)))</f>
        <v/>
      </c>
      <c r="AR112" t="str">
        <f t="shared" si="37"/>
        <v/>
      </c>
      <c r="AS112" t="str">
        <f>IF($A112="","",$A112&amp;"|"&amp;Allocation!BG112)</f>
        <v/>
      </c>
    </row>
    <row r="113" spans="1:45" x14ac:dyDescent="0.45">
      <c r="A113" t="str">
        <f>IF(Allocation!BI113="","",Allocation!BI113)</f>
        <v/>
      </c>
      <c r="B113" t="str">
        <f>IF(Allocation!BJ113="","",Allocation!BJ113)</f>
        <v/>
      </c>
      <c r="C113" t="str">
        <f>IF(Allocation!BK113="","",Allocation!BK113)</f>
        <v/>
      </c>
      <c r="D113" t="str">
        <f>IF(Allocation!BL113="","",Allocation!BL113)</f>
        <v/>
      </c>
      <c r="E113" t="str">
        <f>IF(Allocation!BM113="","",Allocation!BM113)</f>
        <v/>
      </c>
      <c r="F113" t="str">
        <f>IF(Allocation!BN113="","",Allocation!BN113)</f>
        <v/>
      </c>
      <c r="G113" t="str">
        <f>IF(Allocation!BO113="","",Allocation!BO113)</f>
        <v/>
      </c>
      <c r="H113" t="str">
        <f>IF(Allocation!BP113="","",Allocation!BP113)</f>
        <v/>
      </c>
      <c r="I113" t="str">
        <f>IF(Allocation!BQ113="","",Allocation!BQ113)</f>
        <v/>
      </c>
      <c r="J113" t="str">
        <f>IF(Allocation!CC113="","",Allocation!CC113)</f>
        <v/>
      </c>
      <c r="K113" t="str">
        <f t="shared" si="19"/>
        <v/>
      </c>
      <c r="L113" t="str">
        <f t="shared" si="20"/>
        <v/>
      </c>
      <c r="M113" t="str">
        <f t="shared" si="21"/>
        <v/>
      </c>
      <c r="N113" t="str">
        <f t="shared" si="22"/>
        <v/>
      </c>
      <c r="O113" t="str">
        <f t="shared" si="23"/>
        <v/>
      </c>
      <c r="P113" t="str">
        <f t="shared" si="24"/>
        <v/>
      </c>
      <c r="Q113" t="str">
        <f t="shared" si="25"/>
        <v/>
      </c>
      <c r="R113" t="str">
        <f t="shared" si="26"/>
        <v/>
      </c>
      <c r="S113" t="str">
        <f t="shared" si="27"/>
        <v/>
      </c>
      <c r="T113" t="str">
        <f t="shared" si="28"/>
        <v/>
      </c>
      <c r="U113" t="str">
        <f t="shared" si="29"/>
        <v/>
      </c>
      <c r="V113" t="str">
        <f t="shared" si="30"/>
        <v/>
      </c>
      <c r="W113" t="str">
        <f>IF($A113="","",Allocation!CD113)</f>
        <v/>
      </c>
      <c r="X113" t="str">
        <f>IF($A113="","",Allocation!CE113)</f>
        <v/>
      </c>
      <c r="Y113" t="str">
        <f>IF($A113="","",Allocation!CF113)</f>
        <v/>
      </c>
      <c r="Z113" t="str">
        <f>IF($A113="","",Allocation!CG113)</f>
        <v/>
      </c>
      <c r="AA113" t="str">
        <f>IF($A113="","",Allocation!CH113)</f>
        <v/>
      </c>
      <c r="AB113" t="str">
        <f>IF($A113="","",Allocation!CI113)</f>
        <v/>
      </c>
      <c r="AC113" t="str">
        <f>IF($A113="","",IF(Allocation!$N$4="VOL_EFF",$G113,IF(Allocation!$N$4="VOL_CLASS",$H113,$I113)))</f>
        <v/>
      </c>
      <c r="AD113" t="str">
        <f>IF($A113="","",IF(Allocation!$N$4="VOL_EFF",$L113,IF(Allocation!$N$4="VOL_CLASS",$M113,$N113)))</f>
        <v/>
      </c>
      <c r="AE113" t="str">
        <f>IF($A113="","",IF(Allocation!$N$3="VOL_EFF",$L113,IF(Allocation!$N$3="VOL_CLASS",$M113,$N113)))</f>
        <v/>
      </c>
      <c r="AF113" t="str">
        <f>IF($A113="","",IF(Allocation!$N$3="VOL_EFF",$Q113,IF(Allocation!$N$3="VOL_CLASS",$R113,$S113)))</f>
        <v/>
      </c>
      <c r="AG113" t="str">
        <f>IF($A113="","",IF(Allocation!$N$1="VOL_EFF",$Q113,IF(Allocation!$N$1="VOL_CLASS",$R113,$S113)))</f>
        <v/>
      </c>
      <c r="AH113" t="str">
        <f>IF($A113="","",IF(Allocation!$N$1="VOL_EFF",$T113,IF(Allocation!$N$1="VOL_CLASS",$U113,$V113)))</f>
        <v/>
      </c>
      <c r="AI113" t="str">
        <f t="shared" si="31"/>
        <v/>
      </c>
      <c r="AJ113" t="str">
        <f t="shared" si="32"/>
        <v/>
      </c>
      <c r="AK113" t="str">
        <f t="shared" si="33"/>
        <v/>
      </c>
      <c r="AL113" t="str">
        <f t="shared" si="34"/>
        <v/>
      </c>
      <c r="AM113" t="str">
        <f t="shared" si="35"/>
        <v/>
      </c>
      <c r="AN113" t="str">
        <f t="shared" si="36"/>
        <v/>
      </c>
      <c r="AO113" t="str">
        <f>IF($A113="","",Allocation!CJ113)</f>
        <v/>
      </c>
      <c r="AP113" t="str">
        <f>IF($A113="","",IF(Allocation!$N$2="VOL_EFF",$Q113,IF(Allocation!$N$2="VOL_CLASS",$R113,$S113)))</f>
        <v/>
      </c>
      <c r="AQ113" t="str">
        <f>IF($A113="","",IF(Allocation!$N$2="VOL_EFF",$T113,IF(Allocation!$N$2="VOL_CLASS",$U113,$V113)))</f>
        <v/>
      </c>
      <c r="AR113" t="str">
        <f t="shared" si="37"/>
        <v/>
      </c>
      <c r="AS113" t="str">
        <f>IF($A113="","",$A113&amp;"|"&amp;Allocation!BG113)</f>
        <v/>
      </c>
    </row>
    <row r="114" spans="1:45" x14ac:dyDescent="0.45">
      <c r="A114" t="str">
        <f>IF(Allocation!BI114="","",Allocation!BI114)</f>
        <v/>
      </c>
      <c r="B114" t="str">
        <f>IF(Allocation!BJ114="","",Allocation!BJ114)</f>
        <v/>
      </c>
      <c r="C114" t="str">
        <f>IF(Allocation!BK114="","",Allocation!BK114)</f>
        <v/>
      </c>
      <c r="D114" t="str">
        <f>IF(Allocation!BL114="","",Allocation!BL114)</f>
        <v/>
      </c>
      <c r="E114" t="str">
        <f>IF(Allocation!BM114="","",Allocation!BM114)</f>
        <v/>
      </c>
      <c r="F114" t="str">
        <f>IF(Allocation!BN114="","",Allocation!BN114)</f>
        <v/>
      </c>
      <c r="G114" t="str">
        <f>IF(Allocation!BO114="","",Allocation!BO114)</f>
        <v/>
      </c>
      <c r="H114" t="str">
        <f>IF(Allocation!BP114="","",Allocation!BP114)</f>
        <v/>
      </c>
      <c r="I114" t="str">
        <f>IF(Allocation!BQ114="","",Allocation!BQ114)</f>
        <v/>
      </c>
      <c r="J114" t="str">
        <f>IF(Allocation!CC114="","",Allocation!CC114)</f>
        <v/>
      </c>
      <c r="K114" t="str">
        <f t="shared" si="19"/>
        <v/>
      </c>
      <c r="L114" t="str">
        <f t="shared" si="20"/>
        <v/>
      </c>
      <c r="M114" t="str">
        <f t="shared" si="21"/>
        <v/>
      </c>
      <c r="N114" t="str">
        <f t="shared" si="22"/>
        <v/>
      </c>
      <c r="O114" t="str">
        <f t="shared" si="23"/>
        <v/>
      </c>
      <c r="P114" t="str">
        <f t="shared" si="24"/>
        <v/>
      </c>
      <c r="Q114" t="str">
        <f t="shared" si="25"/>
        <v/>
      </c>
      <c r="R114" t="str">
        <f t="shared" si="26"/>
        <v/>
      </c>
      <c r="S114" t="str">
        <f t="shared" si="27"/>
        <v/>
      </c>
      <c r="T114" t="str">
        <f t="shared" si="28"/>
        <v/>
      </c>
      <c r="U114" t="str">
        <f t="shared" si="29"/>
        <v/>
      </c>
      <c r="V114" t="str">
        <f t="shared" si="30"/>
        <v/>
      </c>
      <c r="W114" t="str">
        <f>IF($A114="","",Allocation!CD114)</f>
        <v/>
      </c>
      <c r="X114" t="str">
        <f>IF($A114="","",Allocation!CE114)</f>
        <v/>
      </c>
      <c r="Y114" t="str">
        <f>IF($A114="","",Allocation!CF114)</f>
        <v/>
      </c>
      <c r="Z114" t="str">
        <f>IF($A114="","",Allocation!CG114)</f>
        <v/>
      </c>
      <c r="AA114" t="str">
        <f>IF($A114="","",Allocation!CH114)</f>
        <v/>
      </c>
      <c r="AB114" t="str">
        <f>IF($A114="","",Allocation!CI114)</f>
        <v/>
      </c>
      <c r="AC114" t="str">
        <f>IF($A114="","",IF(Allocation!$N$4="VOL_EFF",$G114,IF(Allocation!$N$4="VOL_CLASS",$H114,$I114)))</f>
        <v/>
      </c>
      <c r="AD114" t="str">
        <f>IF($A114="","",IF(Allocation!$N$4="VOL_EFF",$L114,IF(Allocation!$N$4="VOL_CLASS",$M114,$N114)))</f>
        <v/>
      </c>
      <c r="AE114" t="str">
        <f>IF($A114="","",IF(Allocation!$N$3="VOL_EFF",$L114,IF(Allocation!$N$3="VOL_CLASS",$M114,$N114)))</f>
        <v/>
      </c>
      <c r="AF114" t="str">
        <f>IF($A114="","",IF(Allocation!$N$3="VOL_EFF",$Q114,IF(Allocation!$N$3="VOL_CLASS",$R114,$S114)))</f>
        <v/>
      </c>
      <c r="AG114" t="str">
        <f>IF($A114="","",IF(Allocation!$N$1="VOL_EFF",$Q114,IF(Allocation!$N$1="VOL_CLASS",$R114,$S114)))</f>
        <v/>
      </c>
      <c r="AH114" t="str">
        <f>IF($A114="","",IF(Allocation!$N$1="VOL_EFF",$T114,IF(Allocation!$N$1="VOL_CLASS",$U114,$V114)))</f>
        <v/>
      </c>
      <c r="AI114" t="str">
        <f t="shared" si="31"/>
        <v/>
      </c>
      <c r="AJ114" t="str">
        <f t="shared" si="32"/>
        <v/>
      </c>
      <c r="AK114" t="str">
        <f t="shared" si="33"/>
        <v/>
      </c>
      <c r="AL114" t="str">
        <f t="shared" si="34"/>
        <v/>
      </c>
      <c r="AM114" t="str">
        <f t="shared" si="35"/>
        <v/>
      </c>
      <c r="AN114" t="str">
        <f t="shared" si="36"/>
        <v/>
      </c>
      <c r="AO114" t="str">
        <f>IF($A114="","",Allocation!CJ114)</f>
        <v/>
      </c>
      <c r="AP114" t="str">
        <f>IF($A114="","",IF(Allocation!$N$2="VOL_EFF",$Q114,IF(Allocation!$N$2="VOL_CLASS",$R114,$S114)))</f>
        <v/>
      </c>
      <c r="AQ114" t="str">
        <f>IF($A114="","",IF(Allocation!$N$2="VOL_EFF",$T114,IF(Allocation!$N$2="VOL_CLASS",$U114,$V114)))</f>
        <v/>
      </c>
      <c r="AR114" t="str">
        <f t="shared" si="37"/>
        <v/>
      </c>
      <c r="AS114" t="str">
        <f>IF($A114="","",$A114&amp;"|"&amp;Allocation!BG114)</f>
        <v/>
      </c>
    </row>
    <row r="115" spans="1:45" x14ac:dyDescent="0.45">
      <c r="A115" t="str">
        <f>IF(Allocation!BI115="","",Allocation!BI115)</f>
        <v/>
      </c>
      <c r="B115" t="str">
        <f>IF(Allocation!BJ115="","",Allocation!BJ115)</f>
        <v/>
      </c>
      <c r="C115" t="str">
        <f>IF(Allocation!BK115="","",Allocation!BK115)</f>
        <v/>
      </c>
      <c r="D115" t="str">
        <f>IF(Allocation!BL115="","",Allocation!BL115)</f>
        <v/>
      </c>
      <c r="E115" t="str">
        <f>IF(Allocation!BM115="","",Allocation!BM115)</f>
        <v/>
      </c>
      <c r="F115" t="str">
        <f>IF(Allocation!BN115="","",Allocation!BN115)</f>
        <v/>
      </c>
      <c r="G115" t="str">
        <f>IF(Allocation!BO115="","",Allocation!BO115)</f>
        <v/>
      </c>
      <c r="H115" t="str">
        <f>IF(Allocation!BP115="","",Allocation!BP115)</f>
        <v/>
      </c>
      <c r="I115" t="str">
        <f>IF(Allocation!BQ115="","",Allocation!BQ115)</f>
        <v/>
      </c>
      <c r="J115" t="str">
        <f>IF(Allocation!CC115="","",Allocation!CC115)</f>
        <v/>
      </c>
      <c r="K115" t="str">
        <f t="shared" si="19"/>
        <v/>
      </c>
      <c r="L115" t="str">
        <f t="shared" si="20"/>
        <v/>
      </c>
      <c r="M115" t="str">
        <f t="shared" si="21"/>
        <v/>
      </c>
      <c r="N115" t="str">
        <f t="shared" si="22"/>
        <v/>
      </c>
      <c r="O115" t="str">
        <f t="shared" si="23"/>
        <v/>
      </c>
      <c r="P115" t="str">
        <f t="shared" si="24"/>
        <v/>
      </c>
      <c r="Q115" t="str">
        <f t="shared" si="25"/>
        <v/>
      </c>
      <c r="R115" t="str">
        <f t="shared" si="26"/>
        <v/>
      </c>
      <c r="S115" t="str">
        <f t="shared" si="27"/>
        <v/>
      </c>
      <c r="T115" t="str">
        <f t="shared" si="28"/>
        <v/>
      </c>
      <c r="U115" t="str">
        <f t="shared" si="29"/>
        <v/>
      </c>
      <c r="V115" t="str">
        <f t="shared" si="30"/>
        <v/>
      </c>
      <c r="W115" t="str">
        <f>IF($A115="","",Allocation!CD115)</f>
        <v/>
      </c>
      <c r="X115" t="str">
        <f>IF($A115="","",Allocation!CE115)</f>
        <v/>
      </c>
      <c r="Y115" t="str">
        <f>IF($A115="","",Allocation!CF115)</f>
        <v/>
      </c>
      <c r="Z115" t="str">
        <f>IF($A115="","",Allocation!CG115)</f>
        <v/>
      </c>
      <c r="AA115" t="str">
        <f>IF($A115="","",Allocation!CH115)</f>
        <v/>
      </c>
      <c r="AB115" t="str">
        <f>IF($A115="","",Allocation!CI115)</f>
        <v/>
      </c>
      <c r="AC115" t="str">
        <f>IF($A115="","",IF(Allocation!$N$4="VOL_EFF",$G115,IF(Allocation!$N$4="VOL_CLASS",$H115,$I115)))</f>
        <v/>
      </c>
      <c r="AD115" t="str">
        <f>IF($A115="","",IF(Allocation!$N$4="VOL_EFF",$L115,IF(Allocation!$N$4="VOL_CLASS",$M115,$N115)))</f>
        <v/>
      </c>
      <c r="AE115" t="str">
        <f>IF($A115="","",IF(Allocation!$N$3="VOL_EFF",$L115,IF(Allocation!$N$3="VOL_CLASS",$M115,$N115)))</f>
        <v/>
      </c>
      <c r="AF115" t="str">
        <f>IF($A115="","",IF(Allocation!$N$3="VOL_EFF",$Q115,IF(Allocation!$N$3="VOL_CLASS",$R115,$S115)))</f>
        <v/>
      </c>
      <c r="AG115" t="str">
        <f>IF($A115="","",IF(Allocation!$N$1="VOL_EFF",$Q115,IF(Allocation!$N$1="VOL_CLASS",$R115,$S115)))</f>
        <v/>
      </c>
      <c r="AH115" t="str">
        <f>IF($A115="","",IF(Allocation!$N$1="VOL_EFF",$T115,IF(Allocation!$N$1="VOL_CLASS",$U115,$V115)))</f>
        <v/>
      </c>
      <c r="AI115" t="str">
        <f t="shared" si="31"/>
        <v/>
      </c>
      <c r="AJ115" t="str">
        <f t="shared" si="32"/>
        <v/>
      </c>
      <c r="AK115" t="str">
        <f t="shared" si="33"/>
        <v/>
      </c>
      <c r="AL115" t="str">
        <f t="shared" si="34"/>
        <v/>
      </c>
      <c r="AM115" t="str">
        <f t="shared" si="35"/>
        <v/>
      </c>
      <c r="AN115" t="str">
        <f t="shared" si="36"/>
        <v/>
      </c>
      <c r="AO115" t="str">
        <f>IF($A115="","",Allocation!CJ115)</f>
        <v/>
      </c>
      <c r="AP115" t="str">
        <f>IF($A115="","",IF(Allocation!$N$2="VOL_EFF",$Q115,IF(Allocation!$N$2="VOL_CLASS",$R115,$S115)))</f>
        <v/>
      </c>
      <c r="AQ115" t="str">
        <f>IF($A115="","",IF(Allocation!$N$2="VOL_EFF",$T115,IF(Allocation!$N$2="VOL_CLASS",$U115,$V115)))</f>
        <v/>
      </c>
      <c r="AR115" t="str">
        <f t="shared" si="37"/>
        <v/>
      </c>
      <c r="AS115" t="str">
        <f>IF($A115="","",$A115&amp;"|"&amp;Allocation!BG115)</f>
        <v/>
      </c>
    </row>
    <row r="116" spans="1:45" x14ac:dyDescent="0.45">
      <c r="A116" t="str">
        <f>IF(Allocation!BI116="","",Allocation!BI116)</f>
        <v/>
      </c>
      <c r="B116" t="str">
        <f>IF(Allocation!BJ116="","",Allocation!BJ116)</f>
        <v/>
      </c>
      <c r="C116" t="str">
        <f>IF(Allocation!BK116="","",Allocation!BK116)</f>
        <v/>
      </c>
      <c r="D116" t="str">
        <f>IF(Allocation!BL116="","",Allocation!BL116)</f>
        <v/>
      </c>
      <c r="E116" t="str">
        <f>IF(Allocation!BM116="","",Allocation!BM116)</f>
        <v/>
      </c>
      <c r="F116" t="str">
        <f>IF(Allocation!BN116="","",Allocation!BN116)</f>
        <v/>
      </c>
      <c r="G116" t="str">
        <f>IF(Allocation!BO116="","",Allocation!BO116)</f>
        <v/>
      </c>
      <c r="H116" t="str">
        <f>IF(Allocation!BP116="","",Allocation!BP116)</f>
        <v/>
      </c>
      <c r="I116" t="str">
        <f>IF(Allocation!BQ116="","",Allocation!BQ116)</f>
        <v/>
      </c>
      <c r="J116" t="str">
        <f>IF(Allocation!CC116="","",Allocation!CC116)</f>
        <v/>
      </c>
      <c r="K116" t="str">
        <f t="shared" si="19"/>
        <v/>
      </c>
      <c r="L116" t="str">
        <f t="shared" si="20"/>
        <v/>
      </c>
      <c r="M116" t="str">
        <f t="shared" si="21"/>
        <v/>
      </c>
      <c r="N116" t="str">
        <f t="shared" si="22"/>
        <v/>
      </c>
      <c r="O116" t="str">
        <f t="shared" si="23"/>
        <v/>
      </c>
      <c r="P116" t="str">
        <f t="shared" si="24"/>
        <v/>
      </c>
      <c r="Q116" t="str">
        <f t="shared" si="25"/>
        <v/>
      </c>
      <c r="R116" t="str">
        <f t="shared" si="26"/>
        <v/>
      </c>
      <c r="S116" t="str">
        <f t="shared" si="27"/>
        <v/>
      </c>
      <c r="T116" t="str">
        <f t="shared" si="28"/>
        <v/>
      </c>
      <c r="U116" t="str">
        <f t="shared" si="29"/>
        <v/>
      </c>
      <c r="V116" t="str">
        <f t="shared" si="30"/>
        <v/>
      </c>
      <c r="W116" t="str">
        <f>IF($A116="","",Allocation!CD116)</f>
        <v/>
      </c>
      <c r="X116" t="str">
        <f>IF($A116="","",Allocation!CE116)</f>
        <v/>
      </c>
      <c r="Y116" t="str">
        <f>IF($A116="","",Allocation!CF116)</f>
        <v/>
      </c>
      <c r="Z116" t="str">
        <f>IF($A116="","",Allocation!CG116)</f>
        <v/>
      </c>
      <c r="AA116" t="str">
        <f>IF($A116="","",Allocation!CH116)</f>
        <v/>
      </c>
      <c r="AB116" t="str">
        <f>IF($A116="","",Allocation!CI116)</f>
        <v/>
      </c>
      <c r="AC116" t="str">
        <f>IF($A116="","",IF(Allocation!$N$4="VOL_EFF",$G116,IF(Allocation!$N$4="VOL_CLASS",$H116,$I116)))</f>
        <v/>
      </c>
      <c r="AD116" t="str">
        <f>IF($A116="","",IF(Allocation!$N$4="VOL_EFF",$L116,IF(Allocation!$N$4="VOL_CLASS",$M116,$N116)))</f>
        <v/>
      </c>
      <c r="AE116" t="str">
        <f>IF($A116="","",IF(Allocation!$N$3="VOL_EFF",$L116,IF(Allocation!$N$3="VOL_CLASS",$M116,$N116)))</f>
        <v/>
      </c>
      <c r="AF116" t="str">
        <f>IF($A116="","",IF(Allocation!$N$3="VOL_EFF",$Q116,IF(Allocation!$N$3="VOL_CLASS",$R116,$S116)))</f>
        <v/>
      </c>
      <c r="AG116" t="str">
        <f>IF($A116="","",IF(Allocation!$N$1="VOL_EFF",$Q116,IF(Allocation!$N$1="VOL_CLASS",$R116,$S116)))</f>
        <v/>
      </c>
      <c r="AH116" t="str">
        <f>IF($A116="","",IF(Allocation!$N$1="VOL_EFF",$T116,IF(Allocation!$N$1="VOL_CLASS",$U116,$V116)))</f>
        <v/>
      </c>
      <c r="AI116" t="str">
        <f t="shared" si="31"/>
        <v/>
      </c>
      <c r="AJ116" t="str">
        <f t="shared" si="32"/>
        <v/>
      </c>
      <c r="AK116" t="str">
        <f t="shared" si="33"/>
        <v/>
      </c>
      <c r="AL116" t="str">
        <f t="shared" si="34"/>
        <v/>
      </c>
      <c r="AM116" t="str">
        <f t="shared" si="35"/>
        <v/>
      </c>
      <c r="AN116" t="str">
        <f t="shared" si="36"/>
        <v/>
      </c>
      <c r="AO116" t="str">
        <f>IF($A116="","",Allocation!CJ116)</f>
        <v/>
      </c>
      <c r="AP116" t="str">
        <f>IF($A116="","",IF(Allocation!$N$2="VOL_EFF",$Q116,IF(Allocation!$N$2="VOL_CLASS",$R116,$S116)))</f>
        <v/>
      </c>
      <c r="AQ116" t="str">
        <f>IF($A116="","",IF(Allocation!$N$2="VOL_EFF",$T116,IF(Allocation!$N$2="VOL_CLASS",$U116,$V116)))</f>
        <v/>
      </c>
      <c r="AR116" t="str">
        <f t="shared" si="37"/>
        <v/>
      </c>
      <c r="AS116" t="str">
        <f>IF($A116="","",$A116&amp;"|"&amp;Allocation!BG116)</f>
        <v/>
      </c>
    </row>
    <row r="117" spans="1:45" x14ac:dyDescent="0.45">
      <c r="A117" t="str">
        <f>IF(Allocation!BI117="","",Allocation!BI117)</f>
        <v/>
      </c>
      <c r="B117" t="str">
        <f>IF(Allocation!BJ117="","",Allocation!BJ117)</f>
        <v/>
      </c>
      <c r="C117" t="str">
        <f>IF(Allocation!BK117="","",Allocation!BK117)</f>
        <v/>
      </c>
      <c r="D117" t="str">
        <f>IF(Allocation!BL117="","",Allocation!BL117)</f>
        <v/>
      </c>
      <c r="E117" t="str">
        <f>IF(Allocation!BM117="","",Allocation!BM117)</f>
        <v/>
      </c>
      <c r="F117" t="str">
        <f>IF(Allocation!BN117="","",Allocation!BN117)</f>
        <v/>
      </c>
      <c r="G117" t="str">
        <f>IF(Allocation!BO117="","",Allocation!BO117)</f>
        <v/>
      </c>
      <c r="H117" t="str">
        <f>IF(Allocation!BP117="","",Allocation!BP117)</f>
        <v/>
      </c>
      <c r="I117" t="str">
        <f>IF(Allocation!BQ117="","",Allocation!BQ117)</f>
        <v/>
      </c>
      <c r="J117" t="str">
        <f>IF(Allocation!CC117="","",Allocation!CC117)</f>
        <v/>
      </c>
      <c r="K117" t="str">
        <f t="shared" si="19"/>
        <v/>
      </c>
      <c r="L117" t="str">
        <f t="shared" si="20"/>
        <v/>
      </c>
      <c r="M117" t="str">
        <f t="shared" si="21"/>
        <v/>
      </c>
      <c r="N117" t="str">
        <f t="shared" si="22"/>
        <v/>
      </c>
      <c r="O117" t="str">
        <f t="shared" si="23"/>
        <v/>
      </c>
      <c r="P117" t="str">
        <f t="shared" si="24"/>
        <v/>
      </c>
      <c r="Q117" t="str">
        <f t="shared" si="25"/>
        <v/>
      </c>
      <c r="R117" t="str">
        <f t="shared" si="26"/>
        <v/>
      </c>
      <c r="S117" t="str">
        <f t="shared" si="27"/>
        <v/>
      </c>
      <c r="T117" t="str">
        <f t="shared" si="28"/>
        <v/>
      </c>
      <c r="U117" t="str">
        <f t="shared" si="29"/>
        <v/>
      </c>
      <c r="V117" t="str">
        <f t="shared" si="30"/>
        <v/>
      </c>
      <c r="W117" t="str">
        <f>IF($A117="","",Allocation!CD117)</f>
        <v/>
      </c>
      <c r="X117" t="str">
        <f>IF($A117="","",Allocation!CE117)</f>
        <v/>
      </c>
      <c r="Y117" t="str">
        <f>IF($A117="","",Allocation!CF117)</f>
        <v/>
      </c>
      <c r="Z117" t="str">
        <f>IF($A117="","",Allocation!CG117)</f>
        <v/>
      </c>
      <c r="AA117" t="str">
        <f>IF($A117="","",Allocation!CH117)</f>
        <v/>
      </c>
      <c r="AB117" t="str">
        <f>IF($A117="","",Allocation!CI117)</f>
        <v/>
      </c>
      <c r="AC117" t="str">
        <f>IF($A117="","",IF(Allocation!$N$4="VOL_EFF",$G117,IF(Allocation!$N$4="VOL_CLASS",$H117,$I117)))</f>
        <v/>
      </c>
      <c r="AD117" t="str">
        <f>IF($A117="","",IF(Allocation!$N$4="VOL_EFF",$L117,IF(Allocation!$N$4="VOL_CLASS",$M117,$N117)))</f>
        <v/>
      </c>
      <c r="AE117" t="str">
        <f>IF($A117="","",IF(Allocation!$N$3="VOL_EFF",$L117,IF(Allocation!$N$3="VOL_CLASS",$M117,$N117)))</f>
        <v/>
      </c>
      <c r="AF117" t="str">
        <f>IF($A117="","",IF(Allocation!$N$3="VOL_EFF",$Q117,IF(Allocation!$N$3="VOL_CLASS",$R117,$S117)))</f>
        <v/>
      </c>
      <c r="AG117" t="str">
        <f>IF($A117="","",IF(Allocation!$N$1="VOL_EFF",$Q117,IF(Allocation!$N$1="VOL_CLASS",$R117,$S117)))</f>
        <v/>
      </c>
      <c r="AH117" t="str">
        <f>IF($A117="","",IF(Allocation!$N$1="VOL_EFF",$T117,IF(Allocation!$N$1="VOL_CLASS",$U117,$V117)))</f>
        <v/>
      </c>
      <c r="AI117" t="str">
        <f t="shared" si="31"/>
        <v/>
      </c>
      <c r="AJ117" t="str">
        <f t="shared" si="32"/>
        <v/>
      </c>
      <c r="AK117" t="str">
        <f t="shared" si="33"/>
        <v/>
      </c>
      <c r="AL117" t="str">
        <f t="shared" si="34"/>
        <v/>
      </c>
      <c r="AM117" t="str">
        <f t="shared" si="35"/>
        <v/>
      </c>
      <c r="AN117" t="str">
        <f t="shared" si="36"/>
        <v/>
      </c>
      <c r="AO117" t="str">
        <f>IF($A117="","",Allocation!CJ117)</f>
        <v/>
      </c>
      <c r="AP117" t="str">
        <f>IF($A117="","",IF(Allocation!$N$2="VOL_EFF",$Q117,IF(Allocation!$N$2="VOL_CLASS",$R117,$S117)))</f>
        <v/>
      </c>
      <c r="AQ117" t="str">
        <f>IF($A117="","",IF(Allocation!$N$2="VOL_EFF",$T117,IF(Allocation!$N$2="VOL_CLASS",$U117,$V117)))</f>
        <v/>
      </c>
      <c r="AR117" t="str">
        <f t="shared" si="37"/>
        <v/>
      </c>
      <c r="AS117" t="str">
        <f>IF($A117="","",$A117&amp;"|"&amp;Allocation!BG117)</f>
        <v/>
      </c>
    </row>
    <row r="118" spans="1:45" x14ac:dyDescent="0.45">
      <c r="A118" t="str">
        <f>IF(Allocation!BI118="","",Allocation!BI118)</f>
        <v/>
      </c>
      <c r="B118" t="str">
        <f>IF(Allocation!BJ118="","",Allocation!BJ118)</f>
        <v/>
      </c>
      <c r="C118" t="str">
        <f>IF(Allocation!BK118="","",Allocation!BK118)</f>
        <v/>
      </c>
      <c r="D118" t="str">
        <f>IF(Allocation!BL118="","",Allocation!BL118)</f>
        <v/>
      </c>
      <c r="E118" t="str">
        <f>IF(Allocation!BM118="","",Allocation!BM118)</f>
        <v/>
      </c>
      <c r="F118" t="str">
        <f>IF(Allocation!BN118="","",Allocation!BN118)</f>
        <v/>
      </c>
      <c r="G118" t="str">
        <f>IF(Allocation!BO118="","",Allocation!BO118)</f>
        <v/>
      </c>
      <c r="H118" t="str">
        <f>IF(Allocation!BP118="","",Allocation!BP118)</f>
        <v/>
      </c>
      <c r="I118" t="str">
        <f>IF(Allocation!BQ118="","",Allocation!BQ118)</f>
        <v/>
      </c>
      <c r="J118" t="str">
        <f>IF(Allocation!CC118="","",Allocation!CC118)</f>
        <v/>
      </c>
      <c r="K118" t="str">
        <f t="shared" si="19"/>
        <v/>
      </c>
      <c r="L118" t="str">
        <f t="shared" si="20"/>
        <v/>
      </c>
      <c r="M118" t="str">
        <f t="shared" si="21"/>
        <v/>
      </c>
      <c r="N118" t="str">
        <f t="shared" si="22"/>
        <v/>
      </c>
      <c r="O118" t="str">
        <f t="shared" si="23"/>
        <v/>
      </c>
      <c r="P118" t="str">
        <f t="shared" si="24"/>
        <v/>
      </c>
      <c r="Q118" t="str">
        <f t="shared" si="25"/>
        <v/>
      </c>
      <c r="R118" t="str">
        <f t="shared" si="26"/>
        <v/>
      </c>
      <c r="S118" t="str">
        <f t="shared" si="27"/>
        <v/>
      </c>
      <c r="T118" t="str">
        <f t="shared" si="28"/>
        <v/>
      </c>
      <c r="U118" t="str">
        <f t="shared" si="29"/>
        <v/>
      </c>
      <c r="V118" t="str">
        <f t="shared" si="30"/>
        <v/>
      </c>
      <c r="W118" t="str">
        <f>IF($A118="","",Allocation!CD118)</f>
        <v/>
      </c>
      <c r="X118" t="str">
        <f>IF($A118="","",Allocation!CE118)</f>
        <v/>
      </c>
      <c r="Y118" t="str">
        <f>IF($A118="","",Allocation!CF118)</f>
        <v/>
      </c>
      <c r="Z118" t="str">
        <f>IF($A118="","",Allocation!CG118)</f>
        <v/>
      </c>
      <c r="AA118" t="str">
        <f>IF($A118="","",Allocation!CH118)</f>
        <v/>
      </c>
      <c r="AB118" t="str">
        <f>IF($A118="","",Allocation!CI118)</f>
        <v/>
      </c>
      <c r="AC118" t="str">
        <f>IF($A118="","",IF(Allocation!$N$4="VOL_EFF",$G118,IF(Allocation!$N$4="VOL_CLASS",$H118,$I118)))</f>
        <v/>
      </c>
      <c r="AD118" t="str">
        <f>IF($A118="","",IF(Allocation!$N$4="VOL_EFF",$L118,IF(Allocation!$N$4="VOL_CLASS",$M118,$N118)))</f>
        <v/>
      </c>
      <c r="AE118" t="str">
        <f>IF($A118="","",IF(Allocation!$N$3="VOL_EFF",$L118,IF(Allocation!$N$3="VOL_CLASS",$M118,$N118)))</f>
        <v/>
      </c>
      <c r="AF118" t="str">
        <f>IF($A118="","",IF(Allocation!$N$3="VOL_EFF",$Q118,IF(Allocation!$N$3="VOL_CLASS",$R118,$S118)))</f>
        <v/>
      </c>
      <c r="AG118" t="str">
        <f>IF($A118="","",IF(Allocation!$N$1="VOL_EFF",$Q118,IF(Allocation!$N$1="VOL_CLASS",$R118,$S118)))</f>
        <v/>
      </c>
      <c r="AH118" t="str">
        <f>IF($A118="","",IF(Allocation!$N$1="VOL_EFF",$T118,IF(Allocation!$N$1="VOL_CLASS",$U118,$V118)))</f>
        <v/>
      </c>
      <c r="AI118" t="str">
        <f t="shared" si="31"/>
        <v/>
      </c>
      <c r="AJ118" t="str">
        <f t="shared" si="32"/>
        <v/>
      </c>
      <c r="AK118" t="str">
        <f t="shared" si="33"/>
        <v/>
      </c>
      <c r="AL118" t="str">
        <f t="shared" si="34"/>
        <v/>
      </c>
      <c r="AM118" t="str">
        <f t="shared" si="35"/>
        <v/>
      </c>
      <c r="AN118" t="str">
        <f t="shared" si="36"/>
        <v/>
      </c>
      <c r="AO118" t="str">
        <f>IF($A118="","",Allocation!CJ118)</f>
        <v/>
      </c>
      <c r="AP118" t="str">
        <f>IF($A118="","",IF(Allocation!$N$2="VOL_EFF",$Q118,IF(Allocation!$N$2="VOL_CLASS",$R118,$S118)))</f>
        <v/>
      </c>
      <c r="AQ118" t="str">
        <f>IF($A118="","",IF(Allocation!$N$2="VOL_EFF",$T118,IF(Allocation!$N$2="VOL_CLASS",$U118,$V118)))</f>
        <v/>
      </c>
      <c r="AR118" t="str">
        <f t="shared" si="37"/>
        <v/>
      </c>
      <c r="AS118" t="str">
        <f>IF($A118="","",$A118&amp;"|"&amp;Allocation!BG118)</f>
        <v/>
      </c>
    </row>
    <row r="119" spans="1:45" x14ac:dyDescent="0.45">
      <c r="A119" t="str">
        <f>IF(Allocation!BI119="","",Allocation!BI119)</f>
        <v/>
      </c>
      <c r="B119" t="str">
        <f>IF(Allocation!BJ119="","",Allocation!BJ119)</f>
        <v/>
      </c>
      <c r="C119" t="str">
        <f>IF(Allocation!BK119="","",Allocation!BK119)</f>
        <v/>
      </c>
      <c r="D119" t="str">
        <f>IF(Allocation!BL119="","",Allocation!BL119)</f>
        <v/>
      </c>
      <c r="E119" t="str">
        <f>IF(Allocation!BM119="","",Allocation!BM119)</f>
        <v/>
      </c>
      <c r="F119" t="str">
        <f>IF(Allocation!BN119="","",Allocation!BN119)</f>
        <v/>
      </c>
      <c r="G119" t="str">
        <f>IF(Allocation!BO119="","",Allocation!BO119)</f>
        <v/>
      </c>
      <c r="H119" t="str">
        <f>IF(Allocation!BP119="","",Allocation!BP119)</f>
        <v/>
      </c>
      <c r="I119" t="str">
        <f>IF(Allocation!BQ119="","",Allocation!BQ119)</f>
        <v/>
      </c>
      <c r="J119" t="str">
        <f>IF(Allocation!CC119="","",Allocation!CC119)</f>
        <v/>
      </c>
      <c r="K119" t="str">
        <f t="shared" si="19"/>
        <v/>
      </c>
      <c r="L119" t="str">
        <f t="shared" si="20"/>
        <v/>
      </c>
      <c r="M119" t="str">
        <f t="shared" si="21"/>
        <v/>
      </c>
      <c r="N119" t="str">
        <f t="shared" si="22"/>
        <v/>
      </c>
      <c r="O119" t="str">
        <f t="shared" si="23"/>
        <v/>
      </c>
      <c r="P119" t="str">
        <f t="shared" si="24"/>
        <v/>
      </c>
      <c r="Q119" t="str">
        <f t="shared" si="25"/>
        <v/>
      </c>
      <c r="R119" t="str">
        <f t="shared" si="26"/>
        <v/>
      </c>
      <c r="S119" t="str">
        <f t="shared" si="27"/>
        <v/>
      </c>
      <c r="T119" t="str">
        <f t="shared" si="28"/>
        <v/>
      </c>
      <c r="U119" t="str">
        <f t="shared" si="29"/>
        <v/>
      </c>
      <c r="V119" t="str">
        <f t="shared" si="30"/>
        <v/>
      </c>
      <c r="W119" t="str">
        <f>IF($A119="","",Allocation!CD119)</f>
        <v/>
      </c>
      <c r="X119" t="str">
        <f>IF($A119="","",Allocation!CE119)</f>
        <v/>
      </c>
      <c r="Y119" t="str">
        <f>IF($A119="","",Allocation!CF119)</f>
        <v/>
      </c>
      <c r="Z119" t="str">
        <f>IF($A119="","",Allocation!CG119)</f>
        <v/>
      </c>
      <c r="AA119" t="str">
        <f>IF($A119="","",Allocation!CH119)</f>
        <v/>
      </c>
      <c r="AB119" t="str">
        <f>IF($A119="","",Allocation!CI119)</f>
        <v/>
      </c>
      <c r="AC119" t="str">
        <f>IF($A119="","",IF(Allocation!$N$4="VOL_EFF",$G119,IF(Allocation!$N$4="VOL_CLASS",$H119,$I119)))</f>
        <v/>
      </c>
      <c r="AD119" t="str">
        <f>IF($A119="","",IF(Allocation!$N$4="VOL_EFF",$L119,IF(Allocation!$N$4="VOL_CLASS",$M119,$N119)))</f>
        <v/>
      </c>
      <c r="AE119" t="str">
        <f>IF($A119="","",IF(Allocation!$N$3="VOL_EFF",$L119,IF(Allocation!$N$3="VOL_CLASS",$M119,$N119)))</f>
        <v/>
      </c>
      <c r="AF119" t="str">
        <f>IF($A119="","",IF(Allocation!$N$3="VOL_EFF",$Q119,IF(Allocation!$N$3="VOL_CLASS",$R119,$S119)))</f>
        <v/>
      </c>
      <c r="AG119" t="str">
        <f>IF($A119="","",IF(Allocation!$N$1="VOL_EFF",$Q119,IF(Allocation!$N$1="VOL_CLASS",$R119,$S119)))</f>
        <v/>
      </c>
      <c r="AH119" t="str">
        <f>IF($A119="","",IF(Allocation!$N$1="VOL_EFF",$T119,IF(Allocation!$N$1="VOL_CLASS",$U119,$V119)))</f>
        <v/>
      </c>
      <c r="AI119" t="str">
        <f t="shared" si="31"/>
        <v/>
      </c>
      <c r="AJ119" t="str">
        <f t="shared" si="32"/>
        <v/>
      </c>
      <c r="AK119" t="str">
        <f t="shared" si="33"/>
        <v/>
      </c>
      <c r="AL119" t="str">
        <f t="shared" si="34"/>
        <v/>
      </c>
      <c r="AM119" t="str">
        <f t="shared" si="35"/>
        <v/>
      </c>
      <c r="AN119" t="str">
        <f t="shared" si="36"/>
        <v/>
      </c>
      <c r="AO119" t="str">
        <f>IF($A119="","",Allocation!CJ119)</f>
        <v/>
      </c>
      <c r="AP119" t="str">
        <f>IF($A119="","",IF(Allocation!$N$2="VOL_EFF",$Q119,IF(Allocation!$N$2="VOL_CLASS",$R119,$S119)))</f>
        <v/>
      </c>
      <c r="AQ119" t="str">
        <f>IF($A119="","",IF(Allocation!$N$2="VOL_EFF",$T119,IF(Allocation!$N$2="VOL_CLASS",$U119,$V119)))</f>
        <v/>
      </c>
      <c r="AR119" t="str">
        <f t="shared" si="37"/>
        <v/>
      </c>
      <c r="AS119" t="str">
        <f>IF($A119="","",$A119&amp;"|"&amp;Allocation!BG119)</f>
        <v/>
      </c>
    </row>
    <row r="120" spans="1:45" x14ac:dyDescent="0.45">
      <c r="A120" t="str">
        <f>IF(Allocation!BI120="","",Allocation!BI120)</f>
        <v/>
      </c>
      <c r="B120" t="str">
        <f>IF(Allocation!BJ120="","",Allocation!BJ120)</f>
        <v/>
      </c>
      <c r="C120" t="str">
        <f>IF(Allocation!BK120="","",Allocation!BK120)</f>
        <v/>
      </c>
      <c r="D120" t="str">
        <f>IF(Allocation!BL120="","",Allocation!BL120)</f>
        <v/>
      </c>
      <c r="E120" t="str">
        <f>IF(Allocation!BM120="","",Allocation!BM120)</f>
        <v/>
      </c>
      <c r="F120" t="str">
        <f>IF(Allocation!BN120="","",Allocation!BN120)</f>
        <v/>
      </c>
      <c r="G120" t="str">
        <f>IF(Allocation!BO120="","",Allocation!BO120)</f>
        <v/>
      </c>
      <c r="H120" t="str">
        <f>IF(Allocation!BP120="","",Allocation!BP120)</f>
        <v/>
      </c>
      <c r="I120" t="str">
        <f>IF(Allocation!BQ120="","",Allocation!BQ120)</f>
        <v/>
      </c>
      <c r="J120" t="str">
        <f>IF(Allocation!CC120="","",Allocation!CC120)</f>
        <v/>
      </c>
      <c r="K120" t="str">
        <f t="shared" si="19"/>
        <v/>
      </c>
      <c r="L120" t="str">
        <f t="shared" si="20"/>
        <v/>
      </c>
      <c r="M120" t="str">
        <f t="shared" si="21"/>
        <v/>
      </c>
      <c r="N120" t="str">
        <f t="shared" si="22"/>
        <v/>
      </c>
      <c r="O120" t="str">
        <f t="shared" si="23"/>
        <v/>
      </c>
      <c r="P120" t="str">
        <f t="shared" si="24"/>
        <v/>
      </c>
      <c r="Q120" t="str">
        <f t="shared" si="25"/>
        <v/>
      </c>
      <c r="R120" t="str">
        <f t="shared" si="26"/>
        <v/>
      </c>
      <c r="S120" t="str">
        <f t="shared" si="27"/>
        <v/>
      </c>
      <c r="T120" t="str">
        <f t="shared" si="28"/>
        <v/>
      </c>
      <c r="U120" t="str">
        <f t="shared" si="29"/>
        <v/>
      </c>
      <c r="V120" t="str">
        <f t="shared" si="30"/>
        <v/>
      </c>
      <c r="W120" t="str">
        <f>IF($A120="","",Allocation!CD120)</f>
        <v/>
      </c>
      <c r="X120" t="str">
        <f>IF($A120="","",Allocation!CE120)</f>
        <v/>
      </c>
      <c r="Y120" t="str">
        <f>IF($A120="","",Allocation!CF120)</f>
        <v/>
      </c>
      <c r="Z120" t="str">
        <f>IF($A120="","",Allocation!CG120)</f>
        <v/>
      </c>
      <c r="AA120" t="str">
        <f>IF($A120="","",Allocation!CH120)</f>
        <v/>
      </c>
      <c r="AB120" t="str">
        <f>IF($A120="","",Allocation!CI120)</f>
        <v/>
      </c>
      <c r="AC120" t="str">
        <f>IF($A120="","",IF(Allocation!$N$4="VOL_EFF",$G120,IF(Allocation!$N$4="VOL_CLASS",$H120,$I120)))</f>
        <v/>
      </c>
      <c r="AD120" t="str">
        <f>IF($A120="","",IF(Allocation!$N$4="VOL_EFF",$L120,IF(Allocation!$N$4="VOL_CLASS",$M120,$N120)))</f>
        <v/>
      </c>
      <c r="AE120" t="str">
        <f>IF($A120="","",IF(Allocation!$N$3="VOL_EFF",$L120,IF(Allocation!$N$3="VOL_CLASS",$M120,$N120)))</f>
        <v/>
      </c>
      <c r="AF120" t="str">
        <f>IF($A120="","",IF(Allocation!$N$3="VOL_EFF",$Q120,IF(Allocation!$N$3="VOL_CLASS",$R120,$S120)))</f>
        <v/>
      </c>
      <c r="AG120" t="str">
        <f>IF($A120="","",IF(Allocation!$N$1="VOL_EFF",$Q120,IF(Allocation!$N$1="VOL_CLASS",$R120,$S120)))</f>
        <v/>
      </c>
      <c r="AH120" t="str">
        <f>IF($A120="","",IF(Allocation!$N$1="VOL_EFF",$T120,IF(Allocation!$N$1="VOL_CLASS",$U120,$V120)))</f>
        <v/>
      </c>
      <c r="AI120" t="str">
        <f t="shared" si="31"/>
        <v/>
      </c>
      <c r="AJ120" t="str">
        <f t="shared" si="32"/>
        <v/>
      </c>
      <c r="AK120" t="str">
        <f t="shared" si="33"/>
        <v/>
      </c>
      <c r="AL120" t="str">
        <f t="shared" si="34"/>
        <v/>
      </c>
      <c r="AM120" t="str">
        <f t="shared" si="35"/>
        <v/>
      </c>
      <c r="AN120" t="str">
        <f t="shared" si="36"/>
        <v/>
      </c>
      <c r="AO120" t="str">
        <f>IF($A120="","",Allocation!CJ120)</f>
        <v/>
      </c>
      <c r="AP120" t="str">
        <f>IF($A120="","",IF(Allocation!$N$2="VOL_EFF",$Q120,IF(Allocation!$N$2="VOL_CLASS",$R120,$S120)))</f>
        <v/>
      </c>
      <c r="AQ120" t="str">
        <f>IF($A120="","",IF(Allocation!$N$2="VOL_EFF",$T120,IF(Allocation!$N$2="VOL_CLASS",$U120,$V120)))</f>
        <v/>
      </c>
      <c r="AR120" t="str">
        <f t="shared" si="37"/>
        <v/>
      </c>
      <c r="AS120" t="str">
        <f>IF($A120="","",$A120&amp;"|"&amp;Allocation!BG120)</f>
        <v/>
      </c>
    </row>
    <row r="121" spans="1:45" x14ac:dyDescent="0.45">
      <c r="A121" t="str">
        <f>IF(Allocation!BI121="","",Allocation!BI121)</f>
        <v/>
      </c>
      <c r="B121" t="str">
        <f>IF(Allocation!BJ121="","",Allocation!BJ121)</f>
        <v/>
      </c>
      <c r="C121" t="str">
        <f>IF(Allocation!BK121="","",Allocation!BK121)</f>
        <v/>
      </c>
      <c r="D121" t="str">
        <f>IF(Allocation!BL121="","",Allocation!BL121)</f>
        <v/>
      </c>
      <c r="E121" t="str">
        <f>IF(Allocation!BM121="","",Allocation!BM121)</f>
        <v/>
      </c>
      <c r="F121" t="str">
        <f>IF(Allocation!BN121="","",Allocation!BN121)</f>
        <v/>
      </c>
      <c r="G121" t="str">
        <f>IF(Allocation!BO121="","",Allocation!BO121)</f>
        <v/>
      </c>
      <c r="H121" t="str">
        <f>IF(Allocation!BP121="","",Allocation!BP121)</f>
        <v/>
      </c>
      <c r="I121" t="str">
        <f>IF(Allocation!BQ121="","",Allocation!BQ121)</f>
        <v/>
      </c>
      <c r="J121" t="str">
        <f>IF(Allocation!CC121="","",Allocation!CC121)</f>
        <v/>
      </c>
      <c r="K121" t="str">
        <f t="shared" si="19"/>
        <v/>
      </c>
      <c r="L121" t="str">
        <f t="shared" si="20"/>
        <v/>
      </c>
      <c r="M121" t="str">
        <f t="shared" si="21"/>
        <v/>
      </c>
      <c r="N121" t="str">
        <f t="shared" si="22"/>
        <v/>
      </c>
      <c r="O121" t="str">
        <f t="shared" si="23"/>
        <v/>
      </c>
      <c r="P121" t="str">
        <f t="shared" si="24"/>
        <v/>
      </c>
      <c r="Q121" t="str">
        <f t="shared" si="25"/>
        <v/>
      </c>
      <c r="R121" t="str">
        <f t="shared" si="26"/>
        <v/>
      </c>
      <c r="S121" t="str">
        <f t="shared" si="27"/>
        <v/>
      </c>
      <c r="T121" t="str">
        <f t="shared" si="28"/>
        <v/>
      </c>
      <c r="U121" t="str">
        <f t="shared" si="29"/>
        <v/>
      </c>
      <c r="V121" t="str">
        <f t="shared" si="30"/>
        <v/>
      </c>
      <c r="W121" t="str">
        <f>IF($A121="","",Allocation!CD121)</f>
        <v/>
      </c>
      <c r="X121" t="str">
        <f>IF($A121="","",Allocation!CE121)</f>
        <v/>
      </c>
      <c r="Y121" t="str">
        <f>IF($A121="","",Allocation!CF121)</f>
        <v/>
      </c>
      <c r="Z121" t="str">
        <f>IF($A121="","",Allocation!CG121)</f>
        <v/>
      </c>
      <c r="AA121" t="str">
        <f>IF($A121="","",Allocation!CH121)</f>
        <v/>
      </c>
      <c r="AB121" t="str">
        <f>IF($A121="","",Allocation!CI121)</f>
        <v/>
      </c>
      <c r="AC121" t="str">
        <f>IF($A121="","",IF(Allocation!$N$4="VOL_EFF",$G121,IF(Allocation!$N$4="VOL_CLASS",$H121,$I121)))</f>
        <v/>
      </c>
      <c r="AD121" t="str">
        <f>IF($A121="","",IF(Allocation!$N$4="VOL_EFF",$L121,IF(Allocation!$N$4="VOL_CLASS",$M121,$N121)))</f>
        <v/>
      </c>
      <c r="AE121" t="str">
        <f>IF($A121="","",IF(Allocation!$N$3="VOL_EFF",$L121,IF(Allocation!$N$3="VOL_CLASS",$M121,$N121)))</f>
        <v/>
      </c>
      <c r="AF121" t="str">
        <f>IF($A121="","",IF(Allocation!$N$3="VOL_EFF",$Q121,IF(Allocation!$N$3="VOL_CLASS",$R121,$S121)))</f>
        <v/>
      </c>
      <c r="AG121" t="str">
        <f>IF($A121="","",IF(Allocation!$N$1="VOL_EFF",$Q121,IF(Allocation!$N$1="VOL_CLASS",$R121,$S121)))</f>
        <v/>
      </c>
      <c r="AH121" t="str">
        <f>IF($A121="","",IF(Allocation!$N$1="VOL_EFF",$T121,IF(Allocation!$N$1="VOL_CLASS",$U121,$V121)))</f>
        <v/>
      </c>
      <c r="AI121" t="str">
        <f t="shared" si="31"/>
        <v/>
      </c>
      <c r="AJ121" t="str">
        <f t="shared" si="32"/>
        <v/>
      </c>
      <c r="AK121" t="str">
        <f t="shared" si="33"/>
        <v/>
      </c>
      <c r="AL121" t="str">
        <f t="shared" si="34"/>
        <v/>
      </c>
      <c r="AM121" t="str">
        <f t="shared" si="35"/>
        <v/>
      </c>
      <c r="AN121" t="str">
        <f t="shared" si="36"/>
        <v/>
      </c>
      <c r="AO121" t="str">
        <f>IF($A121="","",Allocation!CJ121)</f>
        <v/>
      </c>
      <c r="AP121" t="str">
        <f>IF($A121="","",IF(Allocation!$N$2="VOL_EFF",$Q121,IF(Allocation!$N$2="VOL_CLASS",$R121,$S121)))</f>
        <v/>
      </c>
      <c r="AQ121" t="str">
        <f>IF($A121="","",IF(Allocation!$N$2="VOL_EFF",$T121,IF(Allocation!$N$2="VOL_CLASS",$U121,$V121)))</f>
        <v/>
      </c>
      <c r="AR121" t="str">
        <f t="shared" si="37"/>
        <v/>
      </c>
      <c r="AS121" t="str">
        <f>IF($A121="","",$A121&amp;"|"&amp;Allocation!BG121)</f>
        <v/>
      </c>
    </row>
    <row r="122" spans="1:45" x14ac:dyDescent="0.45">
      <c r="A122" t="str">
        <f>IF(Allocation!BI122="","",Allocation!BI122)</f>
        <v/>
      </c>
      <c r="B122" t="str">
        <f>IF(Allocation!BJ122="","",Allocation!BJ122)</f>
        <v/>
      </c>
      <c r="C122" t="str">
        <f>IF(Allocation!BK122="","",Allocation!BK122)</f>
        <v/>
      </c>
      <c r="D122" t="str">
        <f>IF(Allocation!BL122="","",Allocation!BL122)</f>
        <v/>
      </c>
      <c r="E122" t="str">
        <f>IF(Allocation!BM122="","",Allocation!BM122)</f>
        <v/>
      </c>
      <c r="F122" t="str">
        <f>IF(Allocation!BN122="","",Allocation!BN122)</f>
        <v/>
      </c>
      <c r="G122" t="str">
        <f>IF(Allocation!BO122="","",Allocation!BO122)</f>
        <v/>
      </c>
      <c r="H122" t="str">
        <f>IF(Allocation!BP122="","",Allocation!BP122)</f>
        <v/>
      </c>
      <c r="I122" t="str">
        <f>IF(Allocation!BQ122="","",Allocation!BQ122)</f>
        <v/>
      </c>
      <c r="J122" t="str">
        <f>IF(Allocation!CC122="","",Allocation!CC122)</f>
        <v/>
      </c>
      <c r="K122" t="str">
        <f t="shared" si="19"/>
        <v/>
      </c>
      <c r="L122" t="str">
        <f t="shared" si="20"/>
        <v/>
      </c>
      <c r="M122" t="str">
        <f t="shared" si="21"/>
        <v/>
      </c>
      <c r="N122" t="str">
        <f t="shared" si="22"/>
        <v/>
      </c>
      <c r="O122" t="str">
        <f t="shared" si="23"/>
        <v/>
      </c>
      <c r="P122" t="str">
        <f t="shared" si="24"/>
        <v/>
      </c>
      <c r="Q122" t="str">
        <f t="shared" si="25"/>
        <v/>
      </c>
      <c r="R122" t="str">
        <f t="shared" si="26"/>
        <v/>
      </c>
      <c r="S122" t="str">
        <f t="shared" si="27"/>
        <v/>
      </c>
      <c r="T122" t="str">
        <f t="shared" si="28"/>
        <v/>
      </c>
      <c r="U122" t="str">
        <f t="shared" si="29"/>
        <v/>
      </c>
      <c r="V122" t="str">
        <f t="shared" si="30"/>
        <v/>
      </c>
      <c r="W122" t="str">
        <f>IF($A122="","",Allocation!CD122)</f>
        <v/>
      </c>
      <c r="X122" t="str">
        <f>IF($A122="","",Allocation!CE122)</f>
        <v/>
      </c>
      <c r="Y122" t="str">
        <f>IF($A122="","",Allocation!CF122)</f>
        <v/>
      </c>
      <c r="Z122" t="str">
        <f>IF($A122="","",Allocation!CG122)</f>
        <v/>
      </c>
      <c r="AA122" t="str">
        <f>IF($A122="","",Allocation!CH122)</f>
        <v/>
      </c>
      <c r="AB122" t="str">
        <f>IF($A122="","",Allocation!CI122)</f>
        <v/>
      </c>
      <c r="AC122" t="str">
        <f>IF($A122="","",IF(Allocation!$N$4="VOL_EFF",$G122,IF(Allocation!$N$4="VOL_CLASS",$H122,$I122)))</f>
        <v/>
      </c>
      <c r="AD122" t="str">
        <f>IF($A122="","",IF(Allocation!$N$4="VOL_EFF",$L122,IF(Allocation!$N$4="VOL_CLASS",$M122,$N122)))</f>
        <v/>
      </c>
      <c r="AE122" t="str">
        <f>IF($A122="","",IF(Allocation!$N$3="VOL_EFF",$L122,IF(Allocation!$N$3="VOL_CLASS",$M122,$N122)))</f>
        <v/>
      </c>
      <c r="AF122" t="str">
        <f>IF($A122="","",IF(Allocation!$N$3="VOL_EFF",$Q122,IF(Allocation!$N$3="VOL_CLASS",$R122,$S122)))</f>
        <v/>
      </c>
      <c r="AG122" t="str">
        <f>IF($A122="","",IF(Allocation!$N$1="VOL_EFF",$Q122,IF(Allocation!$N$1="VOL_CLASS",$R122,$S122)))</f>
        <v/>
      </c>
      <c r="AH122" t="str">
        <f>IF($A122="","",IF(Allocation!$N$1="VOL_EFF",$T122,IF(Allocation!$N$1="VOL_CLASS",$U122,$V122)))</f>
        <v/>
      </c>
      <c r="AI122" t="str">
        <f t="shared" si="31"/>
        <v/>
      </c>
      <c r="AJ122" t="str">
        <f t="shared" si="32"/>
        <v/>
      </c>
      <c r="AK122" t="str">
        <f t="shared" si="33"/>
        <v/>
      </c>
      <c r="AL122" t="str">
        <f t="shared" si="34"/>
        <v/>
      </c>
      <c r="AM122" t="str">
        <f t="shared" si="35"/>
        <v/>
      </c>
      <c r="AN122" t="str">
        <f t="shared" si="36"/>
        <v/>
      </c>
      <c r="AO122" t="str">
        <f>IF($A122="","",Allocation!CJ122)</f>
        <v/>
      </c>
      <c r="AP122" t="str">
        <f>IF($A122="","",IF(Allocation!$N$2="VOL_EFF",$Q122,IF(Allocation!$N$2="VOL_CLASS",$R122,$S122)))</f>
        <v/>
      </c>
      <c r="AQ122" t="str">
        <f>IF($A122="","",IF(Allocation!$N$2="VOL_EFF",$T122,IF(Allocation!$N$2="VOL_CLASS",$U122,$V122)))</f>
        <v/>
      </c>
      <c r="AR122" t="str">
        <f t="shared" si="37"/>
        <v/>
      </c>
      <c r="AS122" t="str">
        <f>IF($A122="","",$A122&amp;"|"&amp;Allocation!BG122)</f>
        <v/>
      </c>
    </row>
    <row r="123" spans="1:45" x14ac:dyDescent="0.45">
      <c r="A123" t="str">
        <f>IF(Allocation!BI123="","",Allocation!BI123)</f>
        <v/>
      </c>
      <c r="B123" t="str">
        <f>IF(Allocation!BJ123="","",Allocation!BJ123)</f>
        <v/>
      </c>
      <c r="C123" t="str">
        <f>IF(Allocation!BK123="","",Allocation!BK123)</f>
        <v/>
      </c>
      <c r="D123" t="str">
        <f>IF(Allocation!BL123="","",Allocation!BL123)</f>
        <v/>
      </c>
      <c r="E123" t="str">
        <f>IF(Allocation!BM123="","",Allocation!BM123)</f>
        <v/>
      </c>
      <c r="F123" t="str">
        <f>IF(Allocation!BN123="","",Allocation!BN123)</f>
        <v/>
      </c>
      <c r="G123" t="str">
        <f>IF(Allocation!BO123="","",Allocation!BO123)</f>
        <v/>
      </c>
      <c r="H123" t="str">
        <f>IF(Allocation!BP123="","",Allocation!BP123)</f>
        <v/>
      </c>
      <c r="I123" t="str">
        <f>IF(Allocation!BQ123="","",Allocation!BQ123)</f>
        <v/>
      </c>
      <c r="J123" t="str">
        <f>IF(Allocation!CC123="","",Allocation!CC123)</f>
        <v/>
      </c>
      <c r="K123" t="str">
        <f t="shared" si="19"/>
        <v/>
      </c>
      <c r="L123" t="str">
        <f t="shared" si="20"/>
        <v/>
      </c>
      <c r="M123" t="str">
        <f t="shared" si="21"/>
        <v/>
      </c>
      <c r="N123" t="str">
        <f t="shared" si="22"/>
        <v/>
      </c>
      <c r="O123" t="str">
        <f t="shared" si="23"/>
        <v/>
      </c>
      <c r="P123" t="str">
        <f t="shared" si="24"/>
        <v/>
      </c>
      <c r="Q123" t="str">
        <f t="shared" si="25"/>
        <v/>
      </c>
      <c r="R123" t="str">
        <f t="shared" si="26"/>
        <v/>
      </c>
      <c r="S123" t="str">
        <f t="shared" si="27"/>
        <v/>
      </c>
      <c r="T123" t="str">
        <f t="shared" si="28"/>
        <v/>
      </c>
      <c r="U123" t="str">
        <f t="shared" si="29"/>
        <v/>
      </c>
      <c r="V123" t="str">
        <f t="shared" si="30"/>
        <v/>
      </c>
      <c r="W123" t="str">
        <f>IF($A123="","",Allocation!CD123)</f>
        <v/>
      </c>
      <c r="X123" t="str">
        <f>IF($A123="","",Allocation!CE123)</f>
        <v/>
      </c>
      <c r="Y123" t="str">
        <f>IF($A123="","",Allocation!CF123)</f>
        <v/>
      </c>
      <c r="Z123" t="str">
        <f>IF($A123="","",Allocation!CG123)</f>
        <v/>
      </c>
      <c r="AA123" t="str">
        <f>IF($A123="","",Allocation!CH123)</f>
        <v/>
      </c>
      <c r="AB123" t="str">
        <f>IF($A123="","",Allocation!CI123)</f>
        <v/>
      </c>
      <c r="AC123" t="str">
        <f>IF($A123="","",IF(Allocation!$N$4="VOL_EFF",$G123,IF(Allocation!$N$4="VOL_CLASS",$H123,$I123)))</f>
        <v/>
      </c>
      <c r="AD123" t="str">
        <f>IF($A123="","",IF(Allocation!$N$4="VOL_EFF",$L123,IF(Allocation!$N$4="VOL_CLASS",$M123,$N123)))</f>
        <v/>
      </c>
      <c r="AE123" t="str">
        <f>IF($A123="","",IF(Allocation!$N$3="VOL_EFF",$L123,IF(Allocation!$N$3="VOL_CLASS",$M123,$N123)))</f>
        <v/>
      </c>
      <c r="AF123" t="str">
        <f>IF($A123="","",IF(Allocation!$N$3="VOL_EFF",$Q123,IF(Allocation!$N$3="VOL_CLASS",$R123,$S123)))</f>
        <v/>
      </c>
      <c r="AG123" t="str">
        <f>IF($A123="","",IF(Allocation!$N$1="VOL_EFF",$Q123,IF(Allocation!$N$1="VOL_CLASS",$R123,$S123)))</f>
        <v/>
      </c>
      <c r="AH123" t="str">
        <f>IF($A123="","",IF(Allocation!$N$1="VOL_EFF",$T123,IF(Allocation!$N$1="VOL_CLASS",$U123,$V123)))</f>
        <v/>
      </c>
      <c r="AI123" t="str">
        <f t="shared" si="31"/>
        <v/>
      </c>
      <c r="AJ123" t="str">
        <f t="shared" si="32"/>
        <v/>
      </c>
      <c r="AK123" t="str">
        <f t="shared" si="33"/>
        <v/>
      </c>
      <c r="AL123" t="str">
        <f t="shared" si="34"/>
        <v/>
      </c>
      <c r="AM123" t="str">
        <f t="shared" si="35"/>
        <v/>
      </c>
      <c r="AN123" t="str">
        <f t="shared" si="36"/>
        <v/>
      </c>
      <c r="AO123" t="str">
        <f>IF($A123="","",Allocation!CJ123)</f>
        <v/>
      </c>
      <c r="AP123" t="str">
        <f>IF($A123="","",IF(Allocation!$N$2="VOL_EFF",$Q123,IF(Allocation!$N$2="VOL_CLASS",$R123,$S123)))</f>
        <v/>
      </c>
      <c r="AQ123" t="str">
        <f>IF($A123="","",IF(Allocation!$N$2="VOL_EFF",$T123,IF(Allocation!$N$2="VOL_CLASS",$U123,$V123)))</f>
        <v/>
      </c>
      <c r="AR123" t="str">
        <f t="shared" si="37"/>
        <v/>
      </c>
      <c r="AS123" t="str">
        <f>IF($A123="","",$A123&amp;"|"&amp;Allocation!BG123)</f>
        <v/>
      </c>
    </row>
    <row r="124" spans="1:45" x14ac:dyDescent="0.45">
      <c r="A124" t="str">
        <f>IF(Allocation!BI124="","",Allocation!BI124)</f>
        <v/>
      </c>
      <c r="B124" t="str">
        <f>IF(Allocation!BJ124="","",Allocation!BJ124)</f>
        <v/>
      </c>
      <c r="C124" t="str">
        <f>IF(Allocation!BK124="","",Allocation!BK124)</f>
        <v/>
      </c>
      <c r="D124" t="str">
        <f>IF(Allocation!BL124="","",Allocation!BL124)</f>
        <v/>
      </c>
      <c r="E124" t="str">
        <f>IF(Allocation!BM124="","",Allocation!BM124)</f>
        <v/>
      </c>
      <c r="F124" t="str">
        <f>IF(Allocation!BN124="","",Allocation!BN124)</f>
        <v/>
      </c>
      <c r="G124" t="str">
        <f>IF(Allocation!BO124="","",Allocation!BO124)</f>
        <v/>
      </c>
      <c r="H124" t="str">
        <f>IF(Allocation!BP124="","",Allocation!BP124)</f>
        <v/>
      </c>
      <c r="I124" t="str">
        <f>IF(Allocation!BQ124="","",Allocation!BQ124)</f>
        <v/>
      </c>
      <c r="J124" t="str">
        <f>IF(Allocation!CC124="","",Allocation!CC124)</f>
        <v/>
      </c>
      <c r="K124" t="str">
        <f t="shared" si="19"/>
        <v/>
      </c>
      <c r="L124" t="str">
        <f t="shared" si="20"/>
        <v/>
      </c>
      <c r="M124" t="str">
        <f t="shared" si="21"/>
        <v/>
      </c>
      <c r="N124" t="str">
        <f t="shared" si="22"/>
        <v/>
      </c>
      <c r="O124" t="str">
        <f t="shared" si="23"/>
        <v/>
      </c>
      <c r="P124" t="str">
        <f t="shared" si="24"/>
        <v/>
      </c>
      <c r="Q124" t="str">
        <f t="shared" si="25"/>
        <v/>
      </c>
      <c r="R124" t="str">
        <f t="shared" si="26"/>
        <v/>
      </c>
      <c r="S124" t="str">
        <f t="shared" si="27"/>
        <v/>
      </c>
      <c r="T124" t="str">
        <f t="shared" si="28"/>
        <v/>
      </c>
      <c r="U124" t="str">
        <f t="shared" si="29"/>
        <v/>
      </c>
      <c r="V124" t="str">
        <f t="shared" si="30"/>
        <v/>
      </c>
      <c r="W124" t="str">
        <f>IF($A124="","",Allocation!CD124)</f>
        <v/>
      </c>
      <c r="X124" t="str">
        <f>IF($A124="","",Allocation!CE124)</f>
        <v/>
      </c>
      <c r="Y124" t="str">
        <f>IF($A124="","",Allocation!CF124)</f>
        <v/>
      </c>
      <c r="Z124" t="str">
        <f>IF($A124="","",Allocation!CG124)</f>
        <v/>
      </c>
      <c r="AA124" t="str">
        <f>IF($A124="","",Allocation!CH124)</f>
        <v/>
      </c>
      <c r="AB124" t="str">
        <f>IF($A124="","",Allocation!CI124)</f>
        <v/>
      </c>
      <c r="AC124" t="str">
        <f>IF($A124="","",IF(Allocation!$N$4="VOL_EFF",$G124,IF(Allocation!$N$4="VOL_CLASS",$H124,$I124)))</f>
        <v/>
      </c>
      <c r="AD124" t="str">
        <f>IF($A124="","",IF(Allocation!$N$4="VOL_EFF",$L124,IF(Allocation!$N$4="VOL_CLASS",$M124,$N124)))</f>
        <v/>
      </c>
      <c r="AE124" t="str">
        <f>IF($A124="","",IF(Allocation!$N$3="VOL_EFF",$L124,IF(Allocation!$N$3="VOL_CLASS",$M124,$N124)))</f>
        <v/>
      </c>
      <c r="AF124" t="str">
        <f>IF($A124="","",IF(Allocation!$N$3="VOL_EFF",$Q124,IF(Allocation!$N$3="VOL_CLASS",$R124,$S124)))</f>
        <v/>
      </c>
      <c r="AG124" t="str">
        <f>IF($A124="","",IF(Allocation!$N$1="VOL_EFF",$Q124,IF(Allocation!$N$1="VOL_CLASS",$R124,$S124)))</f>
        <v/>
      </c>
      <c r="AH124" t="str">
        <f>IF($A124="","",IF(Allocation!$N$1="VOL_EFF",$T124,IF(Allocation!$N$1="VOL_CLASS",$U124,$V124)))</f>
        <v/>
      </c>
      <c r="AI124" t="str">
        <f t="shared" si="31"/>
        <v/>
      </c>
      <c r="AJ124" t="str">
        <f t="shared" si="32"/>
        <v/>
      </c>
      <c r="AK124" t="str">
        <f t="shared" si="33"/>
        <v/>
      </c>
      <c r="AL124" t="str">
        <f t="shared" si="34"/>
        <v/>
      </c>
      <c r="AM124" t="str">
        <f t="shared" si="35"/>
        <v/>
      </c>
      <c r="AN124" t="str">
        <f t="shared" si="36"/>
        <v/>
      </c>
      <c r="AO124" t="str">
        <f>IF($A124="","",Allocation!CJ124)</f>
        <v/>
      </c>
      <c r="AP124" t="str">
        <f>IF($A124="","",IF(Allocation!$N$2="VOL_EFF",$Q124,IF(Allocation!$N$2="VOL_CLASS",$R124,$S124)))</f>
        <v/>
      </c>
      <c r="AQ124" t="str">
        <f>IF($A124="","",IF(Allocation!$N$2="VOL_EFF",$T124,IF(Allocation!$N$2="VOL_CLASS",$U124,$V124)))</f>
        <v/>
      </c>
      <c r="AR124" t="str">
        <f t="shared" si="37"/>
        <v/>
      </c>
      <c r="AS124" t="str">
        <f>IF($A124="","",$A124&amp;"|"&amp;Allocation!BG124)</f>
        <v/>
      </c>
    </row>
    <row r="125" spans="1:45" x14ac:dyDescent="0.45">
      <c r="A125" t="str">
        <f>IF(Allocation!BI125="","",Allocation!BI125)</f>
        <v/>
      </c>
      <c r="B125" t="str">
        <f>IF(Allocation!BJ125="","",Allocation!BJ125)</f>
        <v/>
      </c>
      <c r="C125" t="str">
        <f>IF(Allocation!BK125="","",Allocation!BK125)</f>
        <v/>
      </c>
      <c r="D125" t="str">
        <f>IF(Allocation!BL125="","",Allocation!BL125)</f>
        <v/>
      </c>
      <c r="E125" t="str">
        <f>IF(Allocation!BM125="","",Allocation!BM125)</f>
        <v/>
      </c>
      <c r="F125" t="str">
        <f>IF(Allocation!BN125="","",Allocation!BN125)</f>
        <v/>
      </c>
      <c r="G125" t="str">
        <f>IF(Allocation!BO125="","",Allocation!BO125)</f>
        <v/>
      </c>
      <c r="H125" t="str">
        <f>IF(Allocation!BP125="","",Allocation!BP125)</f>
        <v/>
      </c>
      <c r="I125" t="str">
        <f>IF(Allocation!BQ125="","",Allocation!BQ125)</f>
        <v/>
      </c>
      <c r="J125" t="str">
        <f>IF(Allocation!CC125="","",Allocation!CC125)</f>
        <v/>
      </c>
      <c r="K125" t="str">
        <f t="shared" si="19"/>
        <v/>
      </c>
      <c r="L125" t="str">
        <f t="shared" si="20"/>
        <v/>
      </c>
      <c r="M125" t="str">
        <f t="shared" si="21"/>
        <v/>
      </c>
      <c r="N125" t="str">
        <f t="shared" si="22"/>
        <v/>
      </c>
      <c r="O125" t="str">
        <f t="shared" si="23"/>
        <v/>
      </c>
      <c r="P125" t="str">
        <f t="shared" si="24"/>
        <v/>
      </c>
      <c r="Q125" t="str">
        <f t="shared" si="25"/>
        <v/>
      </c>
      <c r="R125" t="str">
        <f t="shared" si="26"/>
        <v/>
      </c>
      <c r="S125" t="str">
        <f t="shared" si="27"/>
        <v/>
      </c>
      <c r="T125" t="str">
        <f t="shared" si="28"/>
        <v/>
      </c>
      <c r="U125" t="str">
        <f t="shared" si="29"/>
        <v/>
      </c>
      <c r="V125" t="str">
        <f t="shared" si="30"/>
        <v/>
      </c>
      <c r="W125" t="str">
        <f>IF($A125="","",Allocation!CD125)</f>
        <v/>
      </c>
      <c r="X125" t="str">
        <f>IF($A125="","",Allocation!CE125)</f>
        <v/>
      </c>
      <c r="Y125" t="str">
        <f>IF($A125="","",Allocation!CF125)</f>
        <v/>
      </c>
      <c r="Z125" t="str">
        <f>IF($A125="","",Allocation!CG125)</f>
        <v/>
      </c>
      <c r="AA125" t="str">
        <f>IF($A125="","",Allocation!CH125)</f>
        <v/>
      </c>
      <c r="AB125" t="str">
        <f>IF($A125="","",Allocation!CI125)</f>
        <v/>
      </c>
      <c r="AC125" t="str">
        <f>IF($A125="","",IF(Allocation!$N$4="VOL_EFF",$G125,IF(Allocation!$N$4="VOL_CLASS",$H125,$I125)))</f>
        <v/>
      </c>
      <c r="AD125" t="str">
        <f>IF($A125="","",IF(Allocation!$N$4="VOL_EFF",$L125,IF(Allocation!$N$4="VOL_CLASS",$M125,$N125)))</f>
        <v/>
      </c>
      <c r="AE125" t="str">
        <f>IF($A125="","",IF(Allocation!$N$3="VOL_EFF",$L125,IF(Allocation!$N$3="VOL_CLASS",$M125,$N125)))</f>
        <v/>
      </c>
      <c r="AF125" t="str">
        <f>IF($A125="","",IF(Allocation!$N$3="VOL_EFF",$Q125,IF(Allocation!$N$3="VOL_CLASS",$R125,$S125)))</f>
        <v/>
      </c>
      <c r="AG125" t="str">
        <f>IF($A125="","",IF(Allocation!$N$1="VOL_EFF",$Q125,IF(Allocation!$N$1="VOL_CLASS",$R125,$S125)))</f>
        <v/>
      </c>
      <c r="AH125" t="str">
        <f>IF($A125="","",IF(Allocation!$N$1="VOL_EFF",$T125,IF(Allocation!$N$1="VOL_CLASS",$U125,$V125)))</f>
        <v/>
      </c>
      <c r="AI125" t="str">
        <f t="shared" si="31"/>
        <v/>
      </c>
      <c r="AJ125" t="str">
        <f t="shared" si="32"/>
        <v/>
      </c>
      <c r="AK125" t="str">
        <f t="shared" si="33"/>
        <v/>
      </c>
      <c r="AL125" t="str">
        <f t="shared" si="34"/>
        <v/>
      </c>
      <c r="AM125" t="str">
        <f t="shared" si="35"/>
        <v/>
      </c>
      <c r="AN125" t="str">
        <f t="shared" si="36"/>
        <v/>
      </c>
      <c r="AO125" t="str">
        <f>IF($A125="","",Allocation!CJ125)</f>
        <v/>
      </c>
      <c r="AP125" t="str">
        <f>IF($A125="","",IF(Allocation!$N$2="VOL_EFF",$Q125,IF(Allocation!$N$2="VOL_CLASS",$R125,$S125)))</f>
        <v/>
      </c>
      <c r="AQ125" t="str">
        <f>IF($A125="","",IF(Allocation!$N$2="VOL_EFF",$T125,IF(Allocation!$N$2="VOL_CLASS",$U125,$V125)))</f>
        <v/>
      </c>
      <c r="AR125" t="str">
        <f t="shared" si="37"/>
        <v/>
      </c>
      <c r="AS125" t="str">
        <f>IF($A125="","",$A125&amp;"|"&amp;Allocation!BG125)</f>
        <v/>
      </c>
    </row>
    <row r="126" spans="1:45" x14ac:dyDescent="0.45">
      <c r="A126" t="str">
        <f>IF(Allocation!BI126="","",Allocation!BI126)</f>
        <v/>
      </c>
      <c r="B126" t="str">
        <f>IF(Allocation!BJ126="","",Allocation!BJ126)</f>
        <v/>
      </c>
      <c r="C126" t="str">
        <f>IF(Allocation!BK126="","",Allocation!BK126)</f>
        <v/>
      </c>
      <c r="D126" t="str">
        <f>IF(Allocation!BL126="","",Allocation!BL126)</f>
        <v/>
      </c>
      <c r="E126" t="str">
        <f>IF(Allocation!BM126="","",Allocation!BM126)</f>
        <v/>
      </c>
      <c r="F126" t="str">
        <f>IF(Allocation!BN126="","",Allocation!BN126)</f>
        <v/>
      </c>
      <c r="G126" t="str">
        <f>IF(Allocation!BO126="","",Allocation!BO126)</f>
        <v/>
      </c>
      <c r="H126" t="str">
        <f>IF(Allocation!BP126="","",Allocation!BP126)</f>
        <v/>
      </c>
      <c r="I126" t="str">
        <f>IF(Allocation!BQ126="","",Allocation!BQ126)</f>
        <v/>
      </c>
      <c r="J126" t="str">
        <f>IF(Allocation!CC126="","",Allocation!CC126)</f>
        <v/>
      </c>
      <c r="K126" t="str">
        <f t="shared" si="19"/>
        <v/>
      </c>
      <c r="L126" t="str">
        <f t="shared" si="20"/>
        <v/>
      </c>
      <c r="M126" t="str">
        <f t="shared" si="21"/>
        <v/>
      </c>
      <c r="N126" t="str">
        <f t="shared" si="22"/>
        <v/>
      </c>
      <c r="O126" t="str">
        <f t="shared" si="23"/>
        <v/>
      </c>
      <c r="P126" t="str">
        <f t="shared" si="24"/>
        <v/>
      </c>
      <c r="Q126" t="str">
        <f t="shared" si="25"/>
        <v/>
      </c>
      <c r="R126" t="str">
        <f t="shared" si="26"/>
        <v/>
      </c>
      <c r="S126" t="str">
        <f t="shared" si="27"/>
        <v/>
      </c>
      <c r="T126" t="str">
        <f t="shared" si="28"/>
        <v/>
      </c>
      <c r="U126" t="str">
        <f t="shared" si="29"/>
        <v/>
      </c>
      <c r="V126" t="str">
        <f t="shared" si="30"/>
        <v/>
      </c>
      <c r="W126" t="str">
        <f>IF($A126="","",Allocation!CD126)</f>
        <v/>
      </c>
      <c r="X126" t="str">
        <f>IF($A126="","",Allocation!CE126)</f>
        <v/>
      </c>
      <c r="Y126" t="str">
        <f>IF($A126="","",Allocation!CF126)</f>
        <v/>
      </c>
      <c r="Z126" t="str">
        <f>IF($A126="","",Allocation!CG126)</f>
        <v/>
      </c>
      <c r="AA126" t="str">
        <f>IF($A126="","",Allocation!CH126)</f>
        <v/>
      </c>
      <c r="AB126" t="str">
        <f>IF($A126="","",Allocation!CI126)</f>
        <v/>
      </c>
      <c r="AC126" t="str">
        <f>IF($A126="","",IF(Allocation!$N$4="VOL_EFF",$G126,IF(Allocation!$N$4="VOL_CLASS",$H126,$I126)))</f>
        <v/>
      </c>
      <c r="AD126" t="str">
        <f>IF($A126="","",IF(Allocation!$N$4="VOL_EFF",$L126,IF(Allocation!$N$4="VOL_CLASS",$M126,$N126)))</f>
        <v/>
      </c>
      <c r="AE126" t="str">
        <f>IF($A126="","",IF(Allocation!$N$3="VOL_EFF",$L126,IF(Allocation!$N$3="VOL_CLASS",$M126,$N126)))</f>
        <v/>
      </c>
      <c r="AF126" t="str">
        <f>IF($A126="","",IF(Allocation!$N$3="VOL_EFF",$Q126,IF(Allocation!$N$3="VOL_CLASS",$R126,$S126)))</f>
        <v/>
      </c>
      <c r="AG126" t="str">
        <f>IF($A126="","",IF(Allocation!$N$1="VOL_EFF",$Q126,IF(Allocation!$N$1="VOL_CLASS",$R126,$S126)))</f>
        <v/>
      </c>
      <c r="AH126" t="str">
        <f>IF($A126="","",IF(Allocation!$N$1="VOL_EFF",$T126,IF(Allocation!$N$1="VOL_CLASS",$U126,$V126)))</f>
        <v/>
      </c>
      <c r="AI126" t="str">
        <f t="shared" si="31"/>
        <v/>
      </c>
      <c r="AJ126" t="str">
        <f t="shared" si="32"/>
        <v/>
      </c>
      <c r="AK126" t="str">
        <f t="shared" si="33"/>
        <v/>
      </c>
      <c r="AL126" t="str">
        <f t="shared" si="34"/>
        <v/>
      </c>
      <c r="AM126" t="str">
        <f t="shared" si="35"/>
        <v/>
      </c>
      <c r="AN126" t="str">
        <f t="shared" si="36"/>
        <v/>
      </c>
      <c r="AO126" t="str">
        <f>IF($A126="","",Allocation!CJ126)</f>
        <v/>
      </c>
      <c r="AP126" t="str">
        <f>IF($A126="","",IF(Allocation!$N$2="VOL_EFF",$Q126,IF(Allocation!$N$2="VOL_CLASS",$R126,$S126)))</f>
        <v/>
      </c>
      <c r="AQ126" t="str">
        <f>IF($A126="","",IF(Allocation!$N$2="VOL_EFF",$T126,IF(Allocation!$N$2="VOL_CLASS",$U126,$V126)))</f>
        <v/>
      </c>
      <c r="AR126" t="str">
        <f t="shared" si="37"/>
        <v/>
      </c>
      <c r="AS126" t="str">
        <f>IF($A126="","",$A126&amp;"|"&amp;Allocation!BG126)</f>
        <v/>
      </c>
    </row>
    <row r="127" spans="1:45" x14ac:dyDescent="0.45">
      <c r="A127" t="str">
        <f>IF(Allocation!BI127="","",Allocation!BI127)</f>
        <v/>
      </c>
      <c r="B127" t="str">
        <f>IF(Allocation!BJ127="","",Allocation!BJ127)</f>
        <v/>
      </c>
      <c r="C127" t="str">
        <f>IF(Allocation!BK127="","",Allocation!BK127)</f>
        <v/>
      </c>
      <c r="D127" t="str">
        <f>IF(Allocation!BL127="","",Allocation!BL127)</f>
        <v/>
      </c>
      <c r="E127" t="str">
        <f>IF(Allocation!BM127="","",Allocation!BM127)</f>
        <v/>
      </c>
      <c r="F127" t="str">
        <f>IF(Allocation!BN127="","",Allocation!BN127)</f>
        <v/>
      </c>
      <c r="G127" t="str">
        <f>IF(Allocation!BO127="","",Allocation!BO127)</f>
        <v/>
      </c>
      <c r="H127" t="str">
        <f>IF(Allocation!BP127="","",Allocation!BP127)</f>
        <v/>
      </c>
      <c r="I127" t="str">
        <f>IF(Allocation!BQ127="","",Allocation!BQ127)</f>
        <v/>
      </c>
      <c r="J127" t="str">
        <f>IF(Allocation!CC127="","",Allocation!CC127)</f>
        <v/>
      </c>
      <c r="K127" t="str">
        <f t="shared" si="19"/>
        <v/>
      </c>
      <c r="L127" t="str">
        <f t="shared" si="20"/>
        <v/>
      </c>
      <c r="M127" t="str">
        <f t="shared" si="21"/>
        <v/>
      </c>
      <c r="N127" t="str">
        <f t="shared" si="22"/>
        <v/>
      </c>
      <c r="O127" t="str">
        <f t="shared" si="23"/>
        <v/>
      </c>
      <c r="P127" t="str">
        <f t="shared" si="24"/>
        <v/>
      </c>
      <c r="Q127" t="str">
        <f t="shared" si="25"/>
        <v/>
      </c>
      <c r="R127" t="str">
        <f t="shared" si="26"/>
        <v/>
      </c>
      <c r="S127" t="str">
        <f t="shared" si="27"/>
        <v/>
      </c>
      <c r="T127" t="str">
        <f t="shared" si="28"/>
        <v/>
      </c>
      <c r="U127" t="str">
        <f t="shared" si="29"/>
        <v/>
      </c>
      <c r="V127" t="str">
        <f t="shared" si="30"/>
        <v/>
      </c>
      <c r="W127" t="str">
        <f>IF($A127="","",Allocation!CD127)</f>
        <v/>
      </c>
      <c r="X127" t="str">
        <f>IF($A127="","",Allocation!CE127)</f>
        <v/>
      </c>
      <c r="Y127" t="str">
        <f>IF($A127="","",Allocation!CF127)</f>
        <v/>
      </c>
      <c r="Z127" t="str">
        <f>IF($A127="","",Allocation!CG127)</f>
        <v/>
      </c>
      <c r="AA127" t="str">
        <f>IF($A127="","",Allocation!CH127)</f>
        <v/>
      </c>
      <c r="AB127" t="str">
        <f>IF($A127="","",Allocation!CI127)</f>
        <v/>
      </c>
      <c r="AC127" t="str">
        <f>IF($A127="","",IF(Allocation!$N$4="VOL_EFF",$G127,IF(Allocation!$N$4="VOL_CLASS",$H127,$I127)))</f>
        <v/>
      </c>
      <c r="AD127" t="str">
        <f>IF($A127="","",IF(Allocation!$N$4="VOL_EFF",$L127,IF(Allocation!$N$4="VOL_CLASS",$M127,$N127)))</f>
        <v/>
      </c>
      <c r="AE127" t="str">
        <f>IF($A127="","",IF(Allocation!$N$3="VOL_EFF",$L127,IF(Allocation!$N$3="VOL_CLASS",$M127,$N127)))</f>
        <v/>
      </c>
      <c r="AF127" t="str">
        <f>IF($A127="","",IF(Allocation!$N$3="VOL_EFF",$Q127,IF(Allocation!$N$3="VOL_CLASS",$R127,$S127)))</f>
        <v/>
      </c>
      <c r="AG127" t="str">
        <f>IF($A127="","",IF(Allocation!$N$1="VOL_EFF",$Q127,IF(Allocation!$N$1="VOL_CLASS",$R127,$S127)))</f>
        <v/>
      </c>
      <c r="AH127" t="str">
        <f>IF($A127="","",IF(Allocation!$N$1="VOL_EFF",$T127,IF(Allocation!$N$1="VOL_CLASS",$U127,$V127)))</f>
        <v/>
      </c>
      <c r="AI127" t="str">
        <f t="shared" si="31"/>
        <v/>
      </c>
      <c r="AJ127" t="str">
        <f t="shared" si="32"/>
        <v/>
      </c>
      <c r="AK127" t="str">
        <f t="shared" si="33"/>
        <v/>
      </c>
      <c r="AL127" t="str">
        <f t="shared" si="34"/>
        <v/>
      </c>
      <c r="AM127" t="str">
        <f t="shared" si="35"/>
        <v/>
      </c>
      <c r="AN127" t="str">
        <f t="shared" si="36"/>
        <v/>
      </c>
      <c r="AO127" t="str">
        <f>IF($A127="","",Allocation!CJ127)</f>
        <v/>
      </c>
      <c r="AP127" t="str">
        <f>IF($A127="","",IF(Allocation!$N$2="VOL_EFF",$Q127,IF(Allocation!$N$2="VOL_CLASS",$R127,$S127)))</f>
        <v/>
      </c>
      <c r="AQ127" t="str">
        <f>IF($A127="","",IF(Allocation!$N$2="VOL_EFF",$T127,IF(Allocation!$N$2="VOL_CLASS",$U127,$V127)))</f>
        <v/>
      </c>
      <c r="AR127" t="str">
        <f t="shared" si="37"/>
        <v/>
      </c>
      <c r="AS127" t="str">
        <f>IF($A127="","",$A127&amp;"|"&amp;Allocation!BG127)</f>
        <v/>
      </c>
    </row>
    <row r="128" spans="1:45" x14ac:dyDescent="0.45">
      <c r="A128" t="str">
        <f>IF(Allocation!BI128="","",Allocation!BI128)</f>
        <v/>
      </c>
      <c r="B128" t="str">
        <f>IF(Allocation!BJ128="","",Allocation!BJ128)</f>
        <v/>
      </c>
      <c r="C128" t="str">
        <f>IF(Allocation!BK128="","",Allocation!BK128)</f>
        <v/>
      </c>
      <c r="D128" t="str">
        <f>IF(Allocation!BL128="","",Allocation!BL128)</f>
        <v/>
      </c>
      <c r="E128" t="str">
        <f>IF(Allocation!BM128="","",Allocation!BM128)</f>
        <v/>
      </c>
      <c r="F128" t="str">
        <f>IF(Allocation!BN128="","",Allocation!BN128)</f>
        <v/>
      </c>
      <c r="G128" t="str">
        <f>IF(Allocation!BO128="","",Allocation!BO128)</f>
        <v/>
      </c>
      <c r="H128" t="str">
        <f>IF(Allocation!BP128="","",Allocation!BP128)</f>
        <v/>
      </c>
      <c r="I128" t="str">
        <f>IF(Allocation!BQ128="","",Allocation!BQ128)</f>
        <v/>
      </c>
      <c r="J128" t="str">
        <f>IF(Allocation!CC128="","",Allocation!CC128)</f>
        <v/>
      </c>
      <c r="K128" t="str">
        <f t="shared" si="19"/>
        <v/>
      </c>
      <c r="L128" t="str">
        <f t="shared" si="20"/>
        <v/>
      </c>
      <c r="M128" t="str">
        <f t="shared" si="21"/>
        <v/>
      </c>
      <c r="N128" t="str">
        <f t="shared" si="22"/>
        <v/>
      </c>
      <c r="O128" t="str">
        <f t="shared" si="23"/>
        <v/>
      </c>
      <c r="P128" t="str">
        <f t="shared" si="24"/>
        <v/>
      </c>
      <c r="Q128" t="str">
        <f t="shared" si="25"/>
        <v/>
      </c>
      <c r="R128" t="str">
        <f t="shared" si="26"/>
        <v/>
      </c>
      <c r="S128" t="str">
        <f t="shared" si="27"/>
        <v/>
      </c>
      <c r="T128" t="str">
        <f t="shared" si="28"/>
        <v/>
      </c>
      <c r="U128" t="str">
        <f t="shared" si="29"/>
        <v/>
      </c>
      <c r="V128" t="str">
        <f t="shared" si="30"/>
        <v/>
      </c>
      <c r="W128" t="str">
        <f>IF($A128="","",Allocation!CD128)</f>
        <v/>
      </c>
      <c r="X128" t="str">
        <f>IF($A128="","",Allocation!CE128)</f>
        <v/>
      </c>
      <c r="Y128" t="str">
        <f>IF($A128="","",Allocation!CF128)</f>
        <v/>
      </c>
      <c r="Z128" t="str">
        <f>IF($A128="","",Allocation!CG128)</f>
        <v/>
      </c>
      <c r="AA128" t="str">
        <f>IF($A128="","",Allocation!CH128)</f>
        <v/>
      </c>
      <c r="AB128" t="str">
        <f>IF($A128="","",Allocation!CI128)</f>
        <v/>
      </c>
      <c r="AC128" t="str">
        <f>IF($A128="","",IF(Allocation!$N$4="VOL_EFF",$G128,IF(Allocation!$N$4="VOL_CLASS",$H128,$I128)))</f>
        <v/>
      </c>
      <c r="AD128" t="str">
        <f>IF($A128="","",IF(Allocation!$N$4="VOL_EFF",$L128,IF(Allocation!$N$4="VOL_CLASS",$M128,$N128)))</f>
        <v/>
      </c>
      <c r="AE128" t="str">
        <f>IF($A128="","",IF(Allocation!$N$3="VOL_EFF",$L128,IF(Allocation!$N$3="VOL_CLASS",$M128,$N128)))</f>
        <v/>
      </c>
      <c r="AF128" t="str">
        <f>IF($A128="","",IF(Allocation!$N$3="VOL_EFF",$Q128,IF(Allocation!$N$3="VOL_CLASS",$R128,$S128)))</f>
        <v/>
      </c>
      <c r="AG128" t="str">
        <f>IF($A128="","",IF(Allocation!$N$1="VOL_EFF",$Q128,IF(Allocation!$N$1="VOL_CLASS",$R128,$S128)))</f>
        <v/>
      </c>
      <c r="AH128" t="str">
        <f>IF($A128="","",IF(Allocation!$N$1="VOL_EFF",$T128,IF(Allocation!$N$1="VOL_CLASS",$U128,$V128)))</f>
        <v/>
      </c>
      <c r="AI128" t="str">
        <f t="shared" si="31"/>
        <v/>
      </c>
      <c r="AJ128" t="str">
        <f t="shared" si="32"/>
        <v/>
      </c>
      <c r="AK128" t="str">
        <f t="shared" si="33"/>
        <v/>
      </c>
      <c r="AL128" t="str">
        <f t="shared" si="34"/>
        <v/>
      </c>
      <c r="AM128" t="str">
        <f t="shared" si="35"/>
        <v/>
      </c>
      <c r="AN128" t="str">
        <f t="shared" si="36"/>
        <v/>
      </c>
      <c r="AO128" t="str">
        <f>IF($A128="","",Allocation!CJ128)</f>
        <v/>
      </c>
      <c r="AP128" t="str">
        <f>IF($A128="","",IF(Allocation!$N$2="VOL_EFF",$Q128,IF(Allocation!$N$2="VOL_CLASS",$R128,$S128)))</f>
        <v/>
      </c>
      <c r="AQ128" t="str">
        <f>IF($A128="","",IF(Allocation!$N$2="VOL_EFF",$T128,IF(Allocation!$N$2="VOL_CLASS",$U128,$V128)))</f>
        <v/>
      </c>
      <c r="AR128" t="str">
        <f t="shared" si="37"/>
        <v/>
      </c>
      <c r="AS128" t="str">
        <f>IF($A128="","",$A128&amp;"|"&amp;Allocation!BG128)</f>
        <v/>
      </c>
    </row>
    <row r="129" spans="1:45" x14ac:dyDescent="0.45">
      <c r="A129" t="str">
        <f>IF(Allocation!BI129="","",Allocation!BI129)</f>
        <v/>
      </c>
      <c r="B129" t="str">
        <f>IF(Allocation!BJ129="","",Allocation!BJ129)</f>
        <v/>
      </c>
      <c r="C129" t="str">
        <f>IF(Allocation!BK129="","",Allocation!BK129)</f>
        <v/>
      </c>
      <c r="D129" t="str">
        <f>IF(Allocation!BL129="","",Allocation!BL129)</f>
        <v/>
      </c>
      <c r="E129" t="str">
        <f>IF(Allocation!BM129="","",Allocation!BM129)</f>
        <v/>
      </c>
      <c r="F129" t="str">
        <f>IF(Allocation!BN129="","",Allocation!BN129)</f>
        <v/>
      </c>
      <c r="G129" t="str">
        <f>IF(Allocation!BO129="","",Allocation!BO129)</f>
        <v/>
      </c>
      <c r="H129" t="str">
        <f>IF(Allocation!BP129="","",Allocation!BP129)</f>
        <v/>
      </c>
      <c r="I129" t="str">
        <f>IF(Allocation!BQ129="","",Allocation!BQ129)</f>
        <v/>
      </c>
      <c r="J129" t="str">
        <f>IF(Allocation!CC129="","",Allocation!CC129)</f>
        <v/>
      </c>
      <c r="K129" t="str">
        <f t="shared" si="19"/>
        <v/>
      </c>
      <c r="L129" t="str">
        <f t="shared" si="20"/>
        <v/>
      </c>
      <c r="M129" t="str">
        <f t="shared" si="21"/>
        <v/>
      </c>
      <c r="N129" t="str">
        <f t="shared" si="22"/>
        <v/>
      </c>
      <c r="O129" t="str">
        <f t="shared" si="23"/>
        <v/>
      </c>
      <c r="P129" t="str">
        <f t="shared" si="24"/>
        <v/>
      </c>
      <c r="Q129" t="str">
        <f t="shared" si="25"/>
        <v/>
      </c>
      <c r="R129" t="str">
        <f t="shared" si="26"/>
        <v/>
      </c>
      <c r="S129" t="str">
        <f t="shared" si="27"/>
        <v/>
      </c>
      <c r="T129" t="str">
        <f t="shared" si="28"/>
        <v/>
      </c>
      <c r="U129" t="str">
        <f t="shared" si="29"/>
        <v/>
      </c>
      <c r="V129" t="str">
        <f t="shared" si="30"/>
        <v/>
      </c>
      <c r="W129" t="str">
        <f>IF($A129="","",Allocation!CD129)</f>
        <v/>
      </c>
      <c r="X129" t="str">
        <f>IF($A129="","",Allocation!CE129)</f>
        <v/>
      </c>
      <c r="Y129" t="str">
        <f>IF($A129="","",Allocation!CF129)</f>
        <v/>
      </c>
      <c r="Z129" t="str">
        <f>IF($A129="","",Allocation!CG129)</f>
        <v/>
      </c>
      <c r="AA129" t="str">
        <f>IF($A129="","",Allocation!CH129)</f>
        <v/>
      </c>
      <c r="AB129" t="str">
        <f>IF($A129="","",Allocation!CI129)</f>
        <v/>
      </c>
      <c r="AC129" t="str">
        <f>IF($A129="","",IF(Allocation!$N$4="VOL_EFF",$G129,IF(Allocation!$N$4="VOL_CLASS",$H129,$I129)))</f>
        <v/>
      </c>
      <c r="AD129" t="str">
        <f>IF($A129="","",IF(Allocation!$N$4="VOL_EFF",$L129,IF(Allocation!$N$4="VOL_CLASS",$M129,$N129)))</f>
        <v/>
      </c>
      <c r="AE129" t="str">
        <f>IF($A129="","",IF(Allocation!$N$3="VOL_EFF",$L129,IF(Allocation!$N$3="VOL_CLASS",$M129,$N129)))</f>
        <v/>
      </c>
      <c r="AF129" t="str">
        <f>IF($A129="","",IF(Allocation!$N$3="VOL_EFF",$Q129,IF(Allocation!$N$3="VOL_CLASS",$R129,$S129)))</f>
        <v/>
      </c>
      <c r="AG129" t="str">
        <f>IF($A129="","",IF(Allocation!$N$1="VOL_EFF",$Q129,IF(Allocation!$N$1="VOL_CLASS",$R129,$S129)))</f>
        <v/>
      </c>
      <c r="AH129" t="str">
        <f>IF($A129="","",IF(Allocation!$N$1="VOL_EFF",$T129,IF(Allocation!$N$1="VOL_CLASS",$U129,$V129)))</f>
        <v/>
      </c>
      <c r="AI129" t="str">
        <f t="shared" si="31"/>
        <v/>
      </c>
      <c r="AJ129" t="str">
        <f t="shared" si="32"/>
        <v/>
      </c>
      <c r="AK129" t="str">
        <f t="shared" si="33"/>
        <v/>
      </c>
      <c r="AL129" t="str">
        <f t="shared" si="34"/>
        <v/>
      </c>
      <c r="AM129" t="str">
        <f t="shared" si="35"/>
        <v/>
      </c>
      <c r="AN129" t="str">
        <f t="shared" si="36"/>
        <v/>
      </c>
      <c r="AO129" t="str">
        <f>IF($A129="","",Allocation!CJ129)</f>
        <v/>
      </c>
      <c r="AP129" t="str">
        <f>IF($A129="","",IF(Allocation!$N$2="VOL_EFF",$Q129,IF(Allocation!$N$2="VOL_CLASS",$R129,$S129)))</f>
        <v/>
      </c>
      <c r="AQ129" t="str">
        <f>IF($A129="","",IF(Allocation!$N$2="VOL_EFF",$T129,IF(Allocation!$N$2="VOL_CLASS",$U129,$V129)))</f>
        <v/>
      </c>
      <c r="AR129" t="str">
        <f t="shared" si="37"/>
        <v/>
      </c>
      <c r="AS129" t="str">
        <f>IF($A129="","",$A129&amp;"|"&amp;Allocation!BG129)</f>
        <v/>
      </c>
    </row>
    <row r="130" spans="1:45" x14ac:dyDescent="0.45">
      <c r="A130" t="str">
        <f>IF(Allocation!BI130="","",Allocation!BI130)</f>
        <v/>
      </c>
      <c r="B130" t="str">
        <f>IF(Allocation!BJ130="","",Allocation!BJ130)</f>
        <v/>
      </c>
      <c r="C130" t="str">
        <f>IF(Allocation!BK130="","",Allocation!BK130)</f>
        <v/>
      </c>
      <c r="D130" t="str">
        <f>IF(Allocation!BL130="","",Allocation!BL130)</f>
        <v/>
      </c>
      <c r="E130" t="str">
        <f>IF(Allocation!BM130="","",Allocation!BM130)</f>
        <v/>
      </c>
      <c r="F130" t="str">
        <f>IF(Allocation!BN130="","",Allocation!BN130)</f>
        <v/>
      </c>
      <c r="G130" t="str">
        <f>IF(Allocation!BO130="","",Allocation!BO130)</f>
        <v/>
      </c>
      <c r="H130" t="str">
        <f>IF(Allocation!BP130="","",Allocation!BP130)</f>
        <v/>
      </c>
      <c r="I130" t="str">
        <f>IF(Allocation!BQ130="","",Allocation!BQ130)</f>
        <v/>
      </c>
      <c r="J130" t="str">
        <f>IF(Allocation!CC130="","",Allocation!CC130)</f>
        <v/>
      </c>
      <c r="K130" t="str">
        <f t="shared" ref="K130:K193" si="38">IF($A130="","",$H130*IF(AND(LEFT($D130,3)="BAC",$F130="INIT"),600,IF(LEFT($D130,3)="BAC",480,IF(AND(LEFT($D130,3)="MAS",$F130="INIT"),520,IF(LEFT($D130,3)="MAS",420,IF($F130="INIT",1000,700))))))</f>
        <v/>
      </c>
      <c r="L130" t="str">
        <f t="shared" ref="L130:L193" si="39">IF($A130="","",SUMIFS($G$1:$G$349,$AS$1:$AS$349,$AS130,$B$1:$B$349,$B130))</f>
        <v/>
      </c>
      <c r="M130" t="str">
        <f t="shared" ref="M130:M193" si="40">IF($A130="","",SUMIFS($H$1:$H$349,$AS$1:$AS$349,$AS130,$B$1:$B$349,$B130))</f>
        <v/>
      </c>
      <c r="N130" t="str">
        <f t="shared" ref="N130:N193" si="41">IF($A130="","",SUMIFS($I$1:$I$349,$AS$1:$AS$349,$AS130,$B$1:$B$349,$B130))</f>
        <v/>
      </c>
      <c r="O130" t="str">
        <f t="shared" ref="O130:O193" si="42">IF($A130="","",SUMIFS($K$1:$K$349,$AS$1:$AS$349,$AS130,$B$1:$B$349,$B130))</f>
        <v/>
      </c>
      <c r="P130" t="str">
        <f t="shared" ref="P130:P193" si="43">IF($A130="","",SUMIFS($J$1:$J$349,$AS$1:$AS$349,$AS130,$B$1:$B$349,$B130))</f>
        <v/>
      </c>
      <c r="Q130" t="str">
        <f t="shared" ref="Q130:Q193" si="44">IF($A130="","",SUMIFS($G$1:$G$349,$AS$1:$AS$349,$AS130,$C$1:$C$349,$C130))</f>
        <v/>
      </c>
      <c r="R130" t="str">
        <f t="shared" ref="R130:R193" si="45">IF($A130="","",SUMIFS($H$1:$H$349,$AS$1:$AS$349,$AS130,$C$1:$C$349,$C130))</f>
        <v/>
      </c>
      <c r="S130" t="str">
        <f t="shared" ref="S130:S193" si="46">IF($A130="","",SUMIFS($I$1:$I$349,$AS$1:$AS$349,$AS130,$C$1:$C$349,$C130))</f>
        <v/>
      </c>
      <c r="T130" t="str">
        <f t="shared" ref="T130:T193" si="47">IF($A130="","",SUMIFS($G$1:$G$349,$AS$1:$AS$349,$AS130))</f>
        <v/>
      </c>
      <c r="U130" t="str">
        <f t="shared" ref="U130:U193" si="48">IF($A130="","",SUMIFS($H$1:$H$349,$AS$1:$AS$349,$AS130))</f>
        <v/>
      </c>
      <c r="V130" t="str">
        <f t="shared" ref="V130:V193" si="49">IF($A130="","",SUMIFS($I$1:$I$349,$AS$1:$AS$349,$AS130))</f>
        <v/>
      </c>
      <c r="W130" t="str">
        <f>IF($A130="","",Allocation!CD130)</f>
        <v/>
      </c>
      <c r="X130" t="str">
        <f>IF($A130="","",Allocation!CE130)</f>
        <v/>
      </c>
      <c r="Y130" t="str">
        <f>IF($A130="","",Allocation!CF130)</f>
        <v/>
      </c>
      <c r="Z130" t="str">
        <f>IF($A130="","",Allocation!CG130)</f>
        <v/>
      </c>
      <c r="AA130" t="str">
        <f>IF($A130="","",Allocation!CH130)</f>
        <v/>
      </c>
      <c r="AB130" t="str">
        <f>IF($A130="","",Allocation!CI130)</f>
        <v/>
      </c>
      <c r="AC130" t="str">
        <f>IF($A130="","",IF(Allocation!$N$4="VOL_EFF",$G130,IF(Allocation!$N$4="VOL_CLASS",$H130,$I130)))</f>
        <v/>
      </c>
      <c r="AD130" t="str">
        <f>IF($A130="","",IF(Allocation!$N$4="VOL_EFF",$L130,IF(Allocation!$N$4="VOL_CLASS",$M130,$N130)))</f>
        <v/>
      </c>
      <c r="AE130" t="str">
        <f>IF($A130="","",IF(Allocation!$N$3="VOL_EFF",$L130,IF(Allocation!$N$3="VOL_CLASS",$M130,$N130)))</f>
        <v/>
      </c>
      <c r="AF130" t="str">
        <f>IF($A130="","",IF(Allocation!$N$3="VOL_EFF",$Q130,IF(Allocation!$N$3="VOL_CLASS",$R130,$S130)))</f>
        <v/>
      </c>
      <c r="AG130" t="str">
        <f>IF($A130="","",IF(Allocation!$N$1="VOL_EFF",$Q130,IF(Allocation!$N$1="VOL_CLASS",$R130,$S130)))</f>
        <v/>
      </c>
      <c r="AH130" t="str">
        <f>IF($A130="","",IF(Allocation!$N$1="VOL_EFF",$T130,IF(Allocation!$N$1="VOL_CLASS",$U130,$V130)))</f>
        <v/>
      </c>
      <c r="AI130" t="str">
        <f t="shared" ref="AI130:AI193" si="50">IF($A130="","",$W130*IFERROR($K130/$O130,0))</f>
        <v/>
      </c>
      <c r="AJ130" t="str">
        <f t="shared" ref="AJ130:AJ193" si="51">IF($A130="","",$X130*IFERROR($K130/$O130,0))</f>
        <v/>
      </c>
      <c r="AK130" t="str">
        <f t="shared" ref="AK130:AK193" si="52">IF($A130="","",$Y130*IFERROR($G130/$L130,0)+$Z130*IFERROR($J130/$P130,0))</f>
        <v/>
      </c>
      <c r="AL130" t="str">
        <f t="shared" ref="AL130:AL193" si="53">IF($A130="","",$AA130*IFERROR($AC130/$AD130,0))</f>
        <v/>
      </c>
      <c r="AM130" t="str">
        <f t="shared" ref="AM130:AM193" si="54">IF($A130="","",$AB130*IFERROR($AG130/$AH130,0)*IFERROR($AE130/$AF130,0)*IFERROR($AC130/$AD130,0))</f>
        <v/>
      </c>
      <c r="AN130" t="str">
        <f t="shared" ref="AN130:AN193" si="55">IF($A130="","",$I130-($AI130+$AJ130+$AK130+$AL130+$AM130+$AR130))</f>
        <v/>
      </c>
      <c r="AO130" t="str">
        <f>IF($A130="","",Allocation!CJ130)</f>
        <v/>
      </c>
      <c r="AP130" t="str">
        <f>IF($A130="","",IF(Allocation!$N$2="VOL_EFF",$Q130,IF(Allocation!$N$2="VOL_CLASS",$R130,$S130)))</f>
        <v/>
      </c>
      <c r="AQ130" t="str">
        <f>IF($A130="","",IF(Allocation!$N$2="VOL_EFF",$T130,IF(Allocation!$N$2="VOL_CLASS",$U130,$V130)))</f>
        <v/>
      </c>
      <c r="AR130" t="str">
        <f t="shared" ref="AR130:AR193" si="56">IF($A130="","",$AO130*IFERROR($AP130/$AQ130,0)*IFERROR($AE130/$AF130,0)*IFERROR($AC130/$AD130,0))</f>
        <v/>
      </c>
      <c r="AS130" t="str">
        <f>IF($A130="","",$A130&amp;"|"&amp;Allocation!BG130)</f>
        <v/>
      </c>
    </row>
    <row r="131" spans="1:45" x14ac:dyDescent="0.45">
      <c r="A131" t="str">
        <f>IF(Allocation!BI131="","",Allocation!BI131)</f>
        <v/>
      </c>
      <c r="B131" t="str">
        <f>IF(Allocation!BJ131="","",Allocation!BJ131)</f>
        <v/>
      </c>
      <c r="C131" t="str">
        <f>IF(Allocation!BK131="","",Allocation!BK131)</f>
        <v/>
      </c>
      <c r="D131" t="str">
        <f>IF(Allocation!BL131="","",Allocation!BL131)</f>
        <v/>
      </c>
      <c r="E131" t="str">
        <f>IF(Allocation!BM131="","",Allocation!BM131)</f>
        <v/>
      </c>
      <c r="F131" t="str">
        <f>IF(Allocation!BN131="","",Allocation!BN131)</f>
        <v/>
      </c>
      <c r="G131" t="str">
        <f>IF(Allocation!BO131="","",Allocation!BO131)</f>
        <v/>
      </c>
      <c r="H131" t="str">
        <f>IF(Allocation!BP131="","",Allocation!BP131)</f>
        <v/>
      </c>
      <c r="I131" t="str">
        <f>IF(Allocation!BQ131="","",Allocation!BQ131)</f>
        <v/>
      </c>
      <c r="J131" t="str">
        <f>IF(Allocation!CC131="","",Allocation!CC131)</f>
        <v/>
      </c>
      <c r="K131" t="str">
        <f t="shared" si="38"/>
        <v/>
      </c>
      <c r="L131" t="str">
        <f t="shared" si="39"/>
        <v/>
      </c>
      <c r="M131" t="str">
        <f t="shared" si="40"/>
        <v/>
      </c>
      <c r="N131" t="str">
        <f t="shared" si="41"/>
        <v/>
      </c>
      <c r="O131" t="str">
        <f t="shared" si="42"/>
        <v/>
      </c>
      <c r="P131" t="str">
        <f t="shared" si="43"/>
        <v/>
      </c>
      <c r="Q131" t="str">
        <f t="shared" si="44"/>
        <v/>
      </c>
      <c r="R131" t="str">
        <f t="shared" si="45"/>
        <v/>
      </c>
      <c r="S131" t="str">
        <f t="shared" si="46"/>
        <v/>
      </c>
      <c r="T131" t="str">
        <f t="shared" si="47"/>
        <v/>
      </c>
      <c r="U131" t="str">
        <f t="shared" si="48"/>
        <v/>
      </c>
      <c r="V131" t="str">
        <f t="shared" si="49"/>
        <v/>
      </c>
      <c r="W131" t="str">
        <f>IF($A131="","",Allocation!CD131)</f>
        <v/>
      </c>
      <c r="X131" t="str">
        <f>IF($A131="","",Allocation!CE131)</f>
        <v/>
      </c>
      <c r="Y131" t="str">
        <f>IF($A131="","",Allocation!CF131)</f>
        <v/>
      </c>
      <c r="Z131" t="str">
        <f>IF($A131="","",Allocation!CG131)</f>
        <v/>
      </c>
      <c r="AA131" t="str">
        <f>IF($A131="","",Allocation!CH131)</f>
        <v/>
      </c>
      <c r="AB131" t="str">
        <f>IF($A131="","",Allocation!CI131)</f>
        <v/>
      </c>
      <c r="AC131" t="str">
        <f>IF($A131="","",IF(Allocation!$N$4="VOL_EFF",$G131,IF(Allocation!$N$4="VOL_CLASS",$H131,$I131)))</f>
        <v/>
      </c>
      <c r="AD131" t="str">
        <f>IF($A131="","",IF(Allocation!$N$4="VOL_EFF",$L131,IF(Allocation!$N$4="VOL_CLASS",$M131,$N131)))</f>
        <v/>
      </c>
      <c r="AE131" t="str">
        <f>IF($A131="","",IF(Allocation!$N$3="VOL_EFF",$L131,IF(Allocation!$N$3="VOL_CLASS",$M131,$N131)))</f>
        <v/>
      </c>
      <c r="AF131" t="str">
        <f>IF($A131="","",IF(Allocation!$N$3="VOL_EFF",$Q131,IF(Allocation!$N$3="VOL_CLASS",$R131,$S131)))</f>
        <v/>
      </c>
      <c r="AG131" t="str">
        <f>IF($A131="","",IF(Allocation!$N$1="VOL_EFF",$Q131,IF(Allocation!$N$1="VOL_CLASS",$R131,$S131)))</f>
        <v/>
      </c>
      <c r="AH131" t="str">
        <f>IF($A131="","",IF(Allocation!$N$1="VOL_EFF",$T131,IF(Allocation!$N$1="VOL_CLASS",$U131,$V131)))</f>
        <v/>
      </c>
      <c r="AI131" t="str">
        <f t="shared" si="50"/>
        <v/>
      </c>
      <c r="AJ131" t="str">
        <f t="shared" si="51"/>
        <v/>
      </c>
      <c r="AK131" t="str">
        <f t="shared" si="52"/>
        <v/>
      </c>
      <c r="AL131" t="str">
        <f t="shared" si="53"/>
        <v/>
      </c>
      <c r="AM131" t="str">
        <f t="shared" si="54"/>
        <v/>
      </c>
      <c r="AN131" t="str">
        <f t="shared" si="55"/>
        <v/>
      </c>
      <c r="AO131" t="str">
        <f>IF($A131="","",Allocation!CJ131)</f>
        <v/>
      </c>
      <c r="AP131" t="str">
        <f>IF($A131="","",IF(Allocation!$N$2="VOL_EFF",$Q131,IF(Allocation!$N$2="VOL_CLASS",$R131,$S131)))</f>
        <v/>
      </c>
      <c r="AQ131" t="str">
        <f>IF($A131="","",IF(Allocation!$N$2="VOL_EFF",$T131,IF(Allocation!$N$2="VOL_CLASS",$U131,$V131)))</f>
        <v/>
      </c>
      <c r="AR131" t="str">
        <f t="shared" si="56"/>
        <v/>
      </c>
      <c r="AS131" t="str">
        <f>IF($A131="","",$A131&amp;"|"&amp;Allocation!BG131)</f>
        <v/>
      </c>
    </row>
    <row r="132" spans="1:45" x14ac:dyDescent="0.45">
      <c r="A132" t="str">
        <f>IF(Allocation!BI132="","",Allocation!BI132)</f>
        <v/>
      </c>
      <c r="B132" t="str">
        <f>IF(Allocation!BJ132="","",Allocation!BJ132)</f>
        <v/>
      </c>
      <c r="C132" t="str">
        <f>IF(Allocation!BK132="","",Allocation!BK132)</f>
        <v/>
      </c>
      <c r="D132" t="str">
        <f>IF(Allocation!BL132="","",Allocation!BL132)</f>
        <v/>
      </c>
      <c r="E132" t="str">
        <f>IF(Allocation!BM132="","",Allocation!BM132)</f>
        <v/>
      </c>
      <c r="F132" t="str">
        <f>IF(Allocation!BN132="","",Allocation!BN132)</f>
        <v/>
      </c>
      <c r="G132" t="str">
        <f>IF(Allocation!BO132="","",Allocation!BO132)</f>
        <v/>
      </c>
      <c r="H132" t="str">
        <f>IF(Allocation!BP132="","",Allocation!BP132)</f>
        <v/>
      </c>
      <c r="I132" t="str">
        <f>IF(Allocation!BQ132="","",Allocation!BQ132)</f>
        <v/>
      </c>
      <c r="J132" t="str">
        <f>IF(Allocation!CC132="","",Allocation!CC132)</f>
        <v/>
      </c>
      <c r="K132" t="str">
        <f t="shared" si="38"/>
        <v/>
      </c>
      <c r="L132" t="str">
        <f t="shared" si="39"/>
        <v/>
      </c>
      <c r="M132" t="str">
        <f t="shared" si="40"/>
        <v/>
      </c>
      <c r="N132" t="str">
        <f t="shared" si="41"/>
        <v/>
      </c>
      <c r="O132" t="str">
        <f t="shared" si="42"/>
        <v/>
      </c>
      <c r="P132" t="str">
        <f t="shared" si="43"/>
        <v/>
      </c>
      <c r="Q132" t="str">
        <f t="shared" si="44"/>
        <v/>
      </c>
      <c r="R132" t="str">
        <f t="shared" si="45"/>
        <v/>
      </c>
      <c r="S132" t="str">
        <f t="shared" si="46"/>
        <v/>
      </c>
      <c r="T132" t="str">
        <f t="shared" si="47"/>
        <v/>
      </c>
      <c r="U132" t="str">
        <f t="shared" si="48"/>
        <v/>
      </c>
      <c r="V132" t="str">
        <f t="shared" si="49"/>
        <v/>
      </c>
      <c r="W132" t="str">
        <f>IF($A132="","",Allocation!CD132)</f>
        <v/>
      </c>
      <c r="X132" t="str">
        <f>IF($A132="","",Allocation!CE132)</f>
        <v/>
      </c>
      <c r="Y132" t="str">
        <f>IF($A132="","",Allocation!CF132)</f>
        <v/>
      </c>
      <c r="Z132" t="str">
        <f>IF($A132="","",Allocation!CG132)</f>
        <v/>
      </c>
      <c r="AA132" t="str">
        <f>IF($A132="","",Allocation!CH132)</f>
        <v/>
      </c>
      <c r="AB132" t="str">
        <f>IF($A132="","",Allocation!CI132)</f>
        <v/>
      </c>
      <c r="AC132" t="str">
        <f>IF($A132="","",IF(Allocation!$N$4="VOL_EFF",$G132,IF(Allocation!$N$4="VOL_CLASS",$H132,$I132)))</f>
        <v/>
      </c>
      <c r="AD132" t="str">
        <f>IF($A132="","",IF(Allocation!$N$4="VOL_EFF",$L132,IF(Allocation!$N$4="VOL_CLASS",$M132,$N132)))</f>
        <v/>
      </c>
      <c r="AE132" t="str">
        <f>IF($A132="","",IF(Allocation!$N$3="VOL_EFF",$L132,IF(Allocation!$N$3="VOL_CLASS",$M132,$N132)))</f>
        <v/>
      </c>
      <c r="AF132" t="str">
        <f>IF($A132="","",IF(Allocation!$N$3="VOL_EFF",$Q132,IF(Allocation!$N$3="VOL_CLASS",$R132,$S132)))</f>
        <v/>
      </c>
      <c r="AG132" t="str">
        <f>IF($A132="","",IF(Allocation!$N$1="VOL_EFF",$Q132,IF(Allocation!$N$1="VOL_CLASS",$R132,$S132)))</f>
        <v/>
      </c>
      <c r="AH132" t="str">
        <f>IF($A132="","",IF(Allocation!$N$1="VOL_EFF",$T132,IF(Allocation!$N$1="VOL_CLASS",$U132,$V132)))</f>
        <v/>
      </c>
      <c r="AI132" t="str">
        <f t="shared" si="50"/>
        <v/>
      </c>
      <c r="AJ132" t="str">
        <f t="shared" si="51"/>
        <v/>
      </c>
      <c r="AK132" t="str">
        <f t="shared" si="52"/>
        <v/>
      </c>
      <c r="AL132" t="str">
        <f t="shared" si="53"/>
        <v/>
      </c>
      <c r="AM132" t="str">
        <f t="shared" si="54"/>
        <v/>
      </c>
      <c r="AN132" t="str">
        <f t="shared" si="55"/>
        <v/>
      </c>
      <c r="AO132" t="str">
        <f>IF($A132="","",Allocation!CJ132)</f>
        <v/>
      </c>
      <c r="AP132" t="str">
        <f>IF($A132="","",IF(Allocation!$N$2="VOL_EFF",$Q132,IF(Allocation!$N$2="VOL_CLASS",$R132,$S132)))</f>
        <v/>
      </c>
      <c r="AQ132" t="str">
        <f>IF($A132="","",IF(Allocation!$N$2="VOL_EFF",$T132,IF(Allocation!$N$2="VOL_CLASS",$U132,$V132)))</f>
        <v/>
      </c>
      <c r="AR132" t="str">
        <f t="shared" si="56"/>
        <v/>
      </c>
      <c r="AS132" t="str">
        <f>IF($A132="","",$A132&amp;"|"&amp;Allocation!BG132)</f>
        <v/>
      </c>
    </row>
    <row r="133" spans="1:45" x14ac:dyDescent="0.45">
      <c r="A133" t="str">
        <f>IF(Allocation!BI133="","",Allocation!BI133)</f>
        <v/>
      </c>
      <c r="B133" t="str">
        <f>IF(Allocation!BJ133="","",Allocation!BJ133)</f>
        <v/>
      </c>
      <c r="C133" t="str">
        <f>IF(Allocation!BK133="","",Allocation!BK133)</f>
        <v/>
      </c>
      <c r="D133" t="str">
        <f>IF(Allocation!BL133="","",Allocation!BL133)</f>
        <v/>
      </c>
      <c r="E133" t="str">
        <f>IF(Allocation!BM133="","",Allocation!BM133)</f>
        <v/>
      </c>
      <c r="F133" t="str">
        <f>IF(Allocation!BN133="","",Allocation!BN133)</f>
        <v/>
      </c>
      <c r="G133" t="str">
        <f>IF(Allocation!BO133="","",Allocation!BO133)</f>
        <v/>
      </c>
      <c r="H133" t="str">
        <f>IF(Allocation!BP133="","",Allocation!BP133)</f>
        <v/>
      </c>
      <c r="I133" t="str">
        <f>IF(Allocation!BQ133="","",Allocation!BQ133)</f>
        <v/>
      </c>
      <c r="J133" t="str">
        <f>IF(Allocation!CC133="","",Allocation!CC133)</f>
        <v/>
      </c>
      <c r="K133" t="str">
        <f t="shared" si="38"/>
        <v/>
      </c>
      <c r="L133" t="str">
        <f t="shared" si="39"/>
        <v/>
      </c>
      <c r="M133" t="str">
        <f t="shared" si="40"/>
        <v/>
      </c>
      <c r="N133" t="str">
        <f t="shared" si="41"/>
        <v/>
      </c>
      <c r="O133" t="str">
        <f t="shared" si="42"/>
        <v/>
      </c>
      <c r="P133" t="str">
        <f t="shared" si="43"/>
        <v/>
      </c>
      <c r="Q133" t="str">
        <f t="shared" si="44"/>
        <v/>
      </c>
      <c r="R133" t="str">
        <f t="shared" si="45"/>
        <v/>
      </c>
      <c r="S133" t="str">
        <f t="shared" si="46"/>
        <v/>
      </c>
      <c r="T133" t="str">
        <f t="shared" si="47"/>
        <v/>
      </c>
      <c r="U133" t="str">
        <f t="shared" si="48"/>
        <v/>
      </c>
      <c r="V133" t="str">
        <f t="shared" si="49"/>
        <v/>
      </c>
      <c r="W133" t="str">
        <f>IF($A133="","",Allocation!CD133)</f>
        <v/>
      </c>
      <c r="X133" t="str">
        <f>IF($A133="","",Allocation!CE133)</f>
        <v/>
      </c>
      <c r="Y133" t="str">
        <f>IF($A133="","",Allocation!CF133)</f>
        <v/>
      </c>
      <c r="Z133" t="str">
        <f>IF($A133="","",Allocation!CG133)</f>
        <v/>
      </c>
      <c r="AA133" t="str">
        <f>IF($A133="","",Allocation!CH133)</f>
        <v/>
      </c>
      <c r="AB133" t="str">
        <f>IF($A133="","",Allocation!CI133)</f>
        <v/>
      </c>
      <c r="AC133" t="str">
        <f>IF($A133="","",IF(Allocation!$N$4="VOL_EFF",$G133,IF(Allocation!$N$4="VOL_CLASS",$H133,$I133)))</f>
        <v/>
      </c>
      <c r="AD133" t="str">
        <f>IF($A133="","",IF(Allocation!$N$4="VOL_EFF",$L133,IF(Allocation!$N$4="VOL_CLASS",$M133,$N133)))</f>
        <v/>
      </c>
      <c r="AE133" t="str">
        <f>IF($A133="","",IF(Allocation!$N$3="VOL_EFF",$L133,IF(Allocation!$N$3="VOL_CLASS",$M133,$N133)))</f>
        <v/>
      </c>
      <c r="AF133" t="str">
        <f>IF($A133="","",IF(Allocation!$N$3="VOL_EFF",$Q133,IF(Allocation!$N$3="VOL_CLASS",$R133,$S133)))</f>
        <v/>
      </c>
      <c r="AG133" t="str">
        <f>IF($A133="","",IF(Allocation!$N$1="VOL_EFF",$Q133,IF(Allocation!$N$1="VOL_CLASS",$R133,$S133)))</f>
        <v/>
      </c>
      <c r="AH133" t="str">
        <f>IF($A133="","",IF(Allocation!$N$1="VOL_EFF",$T133,IF(Allocation!$N$1="VOL_CLASS",$U133,$V133)))</f>
        <v/>
      </c>
      <c r="AI133" t="str">
        <f t="shared" si="50"/>
        <v/>
      </c>
      <c r="AJ133" t="str">
        <f t="shared" si="51"/>
        <v/>
      </c>
      <c r="AK133" t="str">
        <f t="shared" si="52"/>
        <v/>
      </c>
      <c r="AL133" t="str">
        <f t="shared" si="53"/>
        <v/>
      </c>
      <c r="AM133" t="str">
        <f t="shared" si="54"/>
        <v/>
      </c>
      <c r="AN133" t="str">
        <f t="shared" si="55"/>
        <v/>
      </c>
      <c r="AO133" t="str">
        <f>IF($A133="","",Allocation!CJ133)</f>
        <v/>
      </c>
      <c r="AP133" t="str">
        <f>IF($A133="","",IF(Allocation!$N$2="VOL_EFF",$Q133,IF(Allocation!$N$2="VOL_CLASS",$R133,$S133)))</f>
        <v/>
      </c>
      <c r="AQ133" t="str">
        <f>IF($A133="","",IF(Allocation!$N$2="VOL_EFF",$T133,IF(Allocation!$N$2="VOL_CLASS",$U133,$V133)))</f>
        <v/>
      </c>
      <c r="AR133" t="str">
        <f t="shared" si="56"/>
        <v/>
      </c>
      <c r="AS133" t="str">
        <f>IF($A133="","",$A133&amp;"|"&amp;Allocation!BG133)</f>
        <v/>
      </c>
    </row>
    <row r="134" spans="1:45" x14ac:dyDescent="0.45">
      <c r="A134" t="str">
        <f>IF(Allocation!BI134="","",Allocation!BI134)</f>
        <v/>
      </c>
      <c r="B134" t="str">
        <f>IF(Allocation!BJ134="","",Allocation!BJ134)</f>
        <v/>
      </c>
      <c r="C134" t="str">
        <f>IF(Allocation!BK134="","",Allocation!BK134)</f>
        <v/>
      </c>
      <c r="D134" t="str">
        <f>IF(Allocation!BL134="","",Allocation!BL134)</f>
        <v/>
      </c>
      <c r="E134" t="str">
        <f>IF(Allocation!BM134="","",Allocation!BM134)</f>
        <v/>
      </c>
      <c r="F134" t="str">
        <f>IF(Allocation!BN134="","",Allocation!BN134)</f>
        <v/>
      </c>
      <c r="G134" t="str">
        <f>IF(Allocation!BO134="","",Allocation!BO134)</f>
        <v/>
      </c>
      <c r="H134" t="str">
        <f>IF(Allocation!BP134="","",Allocation!BP134)</f>
        <v/>
      </c>
      <c r="I134" t="str">
        <f>IF(Allocation!BQ134="","",Allocation!BQ134)</f>
        <v/>
      </c>
      <c r="J134" t="str">
        <f>IF(Allocation!CC134="","",Allocation!CC134)</f>
        <v/>
      </c>
      <c r="K134" t="str">
        <f t="shared" si="38"/>
        <v/>
      </c>
      <c r="L134" t="str">
        <f t="shared" si="39"/>
        <v/>
      </c>
      <c r="M134" t="str">
        <f t="shared" si="40"/>
        <v/>
      </c>
      <c r="N134" t="str">
        <f t="shared" si="41"/>
        <v/>
      </c>
      <c r="O134" t="str">
        <f t="shared" si="42"/>
        <v/>
      </c>
      <c r="P134" t="str">
        <f t="shared" si="43"/>
        <v/>
      </c>
      <c r="Q134" t="str">
        <f t="shared" si="44"/>
        <v/>
      </c>
      <c r="R134" t="str">
        <f t="shared" si="45"/>
        <v/>
      </c>
      <c r="S134" t="str">
        <f t="shared" si="46"/>
        <v/>
      </c>
      <c r="T134" t="str">
        <f t="shared" si="47"/>
        <v/>
      </c>
      <c r="U134" t="str">
        <f t="shared" si="48"/>
        <v/>
      </c>
      <c r="V134" t="str">
        <f t="shared" si="49"/>
        <v/>
      </c>
      <c r="W134" t="str">
        <f>IF($A134="","",Allocation!CD134)</f>
        <v/>
      </c>
      <c r="X134" t="str">
        <f>IF($A134="","",Allocation!CE134)</f>
        <v/>
      </c>
      <c r="Y134" t="str">
        <f>IF($A134="","",Allocation!CF134)</f>
        <v/>
      </c>
      <c r="Z134" t="str">
        <f>IF($A134="","",Allocation!CG134)</f>
        <v/>
      </c>
      <c r="AA134" t="str">
        <f>IF($A134="","",Allocation!CH134)</f>
        <v/>
      </c>
      <c r="AB134" t="str">
        <f>IF($A134="","",Allocation!CI134)</f>
        <v/>
      </c>
      <c r="AC134" t="str">
        <f>IF($A134="","",IF(Allocation!$N$4="VOL_EFF",$G134,IF(Allocation!$N$4="VOL_CLASS",$H134,$I134)))</f>
        <v/>
      </c>
      <c r="AD134" t="str">
        <f>IF($A134="","",IF(Allocation!$N$4="VOL_EFF",$L134,IF(Allocation!$N$4="VOL_CLASS",$M134,$N134)))</f>
        <v/>
      </c>
      <c r="AE134" t="str">
        <f>IF($A134="","",IF(Allocation!$N$3="VOL_EFF",$L134,IF(Allocation!$N$3="VOL_CLASS",$M134,$N134)))</f>
        <v/>
      </c>
      <c r="AF134" t="str">
        <f>IF($A134="","",IF(Allocation!$N$3="VOL_EFF",$Q134,IF(Allocation!$N$3="VOL_CLASS",$R134,$S134)))</f>
        <v/>
      </c>
      <c r="AG134" t="str">
        <f>IF($A134="","",IF(Allocation!$N$1="VOL_EFF",$Q134,IF(Allocation!$N$1="VOL_CLASS",$R134,$S134)))</f>
        <v/>
      </c>
      <c r="AH134" t="str">
        <f>IF($A134="","",IF(Allocation!$N$1="VOL_EFF",$T134,IF(Allocation!$N$1="VOL_CLASS",$U134,$V134)))</f>
        <v/>
      </c>
      <c r="AI134" t="str">
        <f t="shared" si="50"/>
        <v/>
      </c>
      <c r="AJ134" t="str">
        <f t="shared" si="51"/>
        <v/>
      </c>
      <c r="AK134" t="str">
        <f t="shared" si="52"/>
        <v/>
      </c>
      <c r="AL134" t="str">
        <f t="shared" si="53"/>
        <v/>
      </c>
      <c r="AM134" t="str">
        <f t="shared" si="54"/>
        <v/>
      </c>
      <c r="AN134" t="str">
        <f t="shared" si="55"/>
        <v/>
      </c>
      <c r="AO134" t="str">
        <f>IF($A134="","",Allocation!CJ134)</f>
        <v/>
      </c>
      <c r="AP134" t="str">
        <f>IF($A134="","",IF(Allocation!$N$2="VOL_EFF",$Q134,IF(Allocation!$N$2="VOL_CLASS",$R134,$S134)))</f>
        <v/>
      </c>
      <c r="AQ134" t="str">
        <f>IF($A134="","",IF(Allocation!$N$2="VOL_EFF",$T134,IF(Allocation!$N$2="VOL_CLASS",$U134,$V134)))</f>
        <v/>
      </c>
      <c r="AR134" t="str">
        <f t="shared" si="56"/>
        <v/>
      </c>
      <c r="AS134" t="str">
        <f>IF($A134="","",$A134&amp;"|"&amp;Allocation!BG134)</f>
        <v/>
      </c>
    </row>
    <row r="135" spans="1:45" x14ac:dyDescent="0.45">
      <c r="A135" t="str">
        <f>IF(Allocation!BI135="","",Allocation!BI135)</f>
        <v/>
      </c>
      <c r="B135" t="str">
        <f>IF(Allocation!BJ135="","",Allocation!BJ135)</f>
        <v/>
      </c>
      <c r="C135" t="str">
        <f>IF(Allocation!BK135="","",Allocation!BK135)</f>
        <v/>
      </c>
      <c r="D135" t="str">
        <f>IF(Allocation!BL135="","",Allocation!BL135)</f>
        <v/>
      </c>
      <c r="E135" t="str">
        <f>IF(Allocation!BM135="","",Allocation!BM135)</f>
        <v/>
      </c>
      <c r="F135" t="str">
        <f>IF(Allocation!BN135="","",Allocation!BN135)</f>
        <v/>
      </c>
      <c r="G135" t="str">
        <f>IF(Allocation!BO135="","",Allocation!BO135)</f>
        <v/>
      </c>
      <c r="H135" t="str">
        <f>IF(Allocation!BP135="","",Allocation!BP135)</f>
        <v/>
      </c>
      <c r="I135" t="str">
        <f>IF(Allocation!BQ135="","",Allocation!BQ135)</f>
        <v/>
      </c>
      <c r="J135" t="str">
        <f>IF(Allocation!CC135="","",Allocation!CC135)</f>
        <v/>
      </c>
      <c r="K135" t="str">
        <f t="shared" si="38"/>
        <v/>
      </c>
      <c r="L135" t="str">
        <f t="shared" si="39"/>
        <v/>
      </c>
      <c r="M135" t="str">
        <f t="shared" si="40"/>
        <v/>
      </c>
      <c r="N135" t="str">
        <f t="shared" si="41"/>
        <v/>
      </c>
      <c r="O135" t="str">
        <f t="shared" si="42"/>
        <v/>
      </c>
      <c r="P135" t="str">
        <f t="shared" si="43"/>
        <v/>
      </c>
      <c r="Q135" t="str">
        <f t="shared" si="44"/>
        <v/>
      </c>
      <c r="R135" t="str">
        <f t="shared" si="45"/>
        <v/>
      </c>
      <c r="S135" t="str">
        <f t="shared" si="46"/>
        <v/>
      </c>
      <c r="T135" t="str">
        <f t="shared" si="47"/>
        <v/>
      </c>
      <c r="U135" t="str">
        <f t="shared" si="48"/>
        <v/>
      </c>
      <c r="V135" t="str">
        <f t="shared" si="49"/>
        <v/>
      </c>
      <c r="W135" t="str">
        <f>IF($A135="","",Allocation!CD135)</f>
        <v/>
      </c>
      <c r="X135" t="str">
        <f>IF($A135="","",Allocation!CE135)</f>
        <v/>
      </c>
      <c r="Y135" t="str">
        <f>IF($A135="","",Allocation!CF135)</f>
        <v/>
      </c>
      <c r="Z135" t="str">
        <f>IF($A135="","",Allocation!CG135)</f>
        <v/>
      </c>
      <c r="AA135" t="str">
        <f>IF($A135="","",Allocation!CH135)</f>
        <v/>
      </c>
      <c r="AB135" t="str">
        <f>IF($A135="","",Allocation!CI135)</f>
        <v/>
      </c>
      <c r="AC135" t="str">
        <f>IF($A135="","",IF(Allocation!$N$4="VOL_EFF",$G135,IF(Allocation!$N$4="VOL_CLASS",$H135,$I135)))</f>
        <v/>
      </c>
      <c r="AD135" t="str">
        <f>IF($A135="","",IF(Allocation!$N$4="VOL_EFF",$L135,IF(Allocation!$N$4="VOL_CLASS",$M135,$N135)))</f>
        <v/>
      </c>
      <c r="AE135" t="str">
        <f>IF($A135="","",IF(Allocation!$N$3="VOL_EFF",$L135,IF(Allocation!$N$3="VOL_CLASS",$M135,$N135)))</f>
        <v/>
      </c>
      <c r="AF135" t="str">
        <f>IF($A135="","",IF(Allocation!$N$3="VOL_EFF",$Q135,IF(Allocation!$N$3="VOL_CLASS",$R135,$S135)))</f>
        <v/>
      </c>
      <c r="AG135" t="str">
        <f>IF($A135="","",IF(Allocation!$N$1="VOL_EFF",$Q135,IF(Allocation!$N$1="VOL_CLASS",$R135,$S135)))</f>
        <v/>
      </c>
      <c r="AH135" t="str">
        <f>IF($A135="","",IF(Allocation!$N$1="VOL_EFF",$T135,IF(Allocation!$N$1="VOL_CLASS",$U135,$V135)))</f>
        <v/>
      </c>
      <c r="AI135" t="str">
        <f t="shared" si="50"/>
        <v/>
      </c>
      <c r="AJ135" t="str">
        <f t="shared" si="51"/>
        <v/>
      </c>
      <c r="AK135" t="str">
        <f t="shared" si="52"/>
        <v/>
      </c>
      <c r="AL135" t="str">
        <f t="shared" si="53"/>
        <v/>
      </c>
      <c r="AM135" t="str">
        <f t="shared" si="54"/>
        <v/>
      </c>
      <c r="AN135" t="str">
        <f t="shared" si="55"/>
        <v/>
      </c>
      <c r="AO135" t="str">
        <f>IF($A135="","",Allocation!CJ135)</f>
        <v/>
      </c>
      <c r="AP135" t="str">
        <f>IF($A135="","",IF(Allocation!$N$2="VOL_EFF",$Q135,IF(Allocation!$N$2="VOL_CLASS",$R135,$S135)))</f>
        <v/>
      </c>
      <c r="AQ135" t="str">
        <f>IF($A135="","",IF(Allocation!$N$2="VOL_EFF",$T135,IF(Allocation!$N$2="VOL_CLASS",$U135,$V135)))</f>
        <v/>
      </c>
      <c r="AR135" t="str">
        <f t="shared" si="56"/>
        <v/>
      </c>
      <c r="AS135" t="str">
        <f>IF($A135="","",$A135&amp;"|"&amp;Allocation!BG135)</f>
        <v/>
      </c>
    </row>
    <row r="136" spans="1:45" x14ac:dyDescent="0.45">
      <c r="A136" t="str">
        <f>IF(Allocation!BI136="","",Allocation!BI136)</f>
        <v/>
      </c>
      <c r="B136" t="str">
        <f>IF(Allocation!BJ136="","",Allocation!BJ136)</f>
        <v/>
      </c>
      <c r="C136" t="str">
        <f>IF(Allocation!BK136="","",Allocation!BK136)</f>
        <v/>
      </c>
      <c r="D136" t="str">
        <f>IF(Allocation!BL136="","",Allocation!BL136)</f>
        <v/>
      </c>
      <c r="E136" t="str">
        <f>IF(Allocation!BM136="","",Allocation!BM136)</f>
        <v/>
      </c>
      <c r="F136" t="str">
        <f>IF(Allocation!BN136="","",Allocation!BN136)</f>
        <v/>
      </c>
      <c r="G136" t="str">
        <f>IF(Allocation!BO136="","",Allocation!BO136)</f>
        <v/>
      </c>
      <c r="H136" t="str">
        <f>IF(Allocation!BP136="","",Allocation!BP136)</f>
        <v/>
      </c>
      <c r="I136" t="str">
        <f>IF(Allocation!BQ136="","",Allocation!BQ136)</f>
        <v/>
      </c>
      <c r="J136" t="str">
        <f>IF(Allocation!CC136="","",Allocation!CC136)</f>
        <v/>
      </c>
      <c r="K136" t="str">
        <f t="shared" si="38"/>
        <v/>
      </c>
      <c r="L136" t="str">
        <f t="shared" si="39"/>
        <v/>
      </c>
      <c r="M136" t="str">
        <f t="shared" si="40"/>
        <v/>
      </c>
      <c r="N136" t="str">
        <f t="shared" si="41"/>
        <v/>
      </c>
      <c r="O136" t="str">
        <f t="shared" si="42"/>
        <v/>
      </c>
      <c r="P136" t="str">
        <f t="shared" si="43"/>
        <v/>
      </c>
      <c r="Q136" t="str">
        <f t="shared" si="44"/>
        <v/>
      </c>
      <c r="R136" t="str">
        <f t="shared" si="45"/>
        <v/>
      </c>
      <c r="S136" t="str">
        <f t="shared" si="46"/>
        <v/>
      </c>
      <c r="T136" t="str">
        <f t="shared" si="47"/>
        <v/>
      </c>
      <c r="U136" t="str">
        <f t="shared" si="48"/>
        <v/>
      </c>
      <c r="V136" t="str">
        <f t="shared" si="49"/>
        <v/>
      </c>
      <c r="W136" t="str">
        <f>IF($A136="","",Allocation!CD136)</f>
        <v/>
      </c>
      <c r="X136" t="str">
        <f>IF($A136="","",Allocation!CE136)</f>
        <v/>
      </c>
      <c r="Y136" t="str">
        <f>IF($A136="","",Allocation!CF136)</f>
        <v/>
      </c>
      <c r="Z136" t="str">
        <f>IF($A136="","",Allocation!CG136)</f>
        <v/>
      </c>
      <c r="AA136" t="str">
        <f>IF($A136="","",Allocation!CH136)</f>
        <v/>
      </c>
      <c r="AB136" t="str">
        <f>IF($A136="","",Allocation!CI136)</f>
        <v/>
      </c>
      <c r="AC136" t="str">
        <f>IF($A136="","",IF(Allocation!$N$4="VOL_EFF",$G136,IF(Allocation!$N$4="VOL_CLASS",$H136,$I136)))</f>
        <v/>
      </c>
      <c r="AD136" t="str">
        <f>IF($A136="","",IF(Allocation!$N$4="VOL_EFF",$L136,IF(Allocation!$N$4="VOL_CLASS",$M136,$N136)))</f>
        <v/>
      </c>
      <c r="AE136" t="str">
        <f>IF($A136="","",IF(Allocation!$N$3="VOL_EFF",$L136,IF(Allocation!$N$3="VOL_CLASS",$M136,$N136)))</f>
        <v/>
      </c>
      <c r="AF136" t="str">
        <f>IF($A136="","",IF(Allocation!$N$3="VOL_EFF",$Q136,IF(Allocation!$N$3="VOL_CLASS",$R136,$S136)))</f>
        <v/>
      </c>
      <c r="AG136" t="str">
        <f>IF($A136="","",IF(Allocation!$N$1="VOL_EFF",$Q136,IF(Allocation!$N$1="VOL_CLASS",$R136,$S136)))</f>
        <v/>
      </c>
      <c r="AH136" t="str">
        <f>IF($A136="","",IF(Allocation!$N$1="VOL_EFF",$T136,IF(Allocation!$N$1="VOL_CLASS",$U136,$V136)))</f>
        <v/>
      </c>
      <c r="AI136" t="str">
        <f t="shared" si="50"/>
        <v/>
      </c>
      <c r="AJ136" t="str">
        <f t="shared" si="51"/>
        <v/>
      </c>
      <c r="AK136" t="str">
        <f t="shared" si="52"/>
        <v/>
      </c>
      <c r="AL136" t="str">
        <f t="shared" si="53"/>
        <v/>
      </c>
      <c r="AM136" t="str">
        <f t="shared" si="54"/>
        <v/>
      </c>
      <c r="AN136" t="str">
        <f t="shared" si="55"/>
        <v/>
      </c>
      <c r="AO136" t="str">
        <f>IF($A136="","",Allocation!CJ136)</f>
        <v/>
      </c>
      <c r="AP136" t="str">
        <f>IF($A136="","",IF(Allocation!$N$2="VOL_EFF",$Q136,IF(Allocation!$N$2="VOL_CLASS",$R136,$S136)))</f>
        <v/>
      </c>
      <c r="AQ136" t="str">
        <f>IF($A136="","",IF(Allocation!$N$2="VOL_EFF",$T136,IF(Allocation!$N$2="VOL_CLASS",$U136,$V136)))</f>
        <v/>
      </c>
      <c r="AR136" t="str">
        <f t="shared" si="56"/>
        <v/>
      </c>
      <c r="AS136" t="str">
        <f>IF($A136="","",$A136&amp;"|"&amp;Allocation!BG136)</f>
        <v/>
      </c>
    </row>
    <row r="137" spans="1:45" x14ac:dyDescent="0.45">
      <c r="A137" t="str">
        <f>IF(Allocation!BI137="","",Allocation!BI137)</f>
        <v/>
      </c>
      <c r="B137" t="str">
        <f>IF(Allocation!BJ137="","",Allocation!BJ137)</f>
        <v/>
      </c>
      <c r="C137" t="str">
        <f>IF(Allocation!BK137="","",Allocation!BK137)</f>
        <v/>
      </c>
      <c r="D137" t="str">
        <f>IF(Allocation!BL137="","",Allocation!BL137)</f>
        <v/>
      </c>
      <c r="E137" t="str">
        <f>IF(Allocation!BM137="","",Allocation!BM137)</f>
        <v/>
      </c>
      <c r="F137" t="str">
        <f>IF(Allocation!BN137="","",Allocation!BN137)</f>
        <v/>
      </c>
      <c r="G137" t="str">
        <f>IF(Allocation!BO137="","",Allocation!BO137)</f>
        <v/>
      </c>
      <c r="H137" t="str">
        <f>IF(Allocation!BP137="","",Allocation!BP137)</f>
        <v/>
      </c>
      <c r="I137" t="str">
        <f>IF(Allocation!BQ137="","",Allocation!BQ137)</f>
        <v/>
      </c>
      <c r="J137" t="str">
        <f>IF(Allocation!CC137="","",Allocation!CC137)</f>
        <v/>
      </c>
      <c r="K137" t="str">
        <f t="shared" si="38"/>
        <v/>
      </c>
      <c r="L137" t="str">
        <f t="shared" si="39"/>
        <v/>
      </c>
      <c r="M137" t="str">
        <f t="shared" si="40"/>
        <v/>
      </c>
      <c r="N137" t="str">
        <f t="shared" si="41"/>
        <v/>
      </c>
      <c r="O137" t="str">
        <f t="shared" si="42"/>
        <v/>
      </c>
      <c r="P137" t="str">
        <f t="shared" si="43"/>
        <v/>
      </c>
      <c r="Q137" t="str">
        <f t="shared" si="44"/>
        <v/>
      </c>
      <c r="R137" t="str">
        <f t="shared" si="45"/>
        <v/>
      </c>
      <c r="S137" t="str">
        <f t="shared" si="46"/>
        <v/>
      </c>
      <c r="T137" t="str">
        <f t="shared" si="47"/>
        <v/>
      </c>
      <c r="U137" t="str">
        <f t="shared" si="48"/>
        <v/>
      </c>
      <c r="V137" t="str">
        <f t="shared" si="49"/>
        <v/>
      </c>
      <c r="W137" t="str">
        <f>IF($A137="","",Allocation!CD137)</f>
        <v/>
      </c>
      <c r="X137" t="str">
        <f>IF($A137="","",Allocation!CE137)</f>
        <v/>
      </c>
      <c r="Y137" t="str">
        <f>IF($A137="","",Allocation!CF137)</f>
        <v/>
      </c>
      <c r="Z137" t="str">
        <f>IF($A137="","",Allocation!CG137)</f>
        <v/>
      </c>
      <c r="AA137" t="str">
        <f>IF($A137="","",Allocation!CH137)</f>
        <v/>
      </c>
      <c r="AB137" t="str">
        <f>IF($A137="","",Allocation!CI137)</f>
        <v/>
      </c>
      <c r="AC137" t="str">
        <f>IF($A137="","",IF(Allocation!$N$4="VOL_EFF",$G137,IF(Allocation!$N$4="VOL_CLASS",$H137,$I137)))</f>
        <v/>
      </c>
      <c r="AD137" t="str">
        <f>IF($A137="","",IF(Allocation!$N$4="VOL_EFF",$L137,IF(Allocation!$N$4="VOL_CLASS",$M137,$N137)))</f>
        <v/>
      </c>
      <c r="AE137" t="str">
        <f>IF($A137="","",IF(Allocation!$N$3="VOL_EFF",$L137,IF(Allocation!$N$3="VOL_CLASS",$M137,$N137)))</f>
        <v/>
      </c>
      <c r="AF137" t="str">
        <f>IF($A137="","",IF(Allocation!$N$3="VOL_EFF",$Q137,IF(Allocation!$N$3="VOL_CLASS",$R137,$S137)))</f>
        <v/>
      </c>
      <c r="AG137" t="str">
        <f>IF($A137="","",IF(Allocation!$N$1="VOL_EFF",$Q137,IF(Allocation!$N$1="VOL_CLASS",$R137,$S137)))</f>
        <v/>
      </c>
      <c r="AH137" t="str">
        <f>IF($A137="","",IF(Allocation!$N$1="VOL_EFF",$T137,IF(Allocation!$N$1="VOL_CLASS",$U137,$V137)))</f>
        <v/>
      </c>
      <c r="AI137" t="str">
        <f t="shared" si="50"/>
        <v/>
      </c>
      <c r="AJ137" t="str">
        <f t="shared" si="51"/>
        <v/>
      </c>
      <c r="AK137" t="str">
        <f t="shared" si="52"/>
        <v/>
      </c>
      <c r="AL137" t="str">
        <f t="shared" si="53"/>
        <v/>
      </c>
      <c r="AM137" t="str">
        <f t="shared" si="54"/>
        <v/>
      </c>
      <c r="AN137" t="str">
        <f t="shared" si="55"/>
        <v/>
      </c>
      <c r="AO137" t="str">
        <f>IF($A137="","",Allocation!CJ137)</f>
        <v/>
      </c>
      <c r="AP137" t="str">
        <f>IF($A137="","",IF(Allocation!$N$2="VOL_EFF",$Q137,IF(Allocation!$N$2="VOL_CLASS",$R137,$S137)))</f>
        <v/>
      </c>
      <c r="AQ137" t="str">
        <f>IF($A137="","",IF(Allocation!$N$2="VOL_EFF",$T137,IF(Allocation!$N$2="VOL_CLASS",$U137,$V137)))</f>
        <v/>
      </c>
      <c r="AR137" t="str">
        <f t="shared" si="56"/>
        <v/>
      </c>
      <c r="AS137" t="str">
        <f>IF($A137="","",$A137&amp;"|"&amp;Allocation!BG137)</f>
        <v/>
      </c>
    </row>
    <row r="138" spans="1:45" x14ac:dyDescent="0.45">
      <c r="A138" t="str">
        <f>IF(Allocation!BI138="","",Allocation!BI138)</f>
        <v/>
      </c>
      <c r="B138" t="str">
        <f>IF(Allocation!BJ138="","",Allocation!BJ138)</f>
        <v/>
      </c>
      <c r="C138" t="str">
        <f>IF(Allocation!BK138="","",Allocation!BK138)</f>
        <v/>
      </c>
      <c r="D138" t="str">
        <f>IF(Allocation!BL138="","",Allocation!BL138)</f>
        <v/>
      </c>
      <c r="E138" t="str">
        <f>IF(Allocation!BM138="","",Allocation!BM138)</f>
        <v/>
      </c>
      <c r="F138" t="str">
        <f>IF(Allocation!BN138="","",Allocation!BN138)</f>
        <v/>
      </c>
      <c r="G138" t="str">
        <f>IF(Allocation!BO138="","",Allocation!BO138)</f>
        <v/>
      </c>
      <c r="H138" t="str">
        <f>IF(Allocation!BP138="","",Allocation!BP138)</f>
        <v/>
      </c>
      <c r="I138" t="str">
        <f>IF(Allocation!BQ138="","",Allocation!BQ138)</f>
        <v/>
      </c>
      <c r="J138" t="str">
        <f>IF(Allocation!CC138="","",Allocation!CC138)</f>
        <v/>
      </c>
      <c r="K138" t="str">
        <f t="shared" si="38"/>
        <v/>
      </c>
      <c r="L138" t="str">
        <f t="shared" si="39"/>
        <v/>
      </c>
      <c r="M138" t="str">
        <f t="shared" si="40"/>
        <v/>
      </c>
      <c r="N138" t="str">
        <f t="shared" si="41"/>
        <v/>
      </c>
      <c r="O138" t="str">
        <f t="shared" si="42"/>
        <v/>
      </c>
      <c r="P138" t="str">
        <f t="shared" si="43"/>
        <v/>
      </c>
      <c r="Q138" t="str">
        <f t="shared" si="44"/>
        <v/>
      </c>
      <c r="R138" t="str">
        <f t="shared" si="45"/>
        <v/>
      </c>
      <c r="S138" t="str">
        <f t="shared" si="46"/>
        <v/>
      </c>
      <c r="T138" t="str">
        <f t="shared" si="47"/>
        <v/>
      </c>
      <c r="U138" t="str">
        <f t="shared" si="48"/>
        <v/>
      </c>
      <c r="V138" t="str">
        <f t="shared" si="49"/>
        <v/>
      </c>
      <c r="W138" t="str">
        <f>IF($A138="","",Allocation!CD138)</f>
        <v/>
      </c>
      <c r="X138" t="str">
        <f>IF($A138="","",Allocation!CE138)</f>
        <v/>
      </c>
      <c r="Y138" t="str">
        <f>IF($A138="","",Allocation!CF138)</f>
        <v/>
      </c>
      <c r="Z138" t="str">
        <f>IF($A138="","",Allocation!CG138)</f>
        <v/>
      </c>
      <c r="AA138" t="str">
        <f>IF($A138="","",Allocation!CH138)</f>
        <v/>
      </c>
      <c r="AB138" t="str">
        <f>IF($A138="","",Allocation!CI138)</f>
        <v/>
      </c>
      <c r="AC138" t="str">
        <f>IF($A138="","",IF(Allocation!$N$4="VOL_EFF",$G138,IF(Allocation!$N$4="VOL_CLASS",$H138,$I138)))</f>
        <v/>
      </c>
      <c r="AD138" t="str">
        <f>IF($A138="","",IF(Allocation!$N$4="VOL_EFF",$L138,IF(Allocation!$N$4="VOL_CLASS",$M138,$N138)))</f>
        <v/>
      </c>
      <c r="AE138" t="str">
        <f>IF($A138="","",IF(Allocation!$N$3="VOL_EFF",$L138,IF(Allocation!$N$3="VOL_CLASS",$M138,$N138)))</f>
        <v/>
      </c>
      <c r="AF138" t="str">
        <f>IF($A138="","",IF(Allocation!$N$3="VOL_EFF",$Q138,IF(Allocation!$N$3="VOL_CLASS",$R138,$S138)))</f>
        <v/>
      </c>
      <c r="AG138" t="str">
        <f>IF($A138="","",IF(Allocation!$N$1="VOL_EFF",$Q138,IF(Allocation!$N$1="VOL_CLASS",$R138,$S138)))</f>
        <v/>
      </c>
      <c r="AH138" t="str">
        <f>IF($A138="","",IF(Allocation!$N$1="VOL_EFF",$T138,IF(Allocation!$N$1="VOL_CLASS",$U138,$V138)))</f>
        <v/>
      </c>
      <c r="AI138" t="str">
        <f t="shared" si="50"/>
        <v/>
      </c>
      <c r="AJ138" t="str">
        <f t="shared" si="51"/>
        <v/>
      </c>
      <c r="AK138" t="str">
        <f t="shared" si="52"/>
        <v/>
      </c>
      <c r="AL138" t="str">
        <f t="shared" si="53"/>
        <v/>
      </c>
      <c r="AM138" t="str">
        <f t="shared" si="54"/>
        <v/>
      </c>
      <c r="AN138" t="str">
        <f t="shared" si="55"/>
        <v/>
      </c>
      <c r="AO138" t="str">
        <f>IF($A138="","",Allocation!CJ138)</f>
        <v/>
      </c>
      <c r="AP138" t="str">
        <f>IF($A138="","",IF(Allocation!$N$2="VOL_EFF",$Q138,IF(Allocation!$N$2="VOL_CLASS",$R138,$S138)))</f>
        <v/>
      </c>
      <c r="AQ138" t="str">
        <f>IF($A138="","",IF(Allocation!$N$2="VOL_EFF",$T138,IF(Allocation!$N$2="VOL_CLASS",$U138,$V138)))</f>
        <v/>
      </c>
      <c r="AR138" t="str">
        <f t="shared" si="56"/>
        <v/>
      </c>
      <c r="AS138" t="str">
        <f>IF($A138="","",$A138&amp;"|"&amp;Allocation!BG138)</f>
        <v/>
      </c>
    </row>
    <row r="139" spans="1:45" x14ac:dyDescent="0.45">
      <c r="A139" t="str">
        <f>IF(Allocation!BI139="","",Allocation!BI139)</f>
        <v/>
      </c>
      <c r="B139" t="str">
        <f>IF(Allocation!BJ139="","",Allocation!BJ139)</f>
        <v/>
      </c>
      <c r="C139" t="str">
        <f>IF(Allocation!BK139="","",Allocation!BK139)</f>
        <v/>
      </c>
      <c r="D139" t="str">
        <f>IF(Allocation!BL139="","",Allocation!BL139)</f>
        <v/>
      </c>
      <c r="E139" t="str">
        <f>IF(Allocation!BM139="","",Allocation!BM139)</f>
        <v/>
      </c>
      <c r="F139" t="str">
        <f>IF(Allocation!BN139="","",Allocation!BN139)</f>
        <v/>
      </c>
      <c r="G139" t="str">
        <f>IF(Allocation!BO139="","",Allocation!BO139)</f>
        <v/>
      </c>
      <c r="H139" t="str">
        <f>IF(Allocation!BP139="","",Allocation!BP139)</f>
        <v/>
      </c>
      <c r="I139" t="str">
        <f>IF(Allocation!BQ139="","",Allocation!BQ139)</f>
        <v/>
      </c>
      <c r="J139" t="str">
        <f>IF(Allocation!CC139="","",Allocation!CC139)</f>
        <v/>
      </c>
      <c r="K139" t="str">
        <f t="shared" si="38"/>
        <v/>
      </c>
      <c r="L139" t="str">
        <f t="shared" si="39"/>
        <v/>
      </c>
      <c r="M139" t="str">
        <f t="shared" si="40"/>
        <v/>
      </c>
      <c r="N139" t="str">
        <f t="shared" si="41"/>
        <v/>
      </c>
      <c r="O139" t="str">
        <f t="shared" si="42"/>
        <v/>
      </c>
      <c r="P139" t="str">
        <f t="shared" si="43"/>
        <v/>
      </c>
      <c r="Q139" t="str">
        <f t="shared" si="44"/>
        <v/>
      </c>
      <c r="R139" t="str">
        <f t="shared" si="45"/>
        <v/>
      </c>
      <c r="S139" t="str">
        <f t="shared" si="46"/>
        <v/>
      </c>
      <c r="T139" t="str">
        <f t="shared" si="47"/>
        <v/>
      </c>
      <c r="U139" t="str">
        <f t="shared" si="48"/>
        <v/>
      </c>
      <c r="V139" t="str">
        <f t="shared" si="49"/>
        <v/>
      </c>
      <c r="W139" t="str">
        <f>IF($A139="","",Allocation!CD139)</f>
        <v/>
      </c>
      <c r="X139" t="str">
        <f>IF($A139="","",Allocation!CE139)</f>
        <v/>
      </c>
      <c r="Y139" t="str">
        <f>IF($A139="","",Allocation!CF139)</f>
        <v/>
      </c>
      <c r="Z139" t="str">
        <f>IF($A139="","",Allocation!CG139)</f>
        <v/>
      </c>
      <c r="AA139" t="str">
        <f>IF($A139="","",Allocation!CH139)</f>
        <v/>
      </c>
      <c r="AB139" t="str">
        <f>IF($A139="","",Allocation!CI139)</f>
        <v/>
      </c>
      <c r="AC139" t="str">
        <f>IF($A139="","",IF(Allocation!$N$4="VOL_EFF",$G139,IF(Allocation!$N$4="VOL_CLASS",$H139,$I139)))</f>
        <v/>
      </c>
      <c r="AD139" t="str">
        <f>IF($A139="","",IF(Allocation!$N$4="VOL_EFF",$L139,IF(Allocation!$N$4="VOL_CLASS",$M139,$N139)))</f>
        <v/>
      </c>
      <c r="AE139" t="str">
        <f>IF($A139="","",IF(Allocation!$N$3="VOL_EFF",$L139,IF(Allocation!$N$3="VOL_CLASS",$M139,$N139)))</f>
        <v/>
      </c>
      <c r="AF139" t="str">
        <f>IF($A139="","",IF(Allocation!$N$3="VOL_EFF",$Q139,IF(Allocation!$N$3="VOL_CLASS",$R139,$S139)))</f>
        <v/>
      </c>
      <c r="AG139" t="str">
        <f>IF($A139="","",IF(Allocation!$N$1="VOL_EFF",$Q139,IF(Allocation!$N$1="VOL_CLASS",$R139,$S139)))</f>
        <v/>
      </c>
      <c r="AH139" t="str">
        <f>IF($A139="","",IF(Allocation!$N$1="VOL_EFF",$T139,IF(Allocation!$N$1="VOL_CLASS",$U139,$V139)))</f>
        <v/>
      </c>
      <c r="AI139" t="str">
        <f t="shared" si="50"/>
        <v/>
      </c>
      <c r="AJ139" t="str">
        <f t="shared" si="51"/>
        <v/>
      </c>
      <c r="AK139" t="str">
        <f t="shared" si="52"/>
        <v/>
      </c>
      <c r="AL139" t="str">
        <f t="shared" si="53"/>
        <v/>
      </c>
      <c r="AM139" t="str">
        <f t="shared" si="54"/>
        <v/>
      </c>
      <c r="AN139" t="str">
        <f t="shared" si="55"/>
        <v/>
      </c>
      <c r="AO139" t="str">
        <f>IF($A139="","",Allocation!CJ139)</f>
        <v/>
      </c>
      <c r="AP139" t="str">
        <f>IF($A139="","",IF(Allocation!$N$2="VOL_EFF",$Q139,IF(Allocation!$N$2="VOL_CLASS",$R139,$S139)))</f>
        <v/>
      </c>
      <c r="AQ139" t="str">
        <f>IF($A139="","",IF(Allocation!$N$2="VOL_EFF",$T139,IF(Allocation!$N$2="VOL_CLASS",$U139,$V139)))</f>
        <v/>
      </c>
      <c r="AR139" t="str">
        <f t="shared" si="56"/>
        <v/>
      </c>
      <c r="AS139" t="str">
        <f>IF($A139="","",$A139&amp;"|"&amp;Allocation!BG139)</f>
        <v/>
      </c>
    </row>
    <row r="140" spans="1:45" x14ac:dyDescent="0.45">
      <c r="A140" t="str">
        <f>IF(Allocation!BI140="","",Allocation!BI140)</f>
        <v/>
      </c>
      <c r="B140" t="str">
        <f>IF(Allocation!BJ140="","",Allocation!BJ140)</f>
        <v/>
      </c>
      <c r="C140" t="str">
        <f>IF(Allocation!BK140="","",Allocation!BK140)</f>
        <v/>
      </c>
      <c r="D140" t="str">
        <f>IF(Allocation!BL140="","",Allocation!BL140)</f>
        <v/>
      </c>
      <c r="E140" t="str">
        <f>IF(Allocation!BM140="","",Allocation!BM140)</f>
        <v/>
      </c>
      <c r="F140" t="str">
        <f>IF(Allocation!BN140="","",Allocation!BN140)</f>
        <v/>
      </c>
      <c r="G140" t="str">
        <f>IF(Allocation!BO140="","",Allocation!BO140)</f>
        <v/>
      </c>
      <c r="H140" t="str">
        <f>IF(Allocation!BP140="","",Allocation!BP140)</f>
        <v/>
      </c>
      <c r="I140" t="str">
        <f>IF(Allocation!BQ140="","",Allocation!BQ140)</f>
        <v/>
      </c>
      <c r="J140" t="str">
        <f>IF(Allocation!CC140="","",Allocation!CC140)</f>
        <v/>
      </c>
      <c r="K140" t="str">
        <f t="shared" si="38"/>
        <v/>
      </c>
      <c r="L140" t="str">
        <f t="shared" si="39"/>
        <v/>
      </c>
      <c r="M140" t="str">
        <f t="shared" si="40"/>
        <v/>
      </c>
      <c r="N140" t="str">
        <f t="shared" si="41"/>
        <v/>
      </c>
      <c r="O140" t="str">
        <f t="shared" si="42"/>
        <v/>
      </c>
      <c r="P140" t="str">
        <f t="shared" si="43"/>
        <v/>
      </c>
      <c r="Q140" t="str">
        <f t="shared" si="44"/>
        <v/>
      </c>
      <c r="R140" t="str">
        <f t="shared" si="45"/>
        <v/>
      </c>
      <c r="S140" t="str">
        <f t="shared" si="46"/>
        <v/>
      </c>
      <c r="T140" t="str">
        <f t="shared" si="47"/>
        <v/>
      </c>
      <c r="U140" t="str">
        <f t="shared" si="48"/>
        <v/>
      </c>
      <c r="V140" t="str">
        <f t="shared" si="49"/>
        <v/>
      </c>
      <c r="W140" t="str">
        <f>IF($A140="","",Allocation!CD140)</f>
        <v/>
      </c>
      <c r="X140" t="str">
        <f>IF($A140="","",Allocation!CE140)</f>
        <v/>
      </c>
      <c r="Y140" t="str">
        <f>IF($A140="","",Allocation!CF140)</f>
        <v/>
      </c>
      <c r="Z140" t="str">
        <f>IF($A140="","",Allocation!CG140)</f>
        <v/>
      </c>
      <c r="AA140" t="str">
        <f>IF($A140="","",Allocation!CH140)</f>
        <v/>
      </c>
      <c r="AB140" t="str">
        <f>IF($A140="","",Allocation!CI140)</f>
        <v/>
      </c>
      <c r="AC140" t="str">
        <f>IF($A140="","",IF(Allocation!$N$4="VOL_EFF",$G140,IF(Allocation!$N$4="VOL_CLASS",$H140,$I140)))</f>
        <v/>
      </c>
      <c r="AD140" t="str">
        <f>IF($A140="","",IF(Allocation!$N$4="VOL_EFF",$L140,IF(Allocation!$N$4="VOL_CLASS",$M140,$N140)))</f>
        <v/>
      </c>
      <c r="AE140" t="str">
        <f>IF($A140="","",IF(Allocation!$N$3="VOL_EFF",$L140,IF(Allocation!$N$3="VOL_CLASS",$M140,$N140)))</f>
        <v/>
      </c>
      <c r="AF140" t="str">
        <f>IF($A140="","",IF(Allocation!$N$3="VOL_EFF",$Q140,IF(Allocation!$N$3="VOL_CLASS",$R140,$S140)))</f>
        <v/>
      </c>
      <c r="AG140" t="str">
        <f>IF($A140="","",IF(Allocation!$N$1="VOL_EFF",$Q140,IF(Allocation!$N$1="VOL_CLASS",$R140,$S140)))</f>
        <v/>
      </c>
      <c r="AH140" t="str">
        <f>IF($A140="","",IF(Allocation!$N$1="VOL_EFF",$T140,IF(Allocation!$N$1="VOL_CLASS",$U140,$V140)))</f>
        <v/>
      </c>
      <c r="AI140" t="str">
        <f t="shared" si="50"/>
        <v/>
      </c>
      <c r="AJ140" t="str">
        <f t="shared" si="51"/>
        <v/>
      </c>
      <c r="AK140" t="str">
        <f t="shared" si="52"/>
        <v/>
      </c>
      <c r="AL140" t="str">
        <f t="shared" si="53"/>
        <v/>
      </c>
      <c r="AM140" t="str">
        <f t="shared" si="54"/>
        <v/>
      </c>
      <c r="AN140" t="str">
        <f t="shared" si="55"/>
        <v/>
      </c>
      <c r="AO140" t="str">
        <f>IF($A140="","",Allocation!CJ140)</f>
        <v/>
      </c>
      <c r="AP140" t="str">
        <f>IF($A140="","",IF(Allocation!$N$2="VOL_EFF",$Q140,IF(Allocation!$N$2="VOL_CLASS",$R140,$S140)))</f>
        <v/>
      </c>
      <c r="AQ140" t="str">
        <f>IF($A140="","",IF(Allocation!$N$2="VOL_EFF",$T140,IF(Allocation!$N$2="VOL_CLASS",$U140,$V140)))</f>
        <v/>
      </c>
      <c r="AR140" t="str">
        <f t="shared" si="56"/>
        <v/>
      </c>
      <c r="AS140" t="str">
        <f>IF($A140="","",$A140&amp;"|"&amp;Allocation!BG140)</f>
        <v/>
      </c>
    </row>
    <row r="141" spans="1:45" x14ac:dyDescent="0.45">
      <c r="A141" t="str">
        <f>IF(Allocation!BI141="","",Allocation!BI141)</f>
        <v/>
      </c>
      <c r="B141" t="str">
        <f>IF(Allocation!BJ141="","",Allocation!BJ141)</f>
        <v/>
      </c>
      <c r="C141" t="str">
        <f>IF(Allocation!BK141="","",Allocation!BK141)</f>
        <v/>
      </c>
      <c r="D141" t="str">
        <f>IF(Allocation!BL141="","",Allocation!BL141)</f>
        <v/>
      </c>
      <c r="E141" t="str">
        <f>IF(Allocation!BM141="","",Allocation!BM141)</f>
        <v/>
      </c>
      <c r="F141" t="str">
        <f>IF(Allocation!BN141="","",Allocation!BN141)</f>
        <v/>
      </c>
      <c r="G141" t="str">
        <f>IF(Allocation!BO141="","",Allocation!BO141)</f>
        <v/>
      </c>
      <c r="H141" t="str">
        <f>IF(Allocation!BP141="","",Allocation!BP141)</f>
        <v/>
      </c>
      <c r="I141" t="str">
        <f>IF(Allocation!BQ141="","",Allocation!BQ141)</f>
        <v/>
      </c>
      <c r="J141" t="str">
        <f>IF(Allocation!CC141="","",Allocation!CC141)</f>
        <v/>
      </c>
      <c r="K141" t="str">
        <f t="shared" si="38"/>
        <v/>
      </c>
      <c r="L141" t="str">
        <f t="shared" si="39"/>
        <v/>
      </c>
      <c r="M141" t="str">
        <f t="shared" si="40"/>
        <v/>
      </c>
      <c r="N141" t="str">
        <f t="shared" si="41"/>
        <v/>
      </c>
      <c r="O141" t="str">
        <f t="shared" si="42"/>
        <v/>
      </c>
      <c r="P141" t="str">
        <f t="shared" si="43"/>
        <v/>
      </c>
      <c r="Q141" t="str">
        <f t="shared" si="44"/>
        <v/>
      </c>
      <c r="R141" t="str">
        <f t="shared" si="45"/>
        <v/>
      </c>
      <c r="S141" t="str">
        <f t="shared" si="46"/>
        <v/>
      </c>
      <c r="T141" t="str">
        <f t="shared" si="47"/>
        <v/>
      </c>
      <c r="U141" t="str">
        <f t="shared" si="48"/>
        <v/>
      </c>
      <c r="V141" t="str">
        <f t="shared" si="49"/>
        <v/>
      </c>
      <c r="W141" t="str">
        <f>IF($A141="","",Allocation!CD141)</f>
        <v/>
      </c>
      <c r="X141" t="str">
        <f>IF($A141="","",Allocation!CE141)</f>
        <v/>
      </c>
      <c r="Y141" t="str">
        <f>IF($A141="","",Allocation!CF141)</f>
        <v/>
      </c>
      <c r="Z141" t="str">
        <f>IF($A141="","",Allocation!CG141)</f>
        <v/>
      </c>
      <c r="AA141" t="str">
        <f>IF($A141="","",Allocation!CH141)</f>
        <v/>
      </c>
      <c r="AB141" t="str">
        <f>IF($A141="","",Allocation!CI141)</f>
        <v/>
      </c>
      <c r="AC141" t="str">
        <f>IF($A141="","",IF(Allocation!$N$4="VOL_EFF",$G141,IF(Allocation!$N$4="VOL_CLASS",$H141,$I141)))</f>
        <v/>
      </c>
      <c r="AD141" t="str">
        <f>IF($A141="","",IF(Allocation!$N$4="VOL_EFF",$L141,IF(Allocation!$N$4="VOL_CLASS",$M141,$N141)))</f>
        <v/>
      </c>
      <c r="AE141" t="str">
        <f>IF($A141="","",IF(Allocation!$N$3="VOL_EFF",$L141,IF(Allocation!$N$3="VOL_CLASS",$M141,$N141)))</f>
        <v/>
      </c>
      <c r="AF141" t="str">
        <f>IF($A141="","",IF(Allocation!$N$3="VOL_EFF",$Q141,IF(Allocation!$N$3="VOL_CLASS",$R141,$S141)))</f>
        <v/>
      </c>
      <c r="AG141" t="str">
        <f>IF($A141="","",IF(Allocation!$N$1="VOL_EFF",$Q141,IF(Allocation!$N$1="VOL_CLASS",$R141,$S141)))</f>
        <v/>
      </c>
      <c r="AH141" t="str">
        <f>IF($A141="","",IF(Allocation!$N$1="VOL_EFF",$T141,IF(Allocation!$N$1="VOL_CLASS",$U141,$V141)))</f>
        <v/>
      </c>
      <c r="AI141" t="str">
        <f t="shared" si="50"/>
        <v/>
      </c>
      <c r="AJ141" t="str">
        <f t="shared" si="51"/>
        <v/>
      </c>
      <c r="AK141" t="str">
        <f t="shared" si="52"/>
        <v/>
      </c>
      <c r="AL141" t="str">
        <f t="shared" si="53"/>
        <v/>
      </c>
      <c r="AM141" t="str">
        <f t="shared" si="54"/>
        <v/>
      </c>
      <c r="AN141" t="str">
        <f t="shared" si="55"/>
        <v/>
      </c>
      <c r="AO141" t="str">
        <f>IF($A141="","",Allocation!CJ141)</f>
        <v/>
      </c>
      <c r="AP141" t="str">
        <f>IF($A141="","",IF(Allocation!$N$2="VOL_EFF",$Q141,IF(Allocation!$N$2="VOL_CLASS",$R141,$S141)))</f>
        <v/>
      </c>
      <c r="AQ141" t="str">
        <f>IF($A141="","",IF(Allocation!$N$2="VOL_EFF",$T141,IF(Allocation!$N$2="VOL_CLASS",$U141,$V141)))</f>
        <v/>
      </c>
      <c r="AR141" t="str">
        <f t="shared" si="56"/>
        <v/>
      </c>
      <c r="AS141" t="str">
        <f>IF($A141="","",$A141&amp;"|"&amp;Allocation!BG141)</f>
        <v/>
      </c>
    </row>
    <row r="142" spans="1:45" x14ac:dyDescent="0.45">
      <c r="A142" t="str">
        <f>IF(Allocation!BI142="","",Allocation!BI142)</f>
        <v/>
      </c>
      <c r="B142" t="str">
        <f>IF(Allocation!BJ142="","",Allocation!BJ142)</f>
        <v/>
      </c>
      <c r="C142" t="str">
        <f>IF(Allocation!BK142="","",Allocation!BK142)</f>
        <v/>
      </c>
      <c r="D142" t="str">
        <f>IF(Allocation!BL142="","",Allocation!BL142)</f>
        <v/>
      </c>
      <c r="E142" t="str">
        <f>IF(Allocation!BM142="","",Allocation!BM142)</f>
        <v/>
      </c>
      <c r="F142" t="str">
        <f>IF(Allocation!BN142="","",Allocation!BN142)</f>
        <v/>
      </c>
      <c r="G142" t="str">
        <f>IF(Allocation!BO142="","",Allocation!BO142)</f>
        <v/>
      </c>
      <c r="H142" t="str">
        <f>IF(Allocation!BP142="","",Allocation!BP142)</f>
        <v/>
      </c>
      <c r="I142" t="str">
        <f>IF(Allocation!BQ142="","",Allocation!BQ142)</f>
        <v/>
      </c>
      <c r="J142" t="str">
        <f>IF(Allocation!CC142="","",Allocation!CC142)</f>
        <v/>
      </c>
      <c r="K142" t="str">
        <f t="shared" si="38"/>
        <v/>
      </c>
      <c r="L142" t="str">
        <f t="shared" si="39"/>
        <v/>
      </c>
      <c r="M142" t="str">
        <f t="shared" si="40"/>
        <v/>
      </c>
      <c r="N142" t="str">
        <f t="shared" si="41"/>
        <v/>
      </c>
      <c r="O142" t="str">
        <f t="shared" si="42"/>
        <v/>
      </c>
      <c r="P142" t="str">
        <f t="shared" si="43"/>
        <v/>
      </c>
      <c r="Q142" t="str">
        <f t="shared" si="44"/>
        <v/>
      </c>
      <c r="R142" t="str">
        <f t="shared" si="45"/>
        <v/>
      </c>
      <c r="S142" t="str">
        <f t="shared" si="46"/>
        <v/>
      </c>
      <c r="T142" t="str">
        <f t="shared" si="47"/>
        <v/>
      </c>
      <c r="U142" t="str">
        <f t="shared" si="48"/>
        <v/>
      </c>
      <c r="V142" t="str">
        <f t="shared" si="49"/>
        <v/>
      </c>
      <c r="W142" t="str">
        <f>IF($A142="","",Allocation!CD142)</f>
        <v/>
      </c>
      <c r="X142" t="str">
        <f>IF($A142="","",Allocation!CE142)</f>
        <v/>
      </c>
      <c r="Y142" t="str">
        <f>IF($A142="","",Allocation!CF142)</f>
        <v/>
      </c>
      <c r="Z142" t="str">
        <f>IF($A142="","",Allocation!CG142)</f>
        <v/>
      </c>
      <c r="AA142" t="str">
        <f>IF($A142="","",Allocation!CH142)</f>
        <v/>
      </c>
      <c r="AB142" t="str">
        <f>IF($A142="","",Allocation!CI142)</f>
        <v/>
      </c>
      <c r="AC142" t="str">
        <f>IF($A142="","",IF(Allocation!$N$4="VOL_EFF",$G142,IF(Allocation!$N$4="VOL_CLASS",$H142,$I142)))</f>
        <v/>
      </c>
      <c r="AD142" t="str">
        <f>IF($A142="","",IF(Allocation!$N$4="VOL_EFF",$L142,IF(Allocation!$N$4="VOL_CLASS",$M142,$N142)))</f>
        <v/>
      </c>
      <c r="AE142" t="str">
        <f>IF($A142="","",IF(Allocation!$N$3="VOL_EFF",$L142,IF(Allocation!$N$3="VOL_CLASS",$M142,$N142)))</f>
        <v/>
      </c>
      <c r="AF142" t="str">
        <f>IF($A142="","",IF(Allocation!$N$3="VOL_EFF",$Q142,IF(Allocation!$N$3="VOL_CLASS",$R142,$S142)))</f>
        <v/>
      </c>
      <c r="AG142" t="str">
        <f>IF($A142="","",IF(Allocation!$N$1="VOL_EFF",$Q142,IF(Allocation!$N$1="VOL_CLASS",$R142,$S142)))</f>
        <v/>
      </c>
      <c r="AH142" t="str">
        <f>IF($A142="","",IF(Allocation!$N$1="VOL_EFF",$T142,IF(Allocation!$N$1="VOL_CLASS",$U142,$V142)))</f>
        <v/>
      </c>
      <c r="AI142" t="str">
        <f t="shared" si="50"/>
        <v/>
      </c>
      <c r="AJ142" t="str">
        <f t="shared" si="51"/>
        <v/>
      </c>
      <c r="AK142" t="str">
        <f t="shared" si="52"/>
        <v/>
      </c>
      <c r="AL142" t="str">
        <f t="shared" si="53"/>
        <v/>
      </c>
      <c r="AM142" t="str">
        <f t="shared" si="54"/>
        <v/>
      </c>
      <c r="AN142" t="str">
        <f t="shared" si="55"/>
        <v/>
      </c>
      <c r="AO142" t="str">
        <f>IF($A142="","",Allocation!CJ142)</f>
        <v/>
      </c>
      <c r="AP142" t="str">
        <f>IF($A142="","",IF(Allocation!$N$2="VOL_EFF",$Q142,IF(Allocation!$N$2="VOL_CLASS",$R142,$S142)))</f>
        <v/>
      </c>
      <c r="AQ142" t="str">
        <f>IF($A142="","",IF(Allocation!$N$2="VOL_EFF",$T142,IF(Allocation!$N$2="VOL_CLASS",$U142,$V142)))</f>
        <v/>
      </c>
      <c r="AR142" t="str">
        <f t="shared" si="56"/>
        <v/>
      </c>
      <c r="AS142" t="str">
        <f>IF($A142="","",$A142&amp;"|"&amp;Allocation!BG142)</f>
        <v/>
      </c>
    </row>
    <row r="143" spans="1:45" x14ac:dyDescent="0.45">
      <c r="A143" t="str">
        <f>IF(Allocation!BI143="","",Allocation!BI143)</f>
        <v/>
      </c>
      <c r="B143" t="str">
        <f>IF(Allocation!BJ143="","",Allocation!BJ143)</f>
        <v/>
      </c>
      <c r="C143" t="str">
        <f>IF(Allocation!BK143="","",Allocation!BK143)</f>
        <v/>
      </c>
      <c r="D143" t="str">
        <f>IF(Allocation!BL143="","",Allocation!BL143)</f>
        <v/>
      </c>
      <c r="E143" t="str">
        <f>IF(Allocation!BM143="","",Allocation!BM143)</f>
        <v/>
      </c>
      <c r="F143" t="str">
        <f>IF(Allocation!BN143="","",Allocation!BN143)</f>
        <v/>
      </c>
      <c r="G143" t="str">
        <f>IF(Allocation!BO143="","",Allocation!BO143)</f>
        <v/>
      </c>
      <c r="H143" t="str">
        <f>IF(Allocation!BP143="","",Allocation!BP143)</f>
        <v/>
      </c>
      <c r="I143" t="str">
        <f>IF(Allocation!BQ143="","",Allocation!BQ143)</f>
        <v/>
      </c>
      <c r="J143" t="str">
        <f>IF(Allocation!CC143="","",Allocation!CC143)</f>
        <v/>
      </c>
      <c r="K143" t="str">
        <f t="shared" si="38"/>
        <v/>
      </c>
      <c r="L143" t="str">
        <f t="shared" si="39"/>
        <v/>
      </c>
      <c r="M143" t="str">
        <f t="shared" si="40"/>
        <v/>
      </c>
      <c r="N143" t="str">
        <f t="shared" si="41"/>
        <v/>
      </c>
      <c r="O143" t="str">
        <f t="shared" si="42"/>
        <v/>
      </c>
      <c r="P143" t="str">
        <f t="shared" si="43"/>
        <v/>
      </c>
      <c r="Q143" t="str">
        <f t="shared" si="44"/>
        <v/>
      </c>
      <c r="R143" t="str">
        <f t="shared" si="45"/>
        <v/>
      </c>
      <c r="S143" t="str">
        <f t="shared" si="46"/>
        <v/>
      </c>
      <c r="T143" t="str">
        <f t="shared" si="47"/>
        <v/>
      </c>
      <c r="U143" t="str">
        <f t="shared" si="48"/>
        <v/>
      </c>
      <c r="V143" t="str">
        <f t="shared" si="49"/>
        <v/>
      </c>
      <c r="W143" t="str">
        <f>IF($A143="","",Allocation!CD143)</f>
        <v/>
      </c>
      <c r="X143" t="str">
        <f>IF($A143="","",Allocation!CE143)</f>
        <v/>
      </c>
      <c r="Y143" t="str">
        <f>IF($A143="","",Allocation!CF143)</f>
        <v/>
      </c>
      <c r="Z143" t="str">
        <f>IF($A143="","",Allocation!CG143)</f>
        <v/>
      </c>
      <c r="AA143" t="str">
        <f>IF($A143="","",Allocation!CH143)</f>
        <v/>
      </c>
      <c r="AB143" t="str">
        <f>IF($A143="","",Allocation!CI143)</f>
        <v/>
      </c>
      <c r="AC143" t="str">
        <f>IF($A143="","",IF(Allocation!$N$4="VOL_EFF",$G143,IF(Allocation!$N$4="VOL_CLASS",$H143,$I143)))</f>
        <v/>
      </c>
      <c r="AD143" t="str">
        <f>IF($A143="","",IF(Allocation!$N$4="VOL_EFF",$L143,IF(Allocation!$N$4="VOL_CLASS",$M143,$N143)))</f>
        <v/>
      </c>
      <c r="AE143" t="str">
        <f>IF($A143="","",IF(Allocation!$N$3="VOL_EFF",$L143,IF(Allocation!$N$3="VOL_CLASS",$M143,$N143)))</f>
        <v/>
      </c>
      <c r="AF143" t="str">
        <f>IF($A143="","",IF(Allocation!$N$3="VOL_EFF",$Q143,IF(Allocation!$N$3="VOL_CLASS",$R143,$S143)))</f>
        <v/>
      </c>
      <c r="AG143" t="str">
        <f>IF($A143="","",IF(Allocation!$N$1="VOL_EFF",$Q143,IF(Allocation!$N$1="VOL_CLASS",$R143,$S143)))</f>
        <v/>
      </c>
      <c r="AH143" t="str">
        <f>IF($A143="","",IF(Allocation!$N$1="VOL_EFF",$T143,IF(Allocation!$N$1="VOL_CLASS",$U143,$V143)))</f>
        <v/>
      </c>
      <c r="AI143" t="str">
        <f t="shared" si="50"/>
        <v/>
      </c>
      <c r="AJ143" t="str">
        <f t="shared" si="51"/>
        <v/>
      </c>
      <c r="AK143" t="str">
        <f t="shared" si="52"/>
        <v/>
      </c>
      <c r="AL143" t="str">
        <f t="shared" si="53"/>
        <v/>
      </c>
      <c r="AM143" t="str">
        <f t="shared" si="54"/>
        <v/>
      </c>
      <c r="AN143" t="str">
        <f t="shared" si="55"/>
        <v/>
      </c>
      <c r="AO143" t="str">
        <f>IF($A143="","",Allocation!CJ143)</f>
        <v/>
      </c>
      <c r="AP143" t="str">
        <f>IF($A143="","",IF(Allocation!$N$2="VOL_EFF",$Q143,IF(Allocation!$N$2="VOL_CLASS",$R143,$S143)))</f>
        <v/>
      </c>
      <c r="AQ143" t="str">
        <f>IF($A143="","",IF(Allocation!$N$2="VOL_EFF",$T143,IF(Allocation!$N$2="VOL_CLASS",$U143,$V143)))</f>
        <v/>
      </c>
      <c r="AR143" t="str">
        <f t="shared" si="56"/>
        <v/>
      </c>
      <c r="AS143" t="str">
        <f>IF($A143="","",$A143&amp;"|"&amp;Allocation!BG143)</f>
        <v/>
      </c>
    </row>
    <row r="144" spans="1:45" x14ac:dyDescent="0.45">
      <c r="A144" t="str">
        <f>IF(Allocation!BI144="","",Allocation!BI144)</f>
        <v/>
      </c>
      <c r="B144" t="str">
        <f>IF(Allocation!BJ144="","",Allocation!BJ144)</f>
        <v/>
      </c>
      <c r="C144" t="str">
        <f>IF(Allocation!BK144="","",Allocation!BK144)</f>
        <v/>
      </c>
      <c r="D144" t="str">
        <f>IF(Allocation!BL144="","",Allocation!BL144)</f>
        <v/>
      </c>
      <c r="E144" t="str">
        <f>IF(Allocation!BM144="","",Allocation!BM144)</f>
        <v/>
      </c>
      <c r="F144" t="str">
        <f>IF(Allocation!BN144="","",Allocation!BN144)</f>
        <v/>
      </c>
      <c r="G144" t="str">
        <f>IF(Allocation!BO144="","",Allocation!BO144)</f>
        <v/>
      </c>
      <c r="H144" t="str">
        <f>IF(Allocation!BP144="","",Allocation!BP144)</f>
        <v/>
      </c>
      <c r="I144" t="str">
        <f>IF(Allocation!BQ144="","",Allocation!BQ144)</f>
        <v/>
      </c>
      <c r="J144" t="str">
        <f>IF(Allocation!CC144="","",Allocation!CC144)</f>
        <v/>
      </c>
      <c r="K144" t="str">
        <f t="shared" si="38"/>
        <v/>
      </c>
      <c r="L144" t="str">
        <f t="shared" si="39"/>
        <v/>
      </c>
      <c r="M144" t="str">
        <f t="shared" si="40"/>
        <v/>
      </c>
      <c r="N144" t="str">
        <f t="shared" si="41"/>
        <v/>
      </c>
      <c r="O144" t="str">
        <f t="shared" si="42"/>
        <v/>
      </c>
      <c r="P144" t="str">
        <f t="shared" si="43"/>
        <v/>
      </c>
      <c r="Q144" t="str">
        <f t="shared" si="44"/>
        <v/>
      </c>
      <c r="R144" t="str">
        <f t="shared" si="45"/>
        <v/>
      </c>
      <c r="S144" t="str">
        <f t="shared" si="46"/>
        <v/>
      </c>
      <c r="T144" t="str">
        <f t="shared" si="47"/>
        <v/>
      </c>
      <c r="U144" t="str">
        <f t="shared" si="48"/>
        <v/>
      </c>
      <c r="V144" t="str">
        <f t="shared" si="49"/>
        <v/>
      </c>
      <c r="W144" t="str">
        <f>IF($A144="","",Allocation!CD144)</f>
        <v/>
      </c>
      <c r="X144" t="str">
        <f>IF($A144="","",Allocation!CE144)</f>
        <v/>
      </c>
      <c r="Y144" t="str">
        <f>IF($A144="","",Allocation!CF144)</f>
        <v/>
      </c>
      <c r="Z144" t="str">
        <f>IF($A144="","",Allocation!CG144)</f>
        <v/>
      </c>
      <c r="AA144" t="str">
        <f>IF($A144="","",Allocation!CH144)</f>
        <v/>
      </c>
      <c r="AB144" t="str">
        <f>IF($A144="","",Allocation!CI144)</f>
        <v/>
      </c>
      <c r="AC144" t="str">
        <f>IF($A144="","",IF(Allocation!$N$4="VOL_EFF",$G144,IF(Allocation!$N$4="VOL_CLASS",$H144,$I144)))</f>
        <v/>
      </c>
      <c r="AD144" t="str">
        <f>IF($A144="","",IF(Allocation!$N$4="VOL_EFF",$L144,IF(Allocation!$N$4="VOL_CLASS",$M144,$N144)))</f>
        <v/>
      </c>
      <c r="AE144" t="str">
        <f>IF($A144="","",IF(Allocation!$N$3="VOL_EFF",$L144,IF(Allocation!$N$3="VOL_CLASS",$M144,$N144)))</f>
        <v/>
      </c>
      <c r="AF144" t="str">
        <f>IF($A144="","",IF(Allocation!$N$3="VOL_EFF",$Q144,IF(Allocation!$N$3="VOL_CLASS",$R144,$S144)))</f>
        <v/>
      </c>
      <c r="AG144" t="str">
        <f>IF($A144="","",IF(Allocation!$N$1="VOL_EFF",$Q144,IF(Allocation!$N$1="VOL_CLASS",$R144,$S144)))</f>
        <v/>
      </c>
      <c r="AH144" t="str">
        <f>IF($A144="","",IF(Allocation!$N$1="VOL_EFF",$T144,IF(Allocation!$N$1="VOL_CLASS",$U144,$V144)))</f>
        <v/>
      </c>
      <c r="AI144" t="str">
        <f t="shared" si="50"/>
        <v/>
      </c>
      <c r="AJ144" t="str">
        <f t="shared" si="51"/>
        <v/>
      </c>
      <c r="AK144" t="str">
        <f t="shared" si="52"/>
        <v/>
      </c>
      <c r="AL144" t="str">
        <f t="shared" si="53"/>
        <v/>
      </c>
      <c r="AM144" t="str">
        <f t="shared" si="54"/>
        <v/>
      </c>
      <c r="AN144" t="str">
        <f t="shared" si="55"/>
        <v/>
      </c>
      <c r="AO144" t="str">
        <f>IF($A144="","",Allocation!CJ144)</f>
        <v/>
      </c>
      <c r="AP144" t="str">
        <f>IF($A144="","",IF(Allocation!$N$2="VOL_EFF",$Q144,IF(Allocation!$N$2="VOL_CLASS",$R144,$S144)))</f>
        <v/>
      </c>
      <c r="AQ144" t="str">
        <f>IF($A144="","",IF(Allocation!$N$2="VOL_EFF",$T144,IF(Allocation!$N$2="VOL_CLASS",$U144,$V144)))</f>
        <v/>
      </c>
      <c r="AR144" t="str">
        <f t="shared" si="56"/>
        <v/>
      </c>
      <c r="AS144" t="str">
        <f>IF($A144="","",$A144&amp;"|"&amp;Allocation!BG144)</f>
        <v/>
      </c>
    </row>
    <row r="145" spans="1:45" x14ac:dyDescent="0.45">
      <c r="A145" t="str">
        <f>IF(Allocation!BI145="","",Allocation!BI145)</f>
        <v/>
      </c>
      <c r="B145" t="str">
        <f>IF(Allocation!BJ145="","",Allocation!BJ145)</f>
        <v/>
      </c>
      <c r="C145" t="str">
        <f>IF(Allocation!BK145="","",Allocation!BK145)</f>
        <v/>
      </c>
      <c r="D145" t="str">
        <f>IF(Allocation!BL145="","",Allocation!BL145)</f>
        <v/>
      </c>
      <c r="E145" t="str">
        <f>IF(Allocation!BM145="","",Allocation!BM145)</f>
        <v/>
      </c>
      <c r="F145" t="str">
        <f>IF(Allocation!BN145="","",Allocation!BN145)</f>
        <v/>
      </c>
      <c r="G145" t="str">
        <f>IF(Allocation!BO145="","",Allocation!BO145)</f>
        <v/>
      </c>
      <c r="H145" t="str">
        <f>IF(Allocation!BP145="","",Allocation!BP145)</f>
        <v/>
      </c>
      <c r="I145" t="str">
        <f>IF(Allocation!BQ145="","",Allocation!BQ145)</f>
        <v/>
      </c>
      <c r="J145" t="str">
        <f>IF(Allocation!CC145="","",Allocation!CC145)</f>
        <v/>
      </c>
      <c r="K145" t="str">
        <f t="shared" si="38"/>
        <v/>
      </c>
      <c r="L145" t="str">
        <f t="shared" si="39"/>
        <v/>
      </c>
      <c r="M145" t="str">
        <f t="shared" si="40"/>
        <v/>
      </c>
      <c r="N145" t="str">
        <f t="shared" si="41"/>
        <v/>
      </c>
      <c r="O145" t="str">
        <f t="shared" si="42"/>
        <v/>
      </c>
      <c r="P145" t="str">
        <f t="shared" si="43"/>
        <v/>
      </c>
      <c r="Q145" t="str">
        <f t="shared" si="44"/>
        <v/>
      </c>
      <c r="R145" t="str">
        <f t="shared" si="45"/>
        <v/>
      </c>
      <c r="S145" t="str">
        <f t="shared" si="46"/>
        <v/>
      </c>
      <c r="T145" t="str">
        <f t="shared" si="47"/>
        <v/>
      </c>
      <c r="U145" t="str">
        <f t="shared" si="48"/>
        <v/>
      </c>
      <c r="V145" t="str">
        <f t="shared" si="49"/>
        <v/>
      </c>
      <c r="W145" t="str">
        <f>IF($A145="","",Allocation!CD145)</f>
        <v/>
      </c>
      <c r="X145" t="str">
        <f>IF($A145="","",Allocation!CE145)</f>
        <v/>
      </c>
      <c r="Y145" t="str">
        <f>IF($A145="","",Allocation!CF145)</f>
        <v/>
      </c>
      <c r="Z145" t="str">
        <f>IF($A145="","",Allocation!CG145)</f>
        <v/>
      </c>
      <c r="AA145" t="str">
        <f>IF($A145="","",Allocation!CH145)</f>
        <v/>
      </c>
      <c r="AB145" t="str">
        <f>IF($A145="","",Allocation!CI145)</f>
        <v/>
      </c>
      <c r="AC145" t="str">
        <f>IF($A145="","",IF(Allocation!$N$4="VOL_EFF",$G145,IF(Allocation!$N$4="VOL_CLASS",$H145,$I145)))</f>
        <v/>
      </c>
      <c r="AD145" t="str">
        <f>IF($A145="","",IF(Allocation!$N$4="VOL_EFF",$L145,IF(Allocation!$N$4="VOL_CLASS",$M145,$N145)))</f>
        <v/>
      </c>
      <c r="AE145" t="str">
        <f>IF($A145="","",IF(Allocation!$N$3="VOL_EFF",$L145,IF(Allocation!$N$3="VOL_CLASS",$M145,$N145)))</f>
        <v/>
      </c>
      <c r="AF145" t="str">
        <f>IF($A145="","",IF(Allocation!$N$3="VOL_EFF",$Q145,IF(Allocation!$N$3="VOL_CLASS",$R145,$S145)))</f>
        <v/>
      </c>
      <c r="AG145" t="str">
        <f>IF($A145="","",IF(Allocation!$N$1="VOL_EFF",$Q145,IF(Allocation!$N$1="VOL_CLASS",$R145,$S145)))</f>
        <v/>
      </c>
      <c r="AH145" t="str">
        <f>IF($A145="","",IF(Allocation!$N$1="VOL_EFF",$T145,IF(Allocation!$N$1="VOL_CLASS",$U145,$V145)))</f>
        <v/>
      </c>
      <c r="AI145" t="str">
        <f t="shared" si="50"/>
        <v/>
      </c>
      <c r="AJ145" t="str">
        <f t="shared" si="51"/>
        <v/>
      </c>
      <c r="AK145" t="str">
        <f t="shared" si="52"/>
        <v/>
      </c>
      <c r="AL145" t="str">
        <f t="shared" si="53"/>
        <v/>
      </c>
      <c r="AM145" t="str">
        <f t="shared" si="54"/>
        <v/>
      </c>
      <c r="AN145" t="str">
        <f t="shared" si="55"/>
        <v/>
      </c>
      <c r="AO145" t="str">
        <f>IF($A145="","",Allocation!CJ145)</f>
        <v/>
      </c>
      <c r="AP145" t="str">
        <f>IF($A145="","",IF(Allocation!$N$2="VOL_EFF",$Q145,IF(Allocation!$N$2="VOL_CLASS",$R145,$S145)))</f>
        <v/>
      </c>
      <c r="AQ145" t="str">
        <f>IF($A145="","",IF(Allocation!$N$2="VOL_EFF",$T145,IF(Allocation!$N$2="VOL_CLASS",$U145,$V145)))</f>
        <v/>
      </c>
      <c r="AR145" t="str">
        <f t="shared" si="56"/>
        <v/>
      </c>
      <c r="AS145" t="str">
        <f>IF($A145="","",$A145&amp;"|"&amp;Allocation!BG145)</f>
        <v/>
      </c>
    </row>
    <row r="146" spans="1:45" x14ac:dyDescent="0.45">
      <c r="A146" t="str">
        <f>IF(Allocation!BI146="","",Allocation!BI146)</f>
        <v/>
      </c>
      <c r="B146" t="str">
        <f>IF(Allocation!BJ146="","",Allocation!BJ146)</f>
        <v/>
      </c>
      <c r="C146" t="str">
        <f>IF(Allocation!BK146="","",Allocation!BK146)</f>
        <v/>
      </c>
      <c r="D146" t="str">
        <f>IF(Allocation!BL146="","",Allocation!BL146)</f>
        <v/>
      </c>
      <c r="E146" t="str">
        <f>IF(Allocation!BM146="","",Allocation!BM146)</f>
        <v/>
      </c>
      <c r="F146" t="str">
        <f>IF(Allocation!BN146="","",Allocation!BN146)</f>
        <v/>
      </c>
      <c r="G146" t="str">
        <f>IF(Allocation!BO146="","",Allocation!BO146)</f>
        <v/>
      </c>
      <c r="H146" t="str">
        <f>IF(Allocation!BP146="","",Allocation!BP146)</f>
        <v/>
      </c>
      <c r="I146" t="str">
        <f>IF(Allocation!BQ146="","",Allocation!BQ146)</f>
        <v/>
      </c>
      <c r="J146" t="str">
        <f>IF(Allocation!CC146="","",Allocation!CC146)</f>
        <v/>
      </c>
      <c r="K146" t="str">
        <f t="shared" si="38"/>
        <v/>
      </c>
      <c r="L146" t="str">
        <f t="shared" si="39"/>
        <v/>
      </c>
      <c r="M146" t="str">
        <f t="shared" si="40"/>
        <v/>
      </c>
      <c r="N146" t="str">
        <f t="shared" si="41"/>
        <v/>
      </c>
      <c r="O146" t="str">
        <f t="shared" si="42"/>
        <v/>
      </c>
      <c r="P146" t="str">
        <f t="shared" si="43"/>
        <v/>
      </c>
      <c r="Q146" t="str">
        <f t="shared" si="44"/>
        <v/>
      </c>
      <c r="R146" t="str">
        <f t="shared" si="45"/>
        <v/>
      </c>
      <c r="S146" t="str">
        <f t="shared" si="46"/>
        <v/>
      </c>
      <c r="T146" t="str">
        <f t="shared" si="47"/>
        <v/>
      </c>
      <c r="U146" t="str">
        <f t="shared" si="48"/>
        <v/>
      </c>
      <c r="V146" t="str">
        <f t="shared" si="49"/>
        <v/>
      </c>
      <c r="W146" t="str">
        <f>IF($A146="","",Allocation!CD146)</f>
        <v/>
      </c>
      <c r="X146" t="str">
        <f>IF($A146="","",Allocation!CE146)</f>
        <v/>
      </c>
      <c r="Y146" t="str">
        <f>IF($A146="","",Allocation!CF146)</f>
        <v/>
      </c>
      <c r="Z146" t="str">
        <f>IF($A146="","",Allocation!CG146)</f>
        <v/>
      </c>
      <c r="AA146" t="str">
        <f>IF($A146="","",Allocation!CH146)</f>
        <v/>
      </c>
      <c r="AB146" t="str">
        <f>IF($A146="","",Allocation!CI146)</f>
        <v/>
      </c>
      <c r="AC146" t="str">
        <f>IF($A146="","",IF(Allocation!$N$4="VOL_EFF",$G146,IF(Allocation!$N$4="VOL_CLASS",$H146,$I146)))</f>
        <v/>
      </c>
      <c r="AD146" t="str">
        <f>IF($A146="","",IF(Allocation!$N$4="VOL_EFF",$L146,IF(Allocation!$N$4="VOL_CLASS",$M146,$N146)))</f>
        <v/>
      </c>
      <c r="AE146" t="str">
        <f>IF($A146="","",IF(Allocation!$N$3="VOL_EFF",$L146,IF(Allocation!$N$3="VOL_CLASS",$M146,$N146)))</f>
        <v/>
      </c>
      <c r="AF146" t="str">
        <f>IF($A146="","",IF(Allocation!$N$3="VOL_EFF",$Q146,IF(Allocation!$N$3="VOL_CLASS",$R146,$S146)))</f>
        <v/>
      </c>
      <c r="AG146" t="str">
        <f>IF($A146="","",IF(Allocation!$N$1="VOL_EFF",$Q146,IF(Allocation!$N$1="VOL_CLASS",$R146,$S146)))</f>
        <v/>
      </c>
      <c r="AH146" t="str">
        <f>IF($A146="","",IF(Allocation!$N$1="VOL_EFF",$T146,IF(Allocation!$N$1="VOL_CLASS",$U146,$V146)))</f>
        <v/>
      </c>
      <c r="AI146" t="str">
        <f t="shared" si="50"/>
        <v/>
      </c>
      <c r="AJ146" t="str">
        <f t="shared" si="51"/>
        <v/>
      </c>
      <c r="AK146" t="str">
        <f t="shared" si="52"/>
        <v/>
      </c>
      <c r="AL146" t="str">
        <f t="shared" si="53"/>
        <v/>
      </c>
      <c r="AM146" t="str">
        <f t="shared" si="54"/>
        <v/>
      </c>
      <c r="AN146" t="str">
        <f t="shared" si="55"/>
        <v/>
      </c>
      <c r="AO146" t="str">
        <f>IF($A146="","",Allocation!CJ146)</f>
        <v/>
      </c>
      <c r="AP146" t="str">
        <f>IF($A146="","",IF(Allocation!$N$2="VOL_EFF",$Q146,IF(Allocation!$N$2="VOL_CLASS",$R146,$S146)))</f>
        <v/>
      </c>
      <c r="AQ146" t="str">
        <f>IF($A146="","",IF(Allocation!$N$2="VOL_EFF",$T146,IF(Allocation!$N$2="VOL_CLASS",$U146,$V146)))</f>
        <v/>
      </c>
      <c r="AR146" t="str">
        <f t="shared" si="56"/>
        <v/>
      </c>
      <c r="AS146" t="str">
        <f>IF($A146="","",$A146&amp;"|"&amp;Allocation!BG146)</f>
        <v/>
      </c>
    </row>
    <row r="147" spans="1:45" x14ac:dyDescent="0.45">
      <c r="A147" t="str">
        <f>IF(Allocation!BI147="","",Allocation!BI147)</f>
        <v/>
      </c>
      <c r="B147" t="str">
        <f>IF(Allocation!BJ147="","",Allocation!BJ147)</f>
        <v/>
      </c>
      <c r="C147" t="str">
        <f>IF(Allocation!BK147="","",Allocation!BK147)</f>
        <v/>
      </c>
      <c r="D147" t="str">
        <f>IF(Allocation!BL147="","",Allocation!BL147)</f>
        <v/>
      </c>
      <c r="E147" t="str">
        <f>IF(Allocation!BM147="","",Allocation!BM147)</f>
        <v/>
      </c>
      <c r="F147" t="str">
        <f>IF(Allocation!BN147="","",Allocation!BN147)</f>
        <v/>
      </c>
      <c r="G147" t="str">
        <f>IF(Allocation!BO147="","",Allocation!BO147)</f>
        <v/>
      </c>
      <c r="H147" t="str">
        <f>IF(Allocation!BP147="","",Allocation!BP147)</f>
        <v/>
      </c>
      <c r="I147" t="str">
        <f>IF(Allocation!BQ147="","",Allocation!BQ147)</f>
        <v/>
      </c>
      <c r="J147" t="str">
        <f>IF(Allocation!CC147="","",Allocation!CC147)</f>
        <v/>
      </c>
      <c r="K147" t="str">
        <f t="shared" si="38"/>
        <v/>
      </c>
      <c r="L147" t="str">
        <f t="shared" si="39"/>
        <v/>
      </c>
      <c r="M147" t="str">
        <f t="shared" si="40"/>
        <v/>
      </c>
      <c r="N147" t="str">
        <f t="shared" si="41"/>
        <v/>
      </c>
      <c r="O147" t="str">
        <f t="shared" si="42"/>
        <v/>
      </c>
      <c r="P147" t="str">
        <f t="shared" si="43"/>
        <v/>
      </c>
      <c r="Q147" t="str">
        <f t="shared" si="44"/>
        <v/>
      </c>
      <c r="R147" t="str">
        <f t="shared" si="45"/>
        <v/>
      </c>
      <c r="S147" t="str">
        <f t="shared" si="46"/>
        <v/>
      </c>
      <c r="T147" t="str">
        <f t="shared" si="47"/>
        <v/>
      </c>
      <c r="U147" t="str">
        <f t="shared" si="48"/>
        <v/>
      </c>
      <c r="V147" t="str">
        <f t="shared" si="49"/>
        <v/>
      </c>
      <c r="W147" t="str">
        <f>IF($A147="","",Allocation!CD147)</f>
        <v/>
      </c>
      <c r="X147" t="str">
        <f>IF($A147="","",Allocation!CE147)</f>
        <v/>
      </c>
      <c r="Y147" t="str">
        <f>IF($A147="","",Allocation!CF147)</f>
        <v/>
      </c>
      <c r="Z147" t="str">
        <f>IF($A147="","",Allocation!CG147)</f>
        <v/>
      </c>
      <c r="AA147" t="str">
        <f>IF($A147="","",Allocation!CH147)</f>
        <v/>
      </c>
      <c r="AB147" t="str">
        <f>IF($A147="","",Allocation!CI147)</f>
        <v/>
      </c>
      <c r="AC147" t="str">
        <f>IF($A147="","",IF(Allocation!$N$4="VOL_EFF",$G147,IF(Allocation!$N$4="VOL_CLASS",$H147,$I147)))</f>
        <v/>
      </c>
      <c r="AD147" t="str">
        <f>IF($A147="","",IF(Allocation!$N$4="VOL_EFF",$L147,IF(Allocation!$N$4="VOL_CLASS",$M147,$N147)))</f>
        <v/>
      </c>
      <c r="AE147" t="str">
        <f>IF($A147="","",IF(Allocation!$N$3="VOL_EFF",$L147,IF(Allocation!$N$3="VOL_CLASS",$M147,$N147)))</f>
        <v/>
      </c>
      <c r="AF147" t="str">
        <f>IF($A147="","",IF(Allocation!$N$3="VOL_EFF",$Q147,IF(Allocation!$N$3="VOL_CLASS",$R147,$S147)))</f>
        <v/>
      </c>
      <c r="AG147" t="str">
        <f>IF($A147="","",IF(Allocation!$N$1="VOL_EFF",$Q147,IF(Allocation!$N$1="VOL_CLASS",$R147,$S147)))</f>
        <v/>
      </c>
      <c r="AH147" t="str">
        <f>IF($A147="","",IF(Allocation!$N$1="VOL_EFF",$T147,IF(Allocation!$N$1="VOL_CLASS",$U147,$V147)))</f>
        <v/>
      </c>
      <c r="AI147" t="str">
        <f t="shared" si="50"/>
        <v/>
      </c>
      <c r="AJ147" t="str">
        <f t="shared" si="51"/>
        <v/>
      </c>
      <c r="AK147" t="str">
        <f t="shared" si="52"/>
        <v/>
      </c>
      <c r="AL147" t="str">
        <f t="shared" si="53"/>
        <v/>
      </c>
      <c r="AM147" t="str">
        <f t="shared" si="54"/>
        <v/>
      </c>
      <c r="AN147" t="str">
        <f t="shared" si="55"/>
        <v/>
      </c>
      <c r="AO147" t="str">
        <f>IF($A147="","",Allocation!CJ147)</f>
        <v/>
      </c>
      <c r="AP147" t="str">
        <f>IF($A147="","",IF(Allocation!$N$2="VOL_EFF",$Q147,IF(Allocation!$N$2="VOL_CLASS",$R147,$S147)))</f>
        <v/>
      </c>
      <c r="AQ147" t="str">
        <f>IF($A147="","",IF(Allocation!$N$2="VOL_EFF",$T147,IF(Allocation!$N$2="VOL_CLASS",$U147,$V147)))</f>
        <v/>
      </c>
      <c r="AR147" t="str">
        <f t="shared" si="56"/>
        <v/>
      </c>
      <c r="AS147" t="str">
        <f>IF($A147="","",$A147&amp;"|"&amp;Allocation!BG147)</f>
        <v/>
      </c>
    </row>
    <row r="148" spans="1:45" x14ac:dyDescent="0.45">
      <c r="A148" t="str">
        <f>IF(Allocation!BI148="","",Allocation!BI148)</f>
        <v/>
      </c>
      <c r="B148" t="str">
        <f>IF(Allocation!BJ148="","",Allocation!BJ148)</f>
        <v/>
      </c>
      <c r="C148" t="str">
        <f>IF(Allocation!BK148="","",Allocation!BK148)</f>
        <v/>
      </c>
      <c r="D148" t="str">
        <f>IF(Allocation!BL148="","",Allocation!BL148)</f>
        <v/>
      </c>
      <c r="E148" t="str">
        <f>IF(Allocation!BM148="","",Allocation!BM148)</f>
        <v/>
      </c>
      <c r="F148" t="str">
        <f>IF(Allocation!BN148="","",Allocation!BN148)</f>
        <v/>
      </c>
      <c r="G148" t="str">
        <f>IF(Allocation!BO148="","",Allocation!BO148)</f>
        <v/>
      </c>
      <c r="H148" t="str">
        <f>IF(Allocation!BP148="","",Allocation!BP148)</f>
        <v/>
      </c>
      <c r="I148" t="str">
        <f>IF(Allocation!BQ148="","",Allocation!BQ148)</f>
        <v/>
      </c>
      <c r="J148" t="str">
        <f>IF(Allocation!CC148="","",Allocation!CC148)</f>
        <v/>
      </c>
      <c r="K148" t="str">
        <f t="shared" si="38"/>
        <v/>
      </c>
      <c r="L148" t="str">
        <f t="shared" si="39"/>
        <v/>
      </c>
      <c r="M148" t="str">
        <f t="shared" si="40"/>
        <v/>
      </c>
      <c r="N148" t="str">
        <f t="shared" si="41"/>
        <v/>
      </c>
      <c r="O148" t="str">
        <f t="shared" si="42"/>
        <v/>
      </c>
      <c r="P148" t="str">
        <f t="shared" si="43"/>
        <v/>
      </c>
      <c r="Q148" t="str">
        <f t="shared" si="44"/>
        <v/>
      </c>
      <c r="R148" t="str">
        <f t="shared" si="45"/>
        <v/>
      </c>
      <c r="S148" t="str">
        <f t="shared" si="46"/>
        <v/>
      </c>
      <c r="T148" t="str">
        <f t="shared" si="47"/>
        <v/>
      </c>
      <c r="U148" t="str">
        <f t="shared" si="48"/>
        <v/>
      </c>
      <c r="V148" t="str">
        <f t="shared" si="49"/>
        <v/>
      </c>
      <c r="W148" t="str">
        <f>IF($A148="","",Allocation!CD148)</f>
        <v/>
      </c>
      <c r="X148" t="str">
        <f>IF($A148="","",Allocation!CE148)</f>
        <v/>
      </c>
      <c r="Y148" t="str">
        <f>IF($A148="","",Allocation!CF148)</f>
        <v/>
      </c>
      <c r="Z148" t="str">
        <f>IF($A148="","",Allocation!CG148)</f>
        <v/>
      </c>
      <c r="AA148" t="str">
        <f>IF($A148="","",Allocation!CH148)</f>
        <v/>
      </c>
      <c r="AB148" t="str">
        <f>IF($A148="","",Allocation!CI148)</f>
        <v/>
      </c>
      <c r="AC148" t="str">
        <f>IF($A148="","",IF(Allocation!$N$4="VOL_EFF",$G148,IF(Allocation!$N$4="VOL_CLASS",$H148,$I148)))</f>
        <v/>
      </c>
      <c r="AD148" t="str">
        <f>IF($A148="","",IF(Allocation!$N$4="VOL_EFF",$L148,IF(Allocation!$N$4="VOL_CLASS",$M148,$N148)))</f>
        <v/>
      </c>
      <c r="AE148" t="str">
        <f>IF($A148="","",IF(Allocation!$N$3="VOL_EFF",$L148,IF(Allocation!$N$3="VOL_CLASS",$M148,$N148)))</f>
        <v/>
      </c>
      <c r="AF148" t="str">
        <f>IF($A148="","",IF(Allocation!$N$3="VOL_EFF",$Q148,IF(Allocation!$N$3="VOL_CLASS",$R148,$S148)))</f>
        <v/>
      </c>
      <c r="AG148" t="str">
        <f>IF($A148="","",IF(Allocation!$N$1="VOL_EFF",$Q148,IF(Allocation!$N$1="VOL_CLASS",$R148,$S148)))</f>
        <v/>
      </c>
      <c r="AH148" t="str">
        <f>IF($A148="","",IF(Allocation!$N$1="VOL_EFF",$T148,IF(Allocation!$N$1="VOL_CLASS",$U148,$V148)))</f>
        <v/>
      </c>
      <c r="AI148" t="str">
        <f t="shared" si="50"/>
        <v/>
      </c>
      <c r="AJ148" t="str">
        <f t="shared" si="51"/>
        <v/>
      </c>
      <c r="AK148" t="str">
        <f t="shared" si="52"/>
        <v/>
      </c>
      <c r="AL148" t="str">
        <f t="shared" si="53"/>
        <v/>
      </c>
      <c r="AM148" t="str">
        <f t="shared" si="54"/>
        <v/>
      </c>
      <c r="AN148" t="str">
        <f t="shared" si="55"/>
        <v/>
      </c>
      <c r="AO148" t="str">
        <f>IF($A148="","",Allocation!CJ148)</f>
        <v/>
      </c>
      <c r="AP148" t="str">
        <f>IF($A148="","",IF(Allocation!$N$2="VOL_EFF",$Q148,IF(Allocation!$N$2="VOL_CLASS",$R148,$S148)))</f>
        <v/>
      </c>
      <c r="AQ148" t="str">
        <f>IF($A148="","",IF(Allocation!$N$2="VOL_EFF",$T148,IF(Allocation!$N$2="VOL_CLASS",$U148,$V148)))</f>
        <v/>
      </c>
      <c r="AR148" t="str">
        <f t="shared" si="56"/>
        <v/>
      </c>
      <c r="AS148" t="str">
        <f>IF($A148="","",$A148&amp;"|"&amp;Allocation!BG148)</f>
        <v/>
      </c>
    </row>
    <row r="149" spans="1:45" x14ac:dyDescent="0.45">
      <c r="A149" t="str">
        <f>IF(Allocation!BI149="","",Allocation!BI149)</f>
        <v/>
      </c>
      <c r="B149" t="str">
        <f>IF(Allocation!BJ149="","",Allocation!BJ149)</f>
        <v/>
      </c>
      <c r="C149" t="str">
        <f>IF(Allocation!BK149="","",Allocation!BK149)</f>
        <v/>
      </c>
      <c r="D149" t="str">
        <f>IF(Allocation!BL149="","",Allocation!BL149)</f>
        <v/>
      </c>
      <c r="E149" t="str">
        <f>IF(Allocation!BM149="","",Allocation!BM149)</f>
        <v/>
      </c>
      <c r="F149" t="str">
        <f>IF(Allocation!BN149="","",Allocation!BN149)</f>
        <v/>
      </c>
      <c r="G149" t="str">
        <f>IF(Allocation!BO149="","",Allocation!BO149)</f>
        <v/>
      </c>
      <c r="H149" t="str">
        <f>IF(Allocation!BP149="","",Allocation!BP149)</f>
        <v/>
      </c>
      <c r="I149" t="str">
        <f>IF(Allocation!BQ149="","",Allocation!BQ149)</f>
        <v/>
      </c>
      <c r="J149" t="str">
        <f>IF(Allocation!CC149="","",Allocation!CC149)</f>
        <v/>
      </c>
      <c r="K149" t="str">
        <f t="shared" si="38"/>
        <v/>
      </c>
      <c r="L149" t="str">
        <f t="shared" si="39"/>
        <v/>
      </c>
      <c r="M149" t="str">
        <f t="shared" si="40"/>
        <v/>
      </c>
      <c r="N149" t="str">
        <f t="shared" si="41"/>
        <v/>
      </c>
      <c r="O149" t="str">
        <f t="shared" si="42"/>
        <v/>
      </c>
      <c r="P149" t="str">
        <f t="shared" si="43"/>
        <v/>
      </c>
      <c r="Q149" t="str">
        <f t="shared" si="44"/>
        <v/>
      </c>
      <c r="R149" t="str">
        <f t="shared" si="45"/>
        <v/>
      </c>
      <c r="S149" t="str">
        <f t="shared" si="46"/>
        <v/>
      </c>
      <c r="T149" t="str">
        <f t="shared" si="47"/>
        <v/>
      </c>
      <c r="U149" t="str">
        <f t="shared" si="48"/>
        <v/>
      </c>
      <c r="V149" t="str">
        <f t="shared" si="49"/>
        <v/>
      </c>
      <c r="W149" t="str">
        <f>IF($A149="","",Allocation!CD149)</f>
        <v/>
      </c>
      <c r="X149" t="str">
        <f>IF($A149="","",Allocation!CE149)</f>
        <v/>
      </c>
      <c r="Y149" t="str">
        <f>IF($A149="","",Allocation!CF149)</f>
        <v/>
      </c>
      <c r="Z149" t="str">
        <f>IF($A149="","",Allocation!CG149)</f>
        <v/>
      </c>
      <c r="AA149" t="str">
        <f>IF($A149="","",Allocation!CH149)</f>
        <v/>
      </c>
      <c r="AB149" t="str">
        <f>IF($A149="","",Allocation!CI149)</f>
        <v/>
      </c>
      <c r="AC149" t="str">
        <f>IF($A149="","",IF(Allocation!$N$4="VOL_EFF",$G149,IF(Allocation!$N$4="VOL_CLASS",$H149,$I149)))</f>
        <v/>
      </c>
      <c r="AD149" t="str">
        <f>IF($A149="","",IF(Allocation!$N$4="VOL_EFF",$L149,IF(Allocation!$N$4="VOL_CLASS",$M149,$N149)))</f>
        <v/>
      </c>
      <c r="AE149" t="str">
        <f>IF($A149="","",IF(Allocation!$N$3="VOL_EFF",$L149,IF(Allocation!$N$3="VOL_CLASS",$M149,$N149)))</f>
        <v/>
      </c>
      <c r="AF149" t="str">
        <f>IF($A149="","",IF(Allocation!$N$3="VOL_EFF",$Q149,IF(Allocation!$N$3="VOL_CLASS",$R149,$S149)))</f>
        <v/>
      </c>
      <c r="AG149" t="str">
        <f>IF($A149="","",IF(Allocation!$N$1="VOL_EFF",$Q149,IF(Allocation!$N$1="VOL_CLASS",$R149,$S149)))</f>
        <v/>
      </c>
      <c r="AH149" t="str">
        <f>IF($A149="","",IF(Allocation!$N$1="VOL_EFF",$T149,IF(Allocation!$N$1="VOL_CLASS",$U149,$V149)))</f>
        <v/>
      </c>
      <c r="AI149" t="str">
        <f t="shared" si="50"/>
        <v/>
      </c>
      <c r="AJ149" t="str">
        <f t="shared" si="51"/>
        <v/>
      </c>
      <c r="AK149" t="str">
        <f t="shared" si="52"/>
        <v/>
      </c>
      <c r="AL149" t="str">
        <f t="shared" si="53"/>
        <v/>
      </c>
      <c r="AM149" t="str">
        <f t="shared" si="54"/>
        <v/>
      </c>
      <c r="AN149" t="str">
        <f t="shared" si="55"/>
        <v/>
      </c>
      <c r="AO149" t="str">
        <f>IF($A149="","",Allocation!CJ149)</f>
        <v/>
      </c>
      <c r="AP149" t="str">
        <f>IF($A149="","",IF(Allocation!$N$2="VOL_EFF",$Q149,IF(Allocation!$N$2="VOL_CLASS",$R149,$S149)))</f>
        <v/>
      </c>
      <c r="AQ149" t="str">
        <f>IF($A149="","",IF(Allocation!$N$2="VOL_EFF",$T149,IF(Allocation!$N$2="VOL_CLASS",$U149,$V149)))</f>
        <v/>
      </c>
      <c r="AR149" t="str">
        <f t="shared" si="56"/>
        <v/>
      </c>
      <c r="AS149" t="str">
        <f>IF($A149="","",$A149&amp;"|"&amp;Allocation!BG149)</f>
        <v/>
      </c>
    </row>
    <row r="150" spans="1:45" x14ac:dyDescent="0.45">
      <c r="A150" t="str">
        <f>IF(Allocation!BI150="","",Allocation!BI150)</f>
        <v/>
      </c>
      <c r="B150" t="str">
        <f>IF(Allocation!BJ150="","",Allocation!BJ150)</f>
        <v/>
      </c>
      <c r="C150" t="str">
        <f>IF(Allocation!BK150="","",Allocation!BK150)</f>
        <v/>
      </c>
      <c r="D150" t="str">
        <f>IF(Allocation!BL150="","",Allocation!BL150)</f>
        <v/>
      </c>
      <c r="E150" t="str">
        <f>IF(Allocation!BM150="","",Allocation!BM150)</f>
        <v/>
      </c>
      <c r="F150" t="str">
        <f>IF(Allocation!BN150="","",Allocation!BN150)</f>
        <v/>
      </c>
      <c r="G150" t="str">
        <f>IF(Allocation!BO150="","",Allocation!BO150)</f>
        <v/>
      </c>
      <c r="H150" t="str">
        <f>IF(Allocation!BP150="","",Allocation!BP150)</f>
        <v/>
      </c>
      <c r="I150" t="str">
        <f>IF(Allocation!BQ150="","",Allocation!BQ150)</f>
        <v/>
      </c>
      <c r="J150" t="str">
        <f>IF(Allocation!CC150="","",Allocation!CC150)</f>
        <v/>
      </c>
      <c r="K150" t="str">
        <f t="shared" si="38"/>
        <v/>
      </c>
      <c r="L150" t="str">
        <f t="shared" si="39"/>
        <v/>
      </c>
      <c r="M150" t="str">
        <f t="shared" si="40"/>
        <v/>
      </c>
      <c r="N150" t="str">
        <f t="shared" si="41"/>
        <v/>
      </c>
      <c r="O150" t="str">
        <f t="shared" si="42"/>
        <v/>
      </c>
      <c r="P150" t="str">
        <f t="shared" si="43"/>
        <v/>
      </c>
      <c r="Q150" t="str">
        <f t="shared" si="44"/>
        <v/>
      </c>
      <c r="R150" t="str">
        <f t="shared" si="45"/>
        <v/>
      </c>
      <c r="S150" t="str">
        <f t="shared" si="46"/>
        <v/>
      </c>
      <c r="T150" t="str">
        <f t="shared" si="47"/>
        <v/>
      </c>
      <c r="U150" t="str">
        <f t="shared" si="48"/>
        <v/>
      </c>
      <c r="V150" t="str">
        <f t="shared" si="49"/>
        <v/>
      </c>
      <c r="W150" t="str">
        <f>IF($A150="","",Allocation!CD150)</f>
        <v/>
      </c>
      <c r="X150" t="str">
        <f>IF($A150="","",Allocation!CE150)</f>
        <v/>
      </c>
      <c r="Y150" t="str">
        <f>IF($A150="","",Allocation!CF150)</f>
        <v/>
      </c>
      <c r="Z150" t="str">
        <f>IF($A150="","",Allocation!CG150)</f>
        <v/>
      </c>
      <c r="AA150" t="str">
        <f>IF($A150="","",Allocation!CH150)</f>
        <v/>
      </c>
      <c r="AB150" t="str">
        <f>IF($A150="","",Allocation!CI150)</f>
        <v/>
      </c>
      <c r="AC150" t="str">
        <f>IF($A150="","",IF(Allocation!$N$4="VOL_EFF",$G150,IF(Allocation!$N$4="VOL_CLASS",$H150,$I150)))</f>
        <v/>
      </c>
      <c r="AD150" t="str">
        <f>IF($A150="","",IF(Allocation!$N$4="VOL_EFF",$L150,IF(Allocation!$N$4="VOL_CLASS",$M150,$N150)))</f>
        <v/>
      </c>
      <c r="AE150" t="str">
        <f>IF($A150="","",IF(Allocation!$N$3="VOL_EFF",$L150,IF(Allocation!$N$3="VOL_CLASS",$M150,$N150)))</f>
        <v/>
      </c>
      <c r="AF150" t="str">
        <f>IF($A150="","",IF(Allocation!$N$3="VOL_EFF",$Q150,IF(Allocation!$N$3="VOL_CLASS",$R150,$S150)))</f>
        <v/>
      </c>
      <c r="AG150" t="str">
        <f>IF($A150="","",IF(Allocation!$N$1="VOL_EFF",$Q150,IF(Allocation!$N$1="VOL_CLASS",$R150,$S150)))</f>
        <v/>
      </c>
      <c r="AH150" t="str">
        <f>IF($A150="","",IF(Allocation!$N$1="VOL_EFF",$T150,IF(Allocation!$N$1="VOL_CLASS",$U150,$V150)))</f>
        <v/>
      </c>
      <c r="AI150" t="str">
        <f t="shared" si="50"/>
        <v/>
      </c>
      <c r="AJ150" t="str">
        <f t="shared" si="51"/>
        <v/>
      </c>
      <c r="AK150" t="str">
        <f t="shared" si="52"/>
        <v/>
      </c>
      <c r="AL150" t="str">
        <f t="shared" si="53"/>
        <v/>
      </c>
      <c r="AM150" t="str">
        <f t="shared" si="54"/>
        <v/>
      </c>
      <c r="AN150" t="str">
        <f t="shared" si="55"/>
        <v/>
      </c>
      <c r="AO150" t="str">
        <f>IF($A150="","",Allocation!CJ150)</f>
        <v/>
      </c>
      <c r="AP150" t="str">
        <f>IF($A150="","",IF(Allocation!$N$2="VOL_EFF",$Q150,IF(Allocation!$N$2="VOL_CLASS",$R150,$S150)))</f>
        <v/>
      </c>
      <c r="AQ150" t="str">
        <f>IF($A150="","",IF(Allocation!$N$2="VOL_EFF",$T150,IF(Allocation!$N$2="VOL_CLASS",$U150,$V150)))</f>
        <v/>
      </c>
      <c r="AR150" t="str">
        <f t="shared" si="56"/>
        <v/>
      </c>
      <c r="AS150" t="str">
        <f>IF($A150="","",$A150&amp;"|"&amp;Allocation!BG150)</f>
        <v/>
      </c>
    </row>
    <row r="151" spans="1:45" x14ac:dyDescent="0.45">
      <c r="A151" t="str">
        <f>IF(Allocation!BI151="","",Allocation!BI151)</f>
        <v/>
      </c>
      <c r="B151" t="str">
        <f>IF(Allocation!BJ151="","",Allocation!BJ151)</f>
        <v/>
      </c>
      <c r="C151" t="str">
        <f>IF(Allocation!BK151="","",Allocation!BK151)</f>
        <v/>
      </c>
      <c r="D151" t="str">
        <f>IF(Allocation!BL151="","",Allocation!BL151)</f>
        <v/>
      </c>
      <c r="E151" t="str">
        <f>IF(Allocation!BM151="","",Allocation!BM151)</f>
        <v/>
      </c>
      <c r="F151" t="str">
        <f>IF(Allocation!BN151="","",Allocation!BN151)</f>
        <v/>
      </c>
      <c r="G151" t="str">
        <f>IF(Allocation!BO151="","",Allocation!BO151)</f>
        <v/>
      </c>
      <c r="H151" t="str">
        <f>IF(Allocation!BP151="","",Allocation!BP151)</f>
        <v/>
      </c>
      <c r="I151" t="str">
        <f>IF(Allocation!BQ151="","",Allocation!BQ151)</f>
        <v/>
      </c>
      <c r="J151" t="str">
        <f>IF(Allocation!CC151="","",Allocation!CC151)</f>
        <v/>
      </c>
      <c r="K151" t="str">
        <f t="shared" si="38"/>
        <v/>
      </c>
      <c r="L151" t="str">
        <f t="shared" si="39"/>
        <v/>
      </c>
      <c r="M151" t="str">
        <f t="shared" si="40"/>
        <v/>
      </c>
      <c r="N151" t="str">
        <f t="shared" si="41"/>
        <v/>
      </c>
      <c r="O151" t="str">
        <f t="shared" si="42"/>
        <v/>
      </c>
      <c r="P151" t="str">
        <f t="shared" si="43"/>
        <v/>
      </c>
      <c r="Q151" t="str">
        <f t="shared" si="44"/>
        <v/>
      </c>
      <c r="R151" t="str">
        <f t="shared" si="45"/>
        <v/>
      </c>
      <c r="S151" t="str">
        <f t="shared" si="46"/>
        <v/>
      </c>
      <c r="T151" t="str">
        <f t="shared" si="47"/>
        <v/>
      </c>
      <c r="U151" t="str">
        <f t="shared" si="48"/>
        <v/>
      </c>
      <c r="V151" t="str">
        <f t="shared" si="49"/>
        <v/>
      </c>
      <c r="W151" t="str">
        <f>IF($A151="","",Allocation!CD151)</f>
        <v/>
      </c>
      <c r="X151" t="str">
        <f>IF($A151="","",Allocation!CE151)</f>
        <v/>
      </c>
      <c r="Y151" t="str">
        <f>IF($A151="","",Allocation!CF151)</f>
        <v/>
      </c>
      <c r="Z151" t="str">
        <f>IF($A151="","",Allocation!CG151)</f>
        <v/>
      </c>
      <c r="AA151" t="str">
        <f>IF($A151="","",Allocation!CH151)</f>
        <v/>
      </c>
      <c r="AB151" t="str">
        <f>IF($A151="","",Allocation!CI151)</f>
        <v/>
      </c>
      <c r="AC151" t="str">
        <f>IF($A151="","",IF(Allocation!$N$4="VOL_EFF",$G151,IF(Allocation!$N$4="VOL_CLASS",$H151,$I151)))</f>
        <v/>
      </c>
      <c r="AD151" t="str">
        <f>IF($A151="","",IF(Allocation!$N$4="VOL_EFF",$L151,IF(Allocation!$N$4="VOL_CLASS",$M151,$N151)))</f>
        <v/>
      </c>
      <c r="AE151" t="str">
        <f>IF($A151="","",IF(Allocation!$N$3="VOL_EFF",$L151,IF(Allocation!$N$3="VOL_CLASS",$M151,$N151)))</f>
        <v/>
      </c>
      <c r="AF151" t="str">
        <f>IF($A151="","",IF(Allocation!$N$3="VOL_EFF",$Q151,IF(Allocation!$N$3="VOL_CLASS",$R151,$S151)))</f>
        <v/>
      </c>
      <c r="AG151" t="str">
        <f>IF($A151="","",IF(Allocation!$N$1="VOL_EFF",$Q151,IF(Allocation!$N$1="VOL_CLASS",$R151,$S151)))</f>
        <v/>
      </c>
      <c r="AH151" t="str">
        <f>IF($A151="","",IF(Allocation!$N$1="VOL_EFF",$T151,IF(Allocation!$N$1="VOL_CLASS",$U151,$V151)))</f>
        <v/>
      </c>
      <c r="AI151" t="str">
        <f t="shared" si="50"/>
        <v/>
      </c>
      <c r="AJ151" t="str">
        <f t="shared" si="51"/>
        <v/>
      </c>
      <c r="AK151" t="str">
        <f t="shared" si="52"/>
        <v/>
      </c>
      <c r="AL151" t="str">
        <f t="shared" si="53"/>
        <v/>
      </c>
      <c r="AM151" t="str">
        <f t="shared" si="54"/>
        <v/>
      </c>
      <c r="AN151" t="str">
        <f t="shared" si="55"/>
        <v/>
      </c>
      <c r="AO151" t="str">
        <f>IF($A151="","",Allocation!CJ151)</f>
        <v/>
      </c>
      <c r="AP151" t="str">
        <f>IF($A151="","",IF(Allocation!$N$2="VOL_EFF",$Q151,IF(Allocation!$N$2="VOL_CLASS",$R151,$S151)))</f>
        <v/>
      </c>
      <c r="AQ151" t="str">
        <f>IF($A151="","",IF(Allocation!$N$2="VOL_EFF",$T151,IF(Allocation!$N$2="VOL_CLASS",$U151,$V151)))</f>
        <v/>
      </c>
      <c r="AR151" t="str">
        <f t="shared" si="56"/>
        <v/>
      </c>
      <c r="AS151" t="str">
        <f>IF($A151="","",$A151&amp;"|"&amp;Allocation!BG151)</f>
        <v/>
      </c>
    </row>
    <row r="152" spans="1:45" x14ac:dyDescent="0.45">
      <c r="A152" t="str">
        <f>IF(Allocation!BI152="","",Allocation!BI152)</f>
        <v/>
      </c>
      <c r="B152" t="str">
        <f>IF(Allocation!BJ152="","",Allocation!BJ152)</f>
        <v/>
      </c>
      <c r="C152" t="str">
        <f>IF(Allocation!BK152="","",Allocation!BK152)</f>
        <v/>
      </c>
      <c r="D152" t="str">
        <f>IF(Allocation!BL152="","",Allocation!BL152)</f>
        <v/>
      </c>
      <c r="E152" t="str">
        <f>IF(Allocation!BM152="","",Allocation!BM152)</f>
        <v/>
      </c>
      <c r="F152" t="str">
        <f>IF(Allocation!BN152="","",Allocation!BN152)</f>
        <v/>
      </c>
      <c r="G152" t="str">
        <f>IF(Allocation!BO152="","",Allocation!BO152)</f>
        <v/>
      </c>
      <c r="H152" t="str">
        <f>IF(Allocation!BP152="","",Allocation!BP152)</f>
        <v/>
      </c>
      <c r="I152" t="str">
        <f>IF(Allocation!BQ152="","",Allocation!BQ152)</f>
        <v/>
      </c>
      <c r="J152" t="str">
        <f>IF(Allocation!CC152="","",Allocation!CC152)</f>
        <v/>
      </c>
      <c r="K152" t="str">
        <f t="shared" si="38"/>
        <v/>
      </c>
      <c r="L152" t="str">
        <f t="shared" si="39"/>
        <v/>
      </c>
      <c r="M152" t="str">
        <f t="shared" si="40"/>
        <v/>
      </c>
      <c r="N152" t="str">
        <f t="shared" si="41"/>
        <v/>
      </c>
      <c r="O152" t="str">
        <f t="shared" si="42"/>
        <v/>
      </c>
      <c r="P152" t="str">
        <f t="shared" si="43"/>
        <v/>
      </c>
      <c r="Q152" t="str">
        <f t="shared" si="44"/>
        <v/>
      </c>
      <c r="R152" t="str">
        <f t="shared" si="45"/>
        <v/>
      </c>
      <c r="S152" t="str">
        <f t="shared" si="46"/>
        <v/>
      </c>
      <c r="T152" t="str">
        <f t="shared" si="47"/>
        <v/>
      </c>
      <c r="U152" t="str">
        <f t="shared" si="48"/>
        <v/>
      </c>
      <c r="V152" t="str">
        <f t="shared" si="49"/>
        <v/>
      </c>
      <c r="W152" t="str">
        <f>IF($A152="","",Allocation!CD152)</f>
        <v/>
      </c>
      <c r="X152" t="str">
        <f>IF($A152="","",Allocation!CE152)</f>
        <v/>
      </c>
      <c r="Y152" t="str">
        <f>IF($A152="","",Allocation!CF152)</f>
        <v/>
      </c>
      <c r="Z152" t="str">
        <f>IF($A152="","",Allocation!CG152)</f>
        <v/>
      </c>
      <c r="AA152" t="str">
        <f>IF($A152="","",Allocation!CH152)</f>
        <v/>
      </c>
      <c r="AB152" t="str">
        <f>IF($A152="","",Allocation!CI152)</f>
        <v/>
      </c>
      <c r="AC152" t="str">
        <f>IF($A152="","",IF(Allocation!$N$4="VOL_EFF",$G152,IF(Allocation!$N$4="VOL_CLASS",$H152,$I152)))</f>
        <v/>
      </c>
      <c r="AD152" t="str">
        <f>IF($A152="","",IF(Allocation!$N$4="VOL_EFF",$L152,IF(Allocation!$N$4="VOL_CLASS",$M152,$N152)))</f>
        <v/>
      </c>
      <c r="AE152" t="str">
        <f>IF($A152="","",IF(Allocation!$N$3="VOL_EFF",$L152,IF(Allocation!$N$3="VOL_CLASS",$M152,$N152)))</f>
        <v/>
      </c>
      <c r="AF152" t="str">
        <f>IF($A152="","",IF(Allocation!$N$3="VOL_EFF",$Q152,IF(Allocation!$N$3="VOL_CLASS",$R152,$S152)))</f>
        <v/>
      </c>
      <c r="AG152" t="str">
        <f>IF($A152="","",IF(Allocation!$N$1="VOL_EFF",$Q152,IF(Allocation!$N$1="VOL_CLASS",$R152,$S152)))</f>
        <v/>
      </c>
      <c r="AH152" t="str">
        <f>IF($A152="","",IF(Allocation!$N$1="VOL_EFF",$T152,IF(Allocation!$N$1="VOL_CLASS",$U152,$V152)))</f>
        <v/>
      </c>
      <c r="AI152" t="str">
        <f t="shared" si="50"/>
        <v/>
      </c>
      <c r="AJ152" t="str">
        <f t="shared" si="51"/>
        <v/>
      </c>
      <c r="AK152" t="str">
        <f t="shared" si="52"/>
        <v/>
      </c>
      <c r="AL152" t="str">
        <f t="shared" si="53"/>
        <v/>
      </c>
      <c r="AM152" t="str">
        <f t="shared" si="54"/>
        <v/>
      </c>
      <c r="AN152" t="str">
        <f t="shared" si="55"/>
        <v/>
      </c>
      <c r="AO152" t="str">
        <f>IF($A152="","",Allocation!CJ152)</f>
        <v/>
      </c>
      <c r="AP152" t="str">
        <f>IF($A152="","",IF(Allocation!$N$2="VOL_EFF",$Q152,IF(Allocation!$N$2="VOL_CLASS",$R152,$S152)))</f>
        <v/>
      </c>
      <c r="AQ152" t="str">
        <f>IF($A152="","",IF(Allocation!$N$2="VOL_EFF",$T152,IF(Allocation!$N$2="VOL_CLASS",$U152,$V152)))</f>
        <v/>
      </c>
      <c r="AR152" t="str">
        <f t="shared" si="56"/>
        <v/>
      </c>
      <c r="AS152" t="str">
        <f>IF($A152="","",$A152&amp;"|"&amp;Allocation!BG152)</f>
        <v/>
      </c>
    </row>
    <row r="153" spans="1:45" x14ac:dyDescent="0.45">
      <c r="A153" t="str">
        <f>IF(Allocation!BI153="","",Allocation!BI153)</f>
        <v/>
      </c>
      <c r="B153" t="str">
        <f>IF(Allocation!BJ153="","",Allocation!BJ153)</f>
        <v/>
      </c>
      <c r="C153" t="str">
        <f>IF(Allocation!BK153="","",Allocation!BK153)</f>
        <v/>
      </c>
      <c r="D153" t="str">
        <f>IF(Allocation!BL153="","",Allocation!BL153)</f>
        <v/>
      </c>
      <c r="E153" t="str">
        <f>IF(Allocation!BM153="","",Allocation!BM153)</f>
        <v/>
      </c>
      <c r="F153" t="str">
        <f>IF(Allocation!BN153="","",Allocation!BN153)</f>
        <v/>
      </c>
      <c r="G153" t="str">
        <f>IF(Allocation!BO153="","",Allocation!BO153)</f>
        <v/>
      </c>
      <c r="H153" t="str">
        <f>IF(Allocation!BP153="","",Allocation!BP153)</f>
        <v/>
      </c>
      <c r="I153" t="str">
        <f>IF(Allocation!BQ153="","",Allocation!BQ153)</f>
        <v/>
      </c>
      <c r="J153" t="str">
        <f>IF(Allocation!CC153="","",Allocation!CC153)</f>
        <v/>
      </c>
      <c r="K153" t="str">
        <f t="shared" si="38"/>
        <v/>
      </c>
      <c r="L153" t="str">
        <f t="shared" si="39"/>
        <v/>
      </c>
      <c r="M153" t="str">
        <f t="shared" si="40"/>
        <v/>
      </c>
      <c r="N153" t="str">
        <f t="shared" si="41"/>
        <v/>
      </c>
      <c r="O153" t="str">
        <f t="shared" si="42"/>
        <v/>
      </c>
      <c r="P153" t="str">
        <f t="shared" si="43"/>
        <v/>
      </c>
      <c r="Q153" t="str">
        <f t="shared" si="44"/>
        <v/>
      </c>
      <c r="R153" t="str">
        <f t="shared" si="45"/>
        <v/>
      </c>
      <c r="S153" t="str">
        <f t="shared" si="46"/>
        <v/>
      </c>
      <c r="T153" t="str">
        <f t="shared" si="47"/>
        <v/>
      </c>
      <c r="U153" t="str">
        <f t="shared" si="48"/>
        <v/>
      </c>
      <c r="V153" t="str">
        <f t="shared" si="49"/>
        <v/>
      </c>
      <c r="W153" t="str">
        <f>IF($A153="","",Allocation!CD153)</f>
        <v/>
      </c>
      <c r="X153" t="str">
        <f>IF($A153="","",Allocation!CE153)</f>
        <v/>
      </c>
      <c r="Y153" t="str">
        <f>IF($A153="","",Allocation!CF153)</f>
        <v/>
      </c>
      <c r="Z153" t="str">
        <f>IF($A153="","",Allocation!CG153)</f>
        <v/>
      </c>
      <c r="AA153" t="str">
        <f>IF($A153="","",Allocation!CH153)</f>
        <v/>
      </c>
      <c r="AB153" t="str">
        <f>IF($A153="","",Allocation!CI153)</f>
        <v/>
      </c>
      <c r="AC153" t="str">
        <f>IF($A153="","",IF(Allocation!$N$4="VOL_EFF",$G153,IF(Allocation!$N$4="VOL_CLASS",$H153,$I153)))</f>
        <v/>
      </c>
      <c r="AD153" t="str">
        <f>IF($A153="","",IF(Allocation!$N$4="VOL_EFF",$L153,IF(Allocation!$N$4="VOL_CLASS",$M153,$N153)))</f>
        <v/>
      </c>
      <c r="AE153" t="str">
        <f>IF($A153="","",IF(Allocation!$N$3="VOL_EFF",$L153,IF(Allocation!$N$3="VOL_CLASS",$M153,$N153)))</f>
        <v/>
      </c>
      <c r="AF153" t="str">
        <f>IF($A153="","",IF(Allocation!$N$3="VOL_EFF",$Q153,IF(Allocation!$N$3="VOL_CLASS",$R153,$S153)))</f>
        <v/>
      </c>
      <c r="AG153" t="str">
        <f>IF($A153="","",IF(Allocation!$N$1="VOL_EFF",$Q153,IF(Allocation!$N$1="VOL_CLASS",$R153,$S153)))</f>
        <v/>
      </c>
      <c r="AH153" t="str">
        <f>IF($A153="","",IF(Allocation!$N$1="VOL_EFF",$T153,IF(Allocation!$N$1="VOL_CLASS",$U153,$V153)))</f>
        <v/>
      </c>
      <c r="AI153" t="str">
        <f t="shared" si="50"/>
        <v/>
      </c>
      <c r="AJ153" t="str">
        <f t="shared" si="51"/>
        <v/>
      </c>
      <c r="AK153" t="str">
        <f t="shared" si="52"/>
        <v/>
      </c>
      <c r="AL153" t="str">
        <f t="shared" si="53"/>
        <v/>
      </c>
      <c r="AM153" t="str">
        <f t="shared" si="54"/>
        <v/>
      </c>
      <c r="AN153" t="str">
        <f t="shared" si="55"/>
        <v/>
      </c>
      <c r="AO153" t="str">
        <f>IF($A153="","",Allocation!CJ153)</f>
        <v/>
      </c>
      <c r="AP153" t="str">
        <f>IF($A153="","",IF(Allocation!$N$2="VOL_EFF",$Q153,IF(Allocation!$N$2="VOL_CLASS",$R153,$S153)))</f>
        <v/>
      </c>
      <c r="AQ153" t="str">
        <f>IF($A153="","",IF(Allocation!$N$2="VOL_EFF",$T153,IF(Allocation!$N$2="VOL_CLASS",$U153,$V153)))</f>
        <v/>
      </c>
      <c r="AR153" t="str">
        <f t="shared" si="56"/>
        <v/>
      </c>
      <c r="AS153" t="str">
        <f>IF($A153="","",$A153&amp;"|"&amp;Allocation!BG153)</f>
        <v/>
      </c>
    </row>
    <row r="154" spans="1:45" x14ac:dyDescent="0.45">
      <c r="A154" t="str">
        <f>IF(Allocation!BI154="","",Allocation!BI154)</f>
        <v/>
      </c>
      <c r="B154" t="str">
        <f>IF(Allocation!BJ154="","",Allocation!BJ154)</f>
        <v/>
      </c>
      <c r="C154" t="str">
        <f>IF(Allocation!BK154="","",Allocation!BK154)</f>
        <v/>
      </c>
      <c r="D154" t="str">
        <f>IF(Allocation!BL154="","",Allocation!BL154)</f>
        <v/>
      </c>
      <c r="E154" t="str">
        <f>IF(Allocation!BM154="","",Allocation!BM154)</f>
        <v/>
      </c>
      <c r="F154" t="str">
        <f>IF(Allocation!BN154="","",Allocation!BN154)</f>
        <v/>
      </c>
      <c r="G154" t="str">
        <f>IF(Allocation!BO154="","",Allocation!BO154)</f>
        <v/>
      </c>
      <c r="H154" t="str">
        <f>IF(Allocation!BP154="","",Allocation!BP154)</f>
        <v/>
      </c>
      <c r="I154" t="str">
        <f>IF(Allocation!BQ154="","",Allocation!BQ154)</f>
        <v/>
      </c>
      <c r="J154" t="str">
        <f>IF(Allocation!CC154="","",Allocation!CC154)</f>
        <v/>
      </c>
      <c r="K154" t="str">
        <f t="shared" si="38"/>
        <v/>
      </c>
      <c r="L154" t="str">
        <f t="shared" si="39"/>
        <v/>
      </c>
      <c r="M154" t="str">
        <f t="shared" si="40"/>
        <v/>
      </c>
      <c r="N154" t="str">
        <f t="shared" si="41"/>
        <v/>
      </c>
      <c r="O154" t="str">
        <f t="shared" si="42"/>
        <v/>
      </c>
      <c r="P154" t="str">
        <f t="shared" si="43"/>
        <v/>
      </c>
      <c r="Q154" t="str">
        <f t="shared" si="44"/>
        <v/>
      </c>
      <c r="R154" t="str">
        <f t="shared" si="45"/>
        <v/>
      </c>
      <c r="S154" t="str">
        <f t="shared" si="46"/>
        <v/>
      </c>
      <c r="T154" t="str">
        <f t="shared" si="47"/>
        <v/>
      </c>
      <c r="U154" t="str">
        <f t="shared" si="48"/>
        <v/>
      </c>
      <c r="V154" t="str">
        <f t="shared" si="49"/>
        <v/>
      </c>
      <c r="W154" t="str">
        <f>IF($A154="","",Allocation!CD154)</f>
        <v/>
      </c>
      <c r="X154" t="str">
        <f>IF($A154="","",Allocation!CE154)</f>
        <v/>
      </c>
      <c r="Y154" t="str">
        <f>IF($A154="","",Allocation!CF154)</f>
        <v/>
      </c>
      <c r="Z154" t="str">
        <f>IF($A154="","",Allocation!CG154)</f>
        <v/>
      </c>
      <c r="AA154" t="str">
        <f>IF($A154="","",Allocation!CH154)</f>
        <v/>
      </c>
      <c r="AB154" t="str">
        <f>IF($A154="","",Allocation!CI154)</f>
        <v/>
      </c>
      <c r="AC154" t="str">
        <f>IF($A154="","",IF(Allocation!$N$4="VOL_EFF",$G154,IF(Allocation!$N$4="VOL_CLASS",$H154,$I154)))</f>
        <v/>
      </c>
      <c r="AD154" t="str">
        <f>IF($A154="","",IF(Allocation!$N$4="VOL_EFF",$L154,IF(Allocation!$N$4="VOL_CLASS",$M154,$N154)))</f>
        <v/>
      </c>
      <c r="AE154" t="str">
        <f>IF($A154="","",IF(Allocation!$N$3="VOL_EFF",$L154,IF(Allocation!$N$3="VOL_CLASS",$M154,$N154)))</f>
        <v/>
      </c>
      <c r="AF154" t="str">
        <f>IF($A154="","",IF(Allocation!$N$3="VOL_EFF",$Q154,IF(Allocation!$N$3="VOL_CLASS",$R154,$S154)))</f>
        <v/>
      </c>
      <c r="AG154" t="str">
        <f>IF($A154="","",IF(Allocation!$N$1="VOL_EFF",$Q154,IF(Allocation!$N$1="VOL_CLASS",$R154,$S154)))</f>
        <v/>
      </c>
      <c r="AH154" t="str">
        <f>IF($A154="","",IF(Allocation!$N$1="VOL_EFF",$T154,IF(Allocation!$N$1="VOL_CLASS",$U154,$V154)))</f>
        <v/>
      </c>
      <c r="AI154" t="str">
        <f t="shared" si="50"/>
        <v/>
      </c>
      <c r="AJ154" t="str">
        <f t="shared" si="51"/>
        <v/>
      </c>
      <c r="AK154" t="str">
        <f t="shared" si="52"/>
        <v/>
      </c>
      <c r="AL154" t="str">
        <f t="shared" si="53"/>
        <v/>
      </c>
      <c r="AM154" t="str">
        <f t="shared" si="54"/>
        <v/>
      </c>
      <c r="AN154" t="str">
        <f t="shared" si="55"/>
        <v/>
      </c>
      <c r="AO154" t="str">
        <f>IF($A154="","",Allocation!CJ154)</f>
        <v/>
      </c>
      <c r="AP154" t="str">
        <f>IF($A154="","",IF(Allocation!$N$2="VOL_EFF",$Q154,IF(Allocation!$N$2="VOL_CLASS",$R154,$S154)))</f>
        <v/>
      </c>
      <c r="AQ154" t="str">
        <f>IF($A154="","",IF(Allocation!$N$2="VOL_EFF",$T154,IF(Allocation!$N$2="VOL_CLASS",$U154,$V154)))</f>
        <v/>
      </c>
      <c r="AR154" t="str">
        <f t="shared" si="56"/>
        <v/>
      </c>
      <c r="AS154" t="str">
        <f>IF($A154="","",$A154&amp;"|"&amp;Allocation!BG154)</f>
        <v/>
      </c>
    </row>
    <row r="155" spans="1:45" x14ac:dyDescent="0.45">
      <c r="A155" t="str">
        <f>IF(Allocation!BI155="","",Allocation!BI155)</f>
        <v/>
      </c>
      <c r="B155" t="str">
        <f>IF(Allocation!BJ155="","",Allocation!BJ155)</f>
        <v/>
      </c>
      <c r="C155" t="str">
        <f>IF(Allocation!BK155="","",Allocation!BK155)</f>
        <v/>
      </c>
      <c r="D155" t="str">
        <f>IF(Allocation!BL155="","",Allocation!BL155)</f>
        <v/>
      </c>
      <c r="E155" t="str">
        <f>IF(Allocation!BM155="","",Allocation!BM155)</f>
        <v/>
      </c>
      <c r="F155" t="str">
        <f>IF(Allocation!BN155="","",Allocation!BN155)</f>
        <v/>
      </c>
      <c r="G155" t="str">
        <f>IF(Allocation!BO155="","",Allocation!BO155)</f>
        <v/>
      </c>
      <c r="H155" t="str">
        <f>IF(Allocation!BP155="","",Allocation!BP155)</f>
        <v/>
      </c>
      <c r="I155" t="str">
        <f>IF(Allocation!BQ155="","",Allocation!BQ155)</f>
        <v/>
      </c>
      <c r="J155" t="str">
        <f>IF(Allocation!CC155="","",Allocation!CC155)</f>
        <v/>
      </c>
      <c r="K155" t="str">
        <f t="shared" si="38"/>
        <v/>
      </c>
      <c r="L155" t="str">
        <f t="shared" si="39"/>
        <v/>
      </c>
      <c r="M155" t="str">
        <f t="shared" si="40"/>
        <v/>
      </c>
      <c r="N155" t="str">
        <f t="shared" si="41"/>
        <v/>
      </c>
      <c r="O155" t="str">
        <f t="shared" si="42"/>
        <v/>
      </c>
      <c r="P155" t="str">
        <f t="shared" si="43"/>
        <v/>
      </c>
      <c r="Q155" t="str">
        <f t="shared" si="44"/>
        <v/>
      </c>
      <c r="R155" t="str">
        <f t="shared" si="45"/>
        <v/>
      </c>
      <c r="S155" t="str">
        <f t="shared" si="46"/>
        <v/>
      </c>
      <c r="T155" t="str">
        <f t="shared" si="47"/>
        <v/>
      </c>
      <c r="U155" t="str">
        <f t="shared" si="48"/>
        <v/>
      </c>
      <c r="V155" t="str">
        <f t="shared" si="49"/>
        <v/>
      </c>
      <c r="W155" t="str">
        <f>IF($A155="","",Allocation!CD155)</f>
        <v/>
      </c>
      <c r="X155" t="str">
        <f>IF($A155="","",Allocation!CE155)</f>
        <v/>
      </c>
      <c r="Y155" t="str">
        <f>IF($A155="","",Allocation!CF155)</f>
        <v/>
      </c>
      <c r="Z155" t="str">
        <f>IF($A155="","",Allocation!CG155)</f>
        <v/>
      </c>
      <c r="AA155" t="str">
        <f>IF($A155="","",Allocation!CH155)</f>
        <v/>
      </c>
      <c r="AB155" t="str">
        <f>IF($A155="","",Allocation!CI155)</f>
        <v/>
      </c>
      <c r="AC155" t="str">
        <f>IF($A155="","",IF(Allocation!$N$4="VOL_EFF",$G155,IF(Allocation!$N$4="VOL_CLASS",$H155,$I155)))</f>
        <v/>
      </c>
      <c r="AD155" t="str">
        <f>IF($A155="","",IF(Allocation!$N$4="VOL_EFF",$L155,IF(Allocation!$N$4="VOL_CLASS",$M155,$N155)))</f>
        <v/>
      </c>
      <c r="AE155" t="str">
        <f>IF($A155="","",IF(Allocation!$N$3="VOL_EFF",$L155,IF(Allocation!$N$3="VOL_CLASS",$M155,$N155)))</f>
        <v/>
      </c>
      <c r="AF155" t="str">
        <f>IF($A155="","",IF(Allocation!$N$3="VOL_EFF",$Q155,IF(Allocation!$N$3="VOL_CLASS",$R155,$S155)))</f>
        <v/>
      </c>
      <c r="AG155" t="str">
        <f>IF($A155="","",IF(Allocation!$N$1="VOL_EFF",$Q155,IF(Allocation!$N$1="VOL_CLASS",$R155,$S155)))</f>
        <v/>
      </c>
      <c r="AH155" t="str">
        <f>IF($A155="","",IF(Allocation!$N$1="VOL_EFF",$T155,IF(Allocation!$N$1="VOL_CLASS",$U155,$V155)))</f>
        <v/>
      </c>
      <c r="AI155" t="str">
        <f t="shared" si="50"/>
        <v/>
      </c>
      <c r="AJ155" t="str">
        <f t="shared" si="51"/>
        <v/>
      </c>
      <c r="AK155" t="str">
        <f t="shared" si="52"/>
        <v/>
      </c>
      <c r="AL155" t="str">
        <f t="shared" si="53"/>
        <v/>
      </c>
      <c r="AM155" t="str">
        <f t="shared" si="54"/>
        <v/>
      </c>
      <c r="AN155" t="str">
        <f t="shared" si="55"/>
        <v/>
      </c>
      <c r="AO155" t="str">
        <f>IF($A155="","",Allocation!CJ155)</f>
        <v/>
      </c>
      <c r="AP155" t="str">
        <f>IF($A155="","",IF(Allocation!$N$2="VOL_EFF",$Q155,IF(Allocation!$N$2="VOL_CLASS",$R155,$S155)))</f>
        <v/>
      </c>
      <c r="AQ155" t="str">
        <f>IF($A155="","",IF(Allocation!$N$2="VOL_EFF",$T155,IF(Allocation!$N$2="VOL_CLASS",$U155,$V155)))</f>
        <v/>
      </c>
      <c r="AR155" t="str">
        <f t="shared" si="56"/>
        <v/>
      </c>
      <c r="AS155" t="str">
        <f>IF($A155="","",$A155&amp;"|"&amp;Allocation!BG155)</f>
        <v/>
      </c>
    </row>
    <row r="156" spans="1:45" x14ac:dyDescent="0.45">
      <c r="A156" t="str">
        <f>IF(Allocation!BI156="","",Allocation!BI156)</f>
        <v/>
      </c>
      <c r="B156" t="str">
        <f>IF(Allocation!BJ156="","",Allocation!BJ156)</f>
        <v/>
      </c>
      <c r="C156" t="str">
        <f>IF(Allocation!BK156="","",Allocation!BK156)</f>
        <v/>
      </c>
      <c r="D156" t="str">
        <f>IF(Allocation!BL156="","",Allocation!BL156)</f>
        <v/>
      </c>
      <c r="E156" t="str">
        <f>IF(Allocation!BM156="","",Allocation!BM156)</f>
        <v/>
      </c>
      <c r="F156" t="str">
        <f>IF(Allocation!BN156="","",Allocation!BN156)</f>
        <v/>
      </c>
      <c r="G156" t="str">
        <f>IF(Allocation!BO156="","",Allocation!BO156)</f>
        <v/>
      </c>
      <c r="H156" t="str">
        <f>IF(Allocation!BP156="","",Allocation!BP156)</f>
        <v/>
      </c>
      <c r="I156" t="str">
        <f>IF(Allocation!BQ156="","",Allocation!BQ156)</f>
        <v/>
      </c>
      <c r="J156" t="str">
        <f>IF(Allocation!CC156="","",Allocation!CC156)</f>
        <v/>
      </c>
      <c r="K156" t="str">
        <f t="shared" si="38"/>
        <v/>
      </c>
      <c r="L156" t="str">
        <f t="shared" si="39"/>
        <v/>
      </c>
      <c r="M156" t="str">
        <f t="shared" si="40"/>
        <v/>
      </c>
      <c r="N156" t="str">
        <f t="shared" si="41"/>
        <v/>
      </c>
      <c r="O156" t="str">
        <f t="shared" si="42"/>
        <v/>
      </c>
      <c r="P156" t="str">
        <f t="shared" si="43"/>
        <v/>
      </c>
      <c r="Q156" t="str">
        <f t="shared" si="44"/>
        <v/>
      </c>
      <c r="R156" t="str">
        <f t="shared" si="45"/>
        <v/>
      </c>
      <c r="S156" t="str">
        <f t="shared" si="46"/>
        <v/>
      </c>
      <c r="T156" t="str">
        <f t="shared" si="47"/>
        <v/>
      </c>
      <c r="U156" t="str">
        <f t="shared" si="48"/>
        <v/>
      </c>
      <c r="V156" t="str">
        <f t="shared" si="49"/>
        <v/>
      </c>
      <c r="W156" t="str">
        <f>IF($A156="","",Allocation!CD156)</f>
        <v/>
      </c>
      <c r="X156" t="str">
        <f>IF($A156="","",Allocation!CE156)</f>
        <v/>
      </c>
      <c r="Y156" t="str">
        <f>IF($A156="","",Allocation!CF156)</f>
        <v/>
      </c>
      <c r="Z156" t="str">
        <f>IF($A156="","",Allocation!CG156)</f>
        <v/>
      </c>
      <c r="AA156" t="str">
        <f>IF($A156="","",Allocation!CH156)</f>
        <v/>
      </c>
      <c r="AB156" t="str">
        <f>IF($A156="","",Allocation!CI156)</f>
        <v/>
      </c>
      <c r="AC156" t="str">
        <f>IF($A156="","",IF(Allocation!$N$4="VOL_EFF",$G156,IF(Allocation!$N$4="VOL_CLASS",$H156,$I156)))</f>
        <v/>
      </c>
      <c r="AD156" t="str">
        <f>IF($A156="","",IF(Allocation!$N$4="VOL_EFF",$L156,IF(Allocation!$N$4="VOL_CLASS",$M156,$N156)))</f>
        <v/>
      </c>
      <c r="AE156" t="str">
        <f>IF($A156="","",IF(Allocation!$N$3="VOL_EFF",$L156,IF(Allocation!$N$3="VOL_CLASS",$M156,$N156)))</f>
        <v/>
      </c>
      <c r="AF156" t="str">
        <f>IF($A156="","",IF(Allocation!$N$3="VOL_EFF",$Q156,IF(Allocation!$N$3="VOL_CLASS",$R156,$S156)))</f>
        <v/>
      </c>
      <c r="AG156" t="str">
        <f>IF($A156="","",IF(Allocation!$N$1="VOL_EFF",$Q156,IF(Allocation!$N$1="VOL_CLASS",$R156,$S156)))</f>
        <v/>
      </c>
      <c r="AH156" t="str">
        <f>IF($A156="","",IF(Allocation!$N$1="VOL_EFF",$T156,IF(Allocation!$N$1="VOL_CLASS",$U156,$V156)))</f>
        <v/>
      </c>
      <c r="AI156" t="str">
        <f t="shared" si="50"/>
        <v/>
      </c>
      <c r="AJ156" t="str">
        <f t="shared" si="51"/>
        <v/>
      </c>
      <c r="AK156" t="str">
        <f t="shared" si="52"/>
        <v/>
      </c>
      <c r="AL156" t="str">
        <f t="shared" si="53"/>
        <v/>
      </c>
      <c r="AM156" t="str">
        <f t="shared" si="54"/>
        <v/>
      </c>
      <c r="AN156" t="str">
        <f t="shared" si="55"/>
        <v/>
      </c>
      <c r="AO156" t="str">
        <f>IF($A156="","",Allocation!CJ156)</f>
        <v/>
      </c>
      <c r="AP156" t="str">
        <f>IF($A156="","",IF(Allocation!$N$2="VOL_EFF",$Q156,IF(Allocation!$N$2="VOL_CLASS",$R156,$S156)))</f>
        <v/>
      </c>
      <c r="AQ156" t="str">
        <f>IF($A156="","",IF(Allocation!$N$2="VOL_EFF",$T156,IF(Allocation!$N$2="VOL_CLASS",$U156,$V156)))</f>
        <v/>
      </c>
      <c r="AR156" t="str">
        <f t="shared" si="56"/>
        <v/>
      </c>
      <c r="AS156" t="str">
        <f>IF($A156="","",$A156&amp;"|"&amp;Allocation!BG156)</f>
        <v/>
      </c>
    </row>
    <row r="157" spans="1:45" x14ac:dyDescent="0.45">
      <c r="A157" t="str">
        <f>IF(Allocation!BI157="","",Allocation!BI157)</f>
        <v/>
      </c>
      <c r="B157" t="str">
        <f>IF(Allocation!BJ157="","",Allocation!BJ157)</f>
        <v/>
      </c>
      <c r="C157" t="str">
        <f>IF(Allocation!BK157="","",Allocation!BK157)</f>
        <v/>
      </c>
      <c r="D157" t="str">
        <f>IF(Allocation!BL157="","",Allocation!BL157)</f>
        <v/>
      </c>
      <c r="E157" t="str">
        <f>IF(Allocation!BM157="","",Allocation!BM157)</f>
        <v/>
      </c>
      <c r="F157" t="str">
        <f>IF(Allocation!BN157="","",Allocation!BN157)</f>
        <v/>
      </c>
      <c r="G157" t="str">
        <f>IF(Allocation!BO157="","",Allocation!BO157)</f>
        <v/>
      </c>
      <c r="H157" t="str">
        <f>IF(Allocation!BP157="","",Allocation!BP157)</f>
        <v/>
      </c>
      <c r="I157" t="str">
        <f>IF(Allocation!BQ157="","",Allocation!BQ157)</f>
        <v/>
      </c>
      <c r="J157" t="str">
        <f>IF(Allocation!CC157="","",Allocation!CC157)</f>
        <v/>
      </c>
      <c r="K157" t="str">
        <f t="shared" si="38"/>
        <v/>
      </c>
      <c r="L157" t="str">
        <f t="shared" si="39"/>
        <v/>
      </c>
      <c r="M157" t="str">
        <f t="shared" si="40"/>
        <v/>
      </c>
      <c r="N157" t="str">
        <f t="shared" si="41"/>
        <v/>
      </c>
      <c r="O157" t="str">
        <f t="shared" si="42"/>
        <v/>
      </c>
      <c r="P157" t="str">
        <f t="shared" si="43"/>
        <v/>
      </c>
      <c r="Q157" t="str">
        <f t="shared" si="44"/>
        <v/>
      </c>
      <c r="R157" t="str">
        <f t="shared" si="45"/>
        <v/>
      </c>
      <c r="S157" t="str">
        <f t="shared" si="46"/>
        <v/>
      </c>
      <c r="T157" t="str">
        <f t="shared" si="47"/>
        <v/>
      </c>
      <c r="U157" t="str">
        <f t="shared" si="48"/>
        <v/>
      </c>
      <c r="V157" t="str">
        <f t="shared" si="49"/>
        <v/>
      </c>
      <c r="W157" t="str">
        <f>IF($A157="","",Allocation!CD157)</f>
        <v/>
      </c>
      <c r="X157" t="str">
        <f>IF($A157="","",Allocation!CE157)</f>
        <v/>
      </c>
      <c r="Y157" t="str">
        <f>IF($A157="","",Allocation!CF157)</f>
        <v/>
      </c>
      <c r="Z157" t="str">
        <f>IF($A157="","",Allocation!CG157)</f>
        <v/>
      </c>
      <c r="AA157" t="str">
        <f>IF($A157="","",Allocation!CH157)</f>
        <v/>
      </c>
      <c r="AB157" t="str">
        <f>IF($A157="","",Allocation!CI157)</f>
        <v/>
      </c>
      <c r="AC157" t="str">
        <f>IF($A157="","",IF(Allocation!$N$4="VOL_EFF",$G157,IF(Allocation!$N$4="VOL_CLASS",$H157,$I157)))</f>
        <v/>
      </c>
      <c r="AD157" t="str">
        <f>IF($A157="","",IF(Allocation!$N$4="VOL_EFF",$L157,IF(Allocation!$N$4="VOL_CLASS",$M157,$N157)))</f>
        <v/>
      </c>
      <c r="AE157" t="str">
        <f>IF($A157="","",IF(Allocation!$N$3="VOL_EFF",$L157,IF(Allocation!$N$3="VOL_CLASS",$M157,$N157)))</f>
        <v/>
      </c>
      <c r="AF157" t="str">
        <f>IF($A157="","",IF(Allocation!$N$3="VOL_EFF",$Q157,IF(Allocation!$N$3="VOL_CLASS",$R157,$S157)))</f>
        <v/>
      </c>
      <c r="AG157" t="str">
        <f>IF($A157="","",IF(Allocation!$N$1="VOL_EFF",$Q157,IF(Allocation!$N$1="VOL_CLASS",$R157,$S157)))</f>
        <v/>
      </c>
      <c r="AH157" t="str">
        <f>IF($A157="","",IF(Allocation!$N$1="VOL_EFF",$T157,IF(Allocation!$N$1="VOL_CLASS",$U157,$V157)))</f>
        <v/>
      </c>
      <c r="AI157" t="str">
        <f t="shared" si="50"/>
        <v/>
      </c>
      <c r="AJ157" t="str">
        <f t="shared" si="51"/>
        <v/>
      </c>
      <c r="AK157" t="str">
        <f t="shared" si="52"/>
        <v/>
      </c>
      <c r="AL157" t="str">
        <f t="shared" si="53"/>
        <v/>
      </c>
      <c r="AM157" t="str">
        <f t="shared" si="54"/>
        <v/>
      </c>
      <c r="AN157" t="str">
        <f t="shared" si="55"/>
        <v/>
      </c>
      <c r="AO157" t="str">
        <f>IF($A157="","",Allocation!CJ157)</f>
        <v/>
      </c>
      <c r="AP157" t="str">
        <f>IF($A157="","",IF(Allocation!$N$2="VOL_EFF",$Q157,IF(Allocation!$N$2="VOL_CLASS",$R157,$S157)))</f>
        <v/>
      </c>
      <c r="AQ157" t="str">
        <f>IF($A157="","",IF(Allocation!$N$2="VOL_EFF",$T157,IF(Allocation!$N$2="VOL_CLASS",$U157,$V157)))</f>
        <v/>
      </c>
      <c r="AR157" t="str">
        <f t="shared" si="56"/>
        <v/>
      </c>
      <c r="AS157" t="str">
        <f>IF($A157="","",$A157&amp;"|"&amp;Allocation!BG157)</f>
        <v/>
      </c>
    </row>
    <row r="158" spans="1:45" x14ac:dyDescent="0.45">
      <c r="A158" t="str">
        <f>IF(Allocation!BI158="","",Allocation!BI158)</f>
        <v/>
      </c>
      <c r="B158" t="str">
        <f>IF(Allocation!BJ158="","",Allocation!BJ158)</f>
        <v/>
      </c>
      <c r="C158" t="str">
        <f>IF(Allocation!BK158="","",Allocation!BK158)</f>
        <v/>
      </c>
      <c r="D158" t="str">
        <f>IF(Allocation!BL158="","",Allocation!BL158)</f>
        <v/>
      </c>
      <c r="E158" t="str">
        <f>IF(Allocation!BM158="","",Allocation!BM158)</f>
        <v/>
      </c>
      <c r="F158" t="str">
        <f>IF(Allocation!BN158="","",Allocation!BN158)</f>
        <v/>
      </c>
      <c r="G158" t="str">
        <f>IF(Allocation!BO158="","",Allocation!BO158)</f>
        <v/>
      </c>
      <c r="H158" t="str">
        <f>IF(Allocation!BP158="","",Allocation!BP158)</f>
        <v/>
      </c>
      <c r="I158" t="str">
        <f>IF(Allocation!BQ158="","",Allocation!BQ158)</f>
        <v/>
      </c>
      <c r="J158" t="str">
        <f>IF(Allocation!CC158="","",Allocation!CC158)</f>
        <v/>
      </c>
      <c r="K158" t="str">
        <f t="shared" si="38"/>
        <v/>
      </c>
      <c r="L158" t="str">
        <f t="shared" si="39"/>
        <v/>
      </c>
      <c r="M158" t="str">
        <f t="shared" si="40"/>
        <v/>
      </c>
      <c r="N158" t="str">
        <f t="shared" si="41"/>
        <v/>
      </c>
      <c r="O158" t="str">
        <f t="shared" si="42"/>
        <v/>
      </c>
      <c r="P158" t="str">
        <f t="shared" si="43"/>
        <v/>
      </c>
      <c r="Q158" t="str">
        <f t="shared" si="44"/>
        <v/>
      </c>
      <c r="R158" t="str">
        <f t="shared" si="45"/>
        <v/>
      </c>
      <c r="S158" t="str">
        <f t="shared" si="46"/>
        <v/>
      </c>
      <c r="T158" t="str">
        <f t="shared" si="47"/>
        <v/>
      </c>
      <c r="U158" t="str">
        <f t="shared" si="48"/>
        <v/>
      </c>
      <c r="V158" t="str">
        <f t="shared" si="49"/>
        <v/>
      </c>
      <c r="W158" t="str">
        <f>IF($A158="","",Allocation!CD158)</f>
        <v/>
      </c>
      <c r="X158" t="str">
        <f>IF($A158="","",Allocation!CE158)</f>
        <v/>
      </c>
      <c r="Y158" t="str">
        <f>IF($A158="","",Allocation!CF158)</f>
        <v/>
      </c>
      <c r="Z158" t="str">
        <f>IF($A158="","",Allocation!CG158)</f>
        <v/>
      </c>
      <c r="AA158" t="str">
        <f>IF($A158="","",Allocation!CH158)</f>
        <v/>
      </c>
      <c r="AB158" t="str">
        <f>IF($A158="","",Allocation!CI158)</f>
        <v/>
      </c>
      <c r="AC158" t="str">
        <f>IF($A158="","",IF(Allocation!$N$4="VOL_EFF",$G158,IF(Allocation!$N$4="VOL_CLASS",$H158,$I158)))</f>
        <v/>
      </c>
      <c r="AD158" t="str">
        <f>IF($A158="","",IF(Allocation!$N$4="VOL_EFF",$L158,IF(Allocation!$N$4="VOL_CLASS",$M158,$N158)))</f>
        <v/>
      </c>
      <c r="AE158" t="str">
        <f>IF($A158="","",IF(Allocation!$N$3="VOL_EFF",$L158,IF(Allocation!$N$3="VOL_CLASS",$M158,$N158)))</f>
        <v/>
      </c>
      <c r="AF158" t="str">
        <f>IF($A158="","",IF(Allocation!$N$3="VOL_EFF",$Q158,IF(Allocation!$N$3="VOL_CLASS",$R158,$S158)))</f>
        <v/>
      </c>
      <c r="AG158" t="str">
        <f>IF($A158="","",IF(Allocation!$N$1="VOL_EFF",$Q158,IF(Allocation!$N$1="VOL_CLASS",$R158,$S158)))</f>
        <v/>
      </c>
      <c r="AH158" t="str">
        <f>IF($A158="","",IF(Allocation!$N$1="VOL_EFF",$T158,IF(Allocation!$N$1="VOL_CLASS",$U158,$V158)))</f>
        <v/>
      </c>
      <c r="AI158" t="str">
        <f t="shared" si="50"/>
        <v/>
      </c>
      <c r="AJ158" t="str">
        <f t="shared" si="51"/>
        <v/>
      </c>
      <c r="AK158" t="str">
        <f t="shared" si="52"/>
        <v/>
      </c>
      <c r="AL158" t="str">
        <f t="shared" si="53"/>
        <v/>
      </c>
      <c r="AM158" t="str">
        <f t="shared" si="54"/>
        <v/>
      </c>
      <c r="AN158" t="str">
        <f t="shared" si="55"/>
        <v/>
      </c>
      <c r="AO158" t="str">
        <f>IF($A158="","",Allocation!CJ158)</f>
        <v/>
      </c>
      <c r="AP158" t="str">
        <f>IF($A158="","",IF(Allocation!$N$2="VOL_EFF",$Q158,IF(Allocation!$N$2="VOL_CLASS",$R158,$S158)))</f>
        <v/>
      </c>
      <c r="AQ158" t="str">
        <f>IF($A158="","",IF(Allocation!$N$2="VOL_EFF",$T158,IF(Allocation!$N$2="VOL_CLASS",$U158,$V158)))</f>
        <v/>
      </c>
      <c r="AR158" t="str">
        <f t="shared" si="56"/>
        <v/>
      </c>
      <c r="AS158" t="str">
        <f>IF($A158="","",$A158&amp;"|"&amp;Allocation!BG158)</f>
        <v/>
      </c>
    </row>
    <row r="159" spans="1:45" x14ac:dyDescent="0.45">
      <c r="A159" t="str">
        <f>IF(Allocation!BI159="","",Allocation!BI159)</f>
        <v/>
      </c>
      <c r="B159" t="str">
        <f>IF(Allocation!BJ159="","",Allocation!BJ159)</f>
        <v/>
      </c>
      <c r="C159" t="str">
        <f>IF(Allocation!BK159="","",Allocation!BK159)</f>
        <v/>
      </c>
      <c r="D159" t="str">
        <f>IF(Allocation!BL159="","",Allocation!BL159)</f>
        <v/>
      </c>
      <c r="E159" t="str">
        <f>IF(Allocation!BM159="","",Allocation!BM159)</f>
        <v/>
      </c>
      <c r="F159" t="str">
        <f>IF(Allocation!BN159="","",Allocation!BN159)</f>
        <v/>
      </c>
      <c r="G159" t="str">
        <f>IF(Allocation!BO159="","",Allocation!BO159)</f>
        <v/>
      </c>
      <c r="H159" t="str">
        <f>IF(Allocation!BP159="","",Allocation!BP159)</f>
        <v/>
      </c>
      <c r="I159" t="str">
        <f>IF(Allocation!BQ159="","",Allocation!BQ159)</f>
        <v/>
      </c>
      <c r="J159" t="str">
        <f>IF(Allocation!CC159="","",Allocation!CC159)</f>
        <v/>
      </c>
      <c r="K159" t="str">
        <f t="shared" si="38"/>
        <v/>
      </c>
      <c r="L159" t="str">
        <f t="shared" si="39"/>
        <v/>
      </c>
      <c r="M159" t="str">
        <f t="shared" si="40"/>
        <v/>
      </c>
      <c r="N159" t="str">
        <f t="shared" si="41"/>
        <v/>
      </c>
      <c r="O159" t="str">
        <f t="shared" si="42"/>
        <v/>
      </c>
      <c r="P159" t="str">
        <f t="shared" si="43"/>
        <v/>
      </c>
      <c r="Q159" t="str">
        <f t="shared" si="44"/>
        <v/>
      </c>
      <c r="R159" t="str">
        <f t="shared" si="45"/>
        <v/>
      </c>
      <c r="S159" t="str">
        <f t="shared" si="46"/>
        <v/>
      </c>
      <c r="T159" t="str">
        <f t="shared" si="47"/>
        <v/>
      </c>
      <c r="U159" t="str">
        <f t="shared" si="48"/>
        <v/>
      </c>
      <c r="V159" t="str">
        <f t="shared" si="49"/>
        <v/>
      </c>
      <c r="W159" t="str">
        <f>IF($A159="","",Allocation!CD159)</f>
        <v/>
      </c>
      <c r="X159" t="str">
        <f>IF($A159="","",Allocation!CE159)</f>
        <v/>
      </c>
      <c r="Y159" t="str">
        <f>IF($A159="","",Allocation!CF159)</f>
        <v/>
      </c>
      <c r="Z159" t="str">
        <f>IF($A159="","",Allocation!CG159)</f>
        <v/>
      </c>
      <c r="AA159" t="str">
        <f>IF($A159="","",Allocation!CH159)</f>
        <v/>
      </c>
      <c r="AB159" t="str">
        <f>IF($A159="","",Allocation!CI159)</f>
        <v/>
      </c>
      <c r="AC159" t="str">
        <f>IF($A159="","",IF(Allocation!$N$4="VOL_EFF",$G159,IF(Allocation!$N$4="VOL_CLASS",$H159,$I159)))</f>
        <v/>
      </c>
      <c r="AD159" t="str">
        <f>IF($A159="","",IF(Allocation!$N$4="VOL_EFF",$L159,IF(Allocation!$N$4="VOL_CLASS",$M159,$N159)))</f>
        <v/>
      </c>
      <c r="AE159" t="str">
        <f>IF($A159="","",IF(Allocation!$N$3="VOL_EFF",$L159,IF(Allocation!$N$3="VOL_CLASS",$M159,$N159)))</f>
        <v/>
      </c>
      <c r="AF159" t="str">
        <f>IF($A159="","",IF(Allocation!$N$3="VOL_EFF",$Q159,IF(Allocation!$N$3="VOL_CLASS",$R159,$S159)))</f>
        <v/>
      </c>
      <c r="AG159" t="str">
        <f>IF($A159="","",IF(Allocation!$N$1="VOL_EFF",$Q159,IF(Allocation!$N$1="VOL_CLASS",$R159,$S159)))</f>
        <v/>
      </c>
      <c r="AH159" t="str">
        <f>IF($A159="","",IF(Allocation!$N$1="VOL_EFF",$T159,IF(Allocation!$N$1="VOL_CLASS",$U159,$V159)))</f>
        <v/>
      </c>
      <c r="AI159" t="str">
        <f t="shared" si="50"/>
        <v/>
      </c>
      <c r="AJ159" t="str">
        <f t="shared" si="51"/>
        <v/>
      </c>
      <c r="AK159" t="str">
        <f t="shared" si="52"/>
        <v/>
      </c>
      <c r="AL159" t="str">
        <f t="shared" si="53"/>
        <v/>
      </c>
      <c r="AM159" t="str">
        <f t="shared" si="54"/>
        <v/>
      </c>
      <c r="AN159" t="str">
        <f t="shared" si="55"/>
        <v/>
      </c>
      <c r="AO159" t="str">
        <f>IF($A159="","",Allocation!CJ159)</f>
        <v/>
      </c>
      <c r="AP159" t="str">
        <f>IF($A159="","",IF(Allocation!$N$2="VOL_EFF",$Q159,IF(Allocation!$N$2="VOL_CLASS",$R159,$S159)))</f>
        <v/>
      </c>
      <c r="AQ159" t="str">
        <f>IF($A159="","",IF(Allocation!$N$2="VOL_EFF",$T159,IF(Allocation!$N$2="VOL_CLASS",$U159,$V159)))</f>
        <v/>
      </c>
      <c r="AR159" t="str">
        <f t="shared" si="56"/>
        <v/>
      </c>
      <c r="AS159" t="str">
        <f>IF($A159="","",$A159&amp;"|"&amp;Allocation!BG159)</f>
        <v/>
      </c>
    </row>
    <row r="160" spans="1:45" x14ac:dyDescent="0.45">
      <c r="A160" t="str">
        <f>IF(Allocation!BI160="","",Allocation!BI160)</f>
        <v/>
      </c>
      <c r="B160" t="str">
        <f>IF(Allocation!BJ160="","",Allocation!BJ160)</f>
        <v/>
      </c>
      <c r="C160" t="str">
        <f>IF(Allocation!BK160="","",Allocation!BK160)</f>
        <v/>
      </c>
      <c r="D160" t="str">
        <f>IF(Allocation!BL160="","",Allocation!BL160)</f>
        <v/>
      </c>
      <c r="E160" t="str">
        <f>IF(Allocation!BM160="","",Allocation!BM160)</f>
        <v/>
      </c>
      <c r="F160" t="str">
        <f>IF(Allocation!BN160="","",Allocation!BN160)</f>
        <v/>
      </c>
      <c r="G160" t="str">
        <f>IF(Allocation!BO160="","",Allocation!BO160)</f>
        <v/>
      </c>
      <c r="H160" t="str">
        <f>IF(Allocation!BP160="","",Allocation!BP160)</f>
        <v/>
      </c>
      <c r="I160" t="str">
        <f>IF(Allocation!BQ160="","",Allocation!BQ160)</f>
        <v/>
      </c>
      <c r="J160" t="str">
        <f>IF(Allocation!CC160="","",Allocation!CC160)</f>
        <v/>
      </c>
      <c r="K160" t="str">
        <f t="shared" si="38"/>
        <v/>
      </c>
      <c r="L160" t="str">
        <f t="shared" si="39"/>
        <v/>
      </c>
      <c r="M160" t="str">
        <f t="shared" si="40"/>
        <v/>
      </c>
      <c r="N160" t="str">
        <f t="shared" si="41"/>
        <v/>
      </c>
      <c r="O160" t="str">
        <f t="shared" si="42"/>
        <v/>
      </c>
      <c r="P160" t="str">
        <f t="shared" si="43"/>
        <v/>
      </c>
      <c r="Q160" t="str">
        <f t="shared" si="44"/>
        <v/>
      </c>
      <c r="R160" t="str">
        <f t="shared" si="45"/>
        <v/>
      </c>
      <c r="S160" t="str">
        <f t="shared" si="46"/>
        <v/>
      </c>
      <c r="T160" t="str">
        <f t="shared" si="47"/>
        <v/>
      </c>
      <c r="U160" t="str">
        <f t="shared" si="48"/>
        <v/>
      </c>
      <c r="V160" t="str">
        <f t="shared" si="49"/>
        <v/>
      </c>
      <c r="W160" t="str">
        <f>IF($A160="","",Allocation!CD160)</f>
        <v/>
      </c>
      <c r="X160" t="str">
        <f>IF($A160="","",Allocation!CE160)</f>
        <v/>
      </c>
      <c r="Y160" t="str">
        <f>IF($A160="","",Allocation!CF160)</f>
        <v/>
      </c>
      <c r="Z160" t="str">
        <f>IF($A160="","",Allocation!CG160)</f>
        <v/>
      </c>
      <c r="AA160" t="str">
        <f>IF($A160="","",Allocation!CH160)</f>
        <v/>
      </c>
      <c r="AB160" t="str">
        <f>IF($A160="","",Allocation!CI160)</f>
        <v/>
      </c>
      <c r="AC160" t="str">
        <f>IF($A160="","",IF(Allocation!$N$4="VOL_EFF",$G160,IF(Allocation!$N$4="VOL_CLASS",$H160,$I160)))</f>
        <v/>
      </c>
      <c r="AD160" t="str">
        <f>IF($A160="","",IF(Allocation!$N$4="VOL_EFF",$L160,IF(Allocation!$N$4="VOL_CLASS",$M160,$N160)))</f>
        <v/>
      </c>
      <c r="AE160" t="str">
        <f>IF($A160="","",IF(Allocation!$N$3="VOL_EFF",$L160,IF(Allocation!$N$3="VOL_CLASS",$M160,$N160)))</f>
        <v/>
      </c>
      <c r="AF160" t="str">
        <f>IF($A160="","",IF(Allocation!$N$3="VOL_EFF",$Q160,IF(Allocation!$N$3="VOL_CLASS",$R160,$S160)))</f>
        <v/>
      </c>
      <c r="AG160" t="str">
        <f>IF($A160="","",IF(Allocation!$N$1="VOL_EFF",$Q160,IF(Allocation!$N$1="VOL_CLASS",$R160,$S160)))</f>
        <v/>
      </c>
      <c r="AH160" t="str">
        <f>IF($A160="","",IF(Allocation!$N$1="VOL_EFF",$T160,IF(Allocation!$N$1="VOL_CLASS",$U160,$V160)))</f>
        <v/>
      </c>
      <c r="AI160" t="str">
        <f t="shared" si="50"/>
        <v/>
      </c>
      <c r="AJ160" t="str">
        <f t="shared" si="51"/>
        <v/>
      </c>
      <c r="AK160" t="str">
        <f t="shared" si="52"/>
        <v/>
      </c>
      <c r="AL160" t="str">
        <f t="shared" si="53"/>
        <v/>
      </c>
      <c r="AM160" t="str">
        <f t="shared" si="54"/>
        <v/>
      </c>
      <c r="AN160" t="str">
        <f t="shared" si="55"/>
        <v/>
      </c>
      <c r="AO160" t="str">
        <f>IF($A160="","",Allocation!CJ160)</f>
        <v/>
      </c>
      <c r="AP160" t="str">
        <f>IF($A160="","",IF(Allocation!$N$2="VOL_EFF",$Q160,IF(Allocation!$N$2="VOL_CLASS",$R160,$S160)))</f>
        <v/>
      </c>
      <c r="AQ160" t="str">
        <f>IF($A160="","",IF(Allocation!$N$2="VOL_EFF",$T160,IF(Allocation!$N$2="VOL_CLASS",$U160,$V160)))</f>
        <v/>
      </c>
      <c r="AR160" t="str">
        <f t="shared" si="56"/>
        <v/>
      </c>
      <c r="AS160" t="str">
        <f>IF($A160="","",$A160&amp;"|"&amp;Allocation!BG160)</f>
        <v/>
      </c>
    </row>
    <row r="161" spans="1:45" x14ac:dyDescent="0.45">
      <c r="A161" t="str">
        <f>IF(Allocation!BI161="","",Allocation!BI161)</f>
        <v/>
      </c>
      <c r="B161" t="str">
        <f>IF(Allocation!BJ161="","",Allocation!BJ161)</f>
        <v/>
      </c>
      <c r="C161" t="str">
        <f>IF(Allocation!BK161="","",Allocation!BK161)</f>
        <v/>
      </c>
      <c r="D161" t="str">
        <f>IF(Allocation!BL161="","",Allocation!BL161)</f>
        <v/>
      </c>
      <c r="E161" t="str">
        <f>IF(Allocation!BM161="","",Allocation!BM161)</f>
        <v/>
      </c>
      <c r="F161" t="str">
        <f>IF(Allocation!BN161="","",Allocation!BN161)</f>
        <v/>
      </c>
      <c r="G161" t="str">
        <f>IF(Allocation!BO161="","",Allocation!BO161)</f>
        <v/>
      </c>
      <c r="H161" t="str">
        <f>IF(Allocation!BP161="","",Allocation!BP161)</f>
        <v/>
      </c>
      <c r="I161" t="str">
        <f>IF(Allocation!BQ161="","",Allocation!BQ161)</f>
        <v/>
      </c>
      <c r="J161" t="str">
        <f>IF(Allocation!CC161="","",Allocation!CC161)</f>
        <v/>
      </c>
      <c r="K161" t="str">
        <f t="shared" si="38"/>
        <v/>
      </c>
      <c r="L161" t="str">
        <f t="shared" si="39"/>
        <v/>
      </c>
      <c r="M161" t="str">
        <f t="shared" si="40"/>
        <v/>
      </c>
      <c r="N161" t="str">
        <f t="shared" si="41"/>
        <v/>
      </c>
      <c r="O161" t="str">
        <f t="shared" si="42"/>
        <v/>
      </c>
      <c r="P161" t="str">
        <f t="shared" si="43"/>
        <v/>
      </c>
      <c r="Q161" t="str">
        <f t="shared" si="44"/>
        <v/>
      </c>
      <c r="R161" t="str">
        <f t="shared" si="45"/>
        <v/>
      </c>
      <c r="S161" t="str">
        <f t="shared" si="46"/>
        <v/>
      </c>
      <c r="T161" t="str">
        <f t="shared" si="47"/>
        <v/>
      </c>
      <c r="U161" t="str">
        <f t="shared" si="48"/>
        <v/>
      </c>
      <c r="V161" t="str">
        <f t="shared" si="49"/>
        <v/>
      </c>
      <c r="W161" t="str">
        <f>IF($A161="","",Allocation!CD161)</f>
        <v/>
      </c>
      <c r="X161" t="str">
        <f>IF($A161="","",Allocation!CE161)</f>
        <v/>
      </c>
      <c r="Y161" t="str">
        <f>IF($A161="","",Allocation!CF161)</f>
        <v/>
      </c>
      <c r="Z161" t="str">
        <f>IF($A161="","",Allocation!CG161)</f>
        <v/>
      </c>
      <c r="AA161" t="str">
        <f>IF($A161="","",Allocation!CH161)</f>
        <v/>
      </c>
      <c r="AB161" t="str">
        <f>IF($A161="","",Allocation!CI161)</f>
        <v/>
      </c>
      <c r="AC161" t="str">
        <f>IF($A161="","",IF(Allocation!$N$4="VOL_EFF",$G161,IF(Allocation!$N$4="VOL_CLASS",$H161,$I161)))</f>
        <v/>
      </c>
      <c r="AD161" t="str">
        <f>IF($A161="","",IF(Allocation!$N$4="VOL_EFF",$L161,IF(Allocation!$N$4="VOL_CLASS",$M161,$N161)))</f>
        <v/>
      </c>
      <c r="AE161" t="str">
        <f>IF($A161="","",IF(Allocation!$N$3="VOL_EFF",$L161,IF(Allocation!$N$3="VOL_CLASS",$M161,$N161)))</f>
        <v/>
      </c>
      <c r="AF161" t="str">
        <f>IF($A161="","",IF(Allocation!$N$3="VOL_EFF",$Q161,IF(Allocation!$N$3="VOL_CLASS",$R161,$S161)))</f>
        <v/>
      </c>
      <c r="AG161" t="str">
        <f>IF($A161="","",IF(Allocation!$N$1="VOL_EFF",$Q161,IF(Allocation!$N$1="VOL_CLASS",$R161,$S161)))</f>
        <v/>
      </c>
      <c r="AH161" t="str">
        <f>IF($A161="","",IF(Allocation!$N$1="VOL_EFF",$T161,IF(Allocation!$N$1="VOL_CLASS",$U161,$V161)))</f>
        <v/>
      </c>
      <c r="AI161" t="str">
        <f t="shared" si="50"/>
        <v/>
      </c>
      <c r="AJ161" t="str">
        <f t="shared" si="51"/>
        <v/>
      </c>
      <c r="AK161" t="str">
        <f t="shared" si="52"/>
        <v/>
      </c>
      <c r="AL161" t="str">
        <f t="shared" si="53"/>
        <v/>
      </c>
      <c r="AM161" t="str">
        <f t="shared" si="54"/>
        <v/>
      </c>
      <c r="AN161" t="str">
        <f t="shared" si="55"/>
        <v/>
      </c>
      <c r="AO161" t="str">
        <f>IF($A161="","",Allocation!CJ161)</f>
        <v/>
      </c>
      <c r="AP161" t="str">
        <f>IF($A161="","",IF(Allocation!$N$2="VOL_EFF",$Q161,IF(Allocation!$N$2="VOL_CLASS",$R161,$S161)))</f>
        <v/>
      </c>
      <c r="AQ161" t="str">
        <f>IF($A161="","",IF(Allocation!$N$2="VOL_EFF",$T161,IF(Allocation!$N$2="VOL_CLASS",$U161,$V161)))</f>
        <v/>
      </c>
      <c r="AR161" t="str">
        <f t="shared" si="56"/>
        <v/>
      </c>
      <c r="AS161" t="str">
        <f>IF($A161="","",$A161&amp;"|"&amp;Allocation!BG161)</f>
        <v/>
      </c>
    </row>
    <row r="162" spans="1:45" x14ac:dyDescent="0.45">
      <c r="A162" t="str">
        <f>IF(Allocation!BI162="","",Allocation!BI162)</f>
        <v/>
      </c>
      <c r="B162" t="str">
        <f>IF(Allocation!BJ162="","",Allocation!BJ162)</f>
        <v/>
      </c>
      <c r="C162" t="str">
        <f>IF(Allocation!BK162="","",Allocation!BK162)</f>
        <v/>
      </c>
      <c r="D162" t="str">
        <f>IF(Allocation!BL162="","",Allocation!BL162)</f>
        <v/>
      </c>
      <c r="E162" t="str">
        <f>IF(Allocation!BM162="","",Allocation!BM162)</f>
        <v/>
      </c>
      <c r="F162" t="str">
        <f>IF(Allocation!BN162="","",Allocation!BN162)</f>
        <v/>
      </c>
      <c r="G162" t="str">
        <f>IF(Allocation!BO162="","",Allocation!BO162)</f>
        <v/>
      </c>
      <c r="H162" t="str">
        <f>IF(Allocation!BP162="","",Allocation!BP162)</f>
        <v/>
      </c>
      <c r="I162" t="str">
        <f>IF(Allocation!BQ162="","",Allocation!BQ162)</f>
        <v/>
      </c>
      <c r="J162" t="str">
        <f>IF(Allocation!CC162="","",Allocation!CC162)</f>
        <v/>
      </c>
      <c r="K162" t="str">
        <f t="shared" si="38"/>
        <v/>
      </c>
      <c r="L162" t="str">
        <f t="shared" si="39"/>
        <v/>
      </c>
      <c r="M162" t="str">
        <f t="shared" si="40"/>
        <v/>
      </c>
      <c r="N162" t="str">
        <f t="shared" si="41"/>
        <v/>
      </c>
      <c r="O162" t="str">
        <f t="shared" si="42"/>
        <v/>
      </c>
      <c r="P162" t="str">
        <f t="shared" si="43"/>
        <v/>
      </c>
      <c r="Q162" t="str">
        <f t="shared" si="44"/>
        <v/>
      </c>
      <c r="R162" t="str">
        <f t="shared" si="45"/>
        <v/>
      </c>
      <c r="S162" t="str">
        <f t="shared" si="46"/>
        <v/>
      </c>
      <c r="T162" t="str">
        <f t="shared" si="47"/>
        <v/>
      </c>
      <c r="U162" t="str">
        <f t="shared" si="48"/>
        <v/>
      </c>
      <c r="V162" t="str">
        <f t="shared" si="49"/>
        <v/>
      </c>
      <c r="W162" t="str">
        <f>IF($A162="","",Allocation!CD162)</f>
        <v/>
      </c>
      <c r="X162" t="str">
        <f>IF($A162="","",Allocation!CE162)</f>
        <v/>
      </c>
      <c r="Y162" t="str">
        <f>IF($A162="","",Allocation!CF162)</f>
        <v/>
      </c>
      <c r="Z162" t="str">
        <f>IF($A162="","",Allocation!CG162)</f>
        <v/>
      </c>
      <c r="AA162" t="str">
        <f>IF($A162="","",Allocation!CH162)</f>
        <v/>
      </c>
      <c r="AB162" t="str">
        <f>IF($A162="","",Allocation!CI162)</f>
        <v/>
      </c>
      <c r="AC162" t="str">
        <f>IF($A162="","",IF(Allocation!$N$4="VOL_EFF",$G162,IF(Allocation!$N$4="VOL_CLASS",$H162,$I162)))</f>
        <v/>
      </c>
      <c r="AD162" t="str">
        <f>IF($A162="","",IF(Allocation!$N$4="VOL_EFF",$L162,IF(Allocation!$N$4="VOL_CLASS",$M162,$N162)))</f>
        <v/>
      </c>
      <c r="AE162" t="str">
        <f>IF($A162="","",IF(Allocation!$N$3="VOL_EFF",$L162,IF(Allocation!$N$3="VOL_CLASS",$M162,$N162)))</f>
        <v/>
      </c>
      <c r="AF162" t="str">
        <f>IF($A162="","",IF(Allocation!$N$3="VOL_EFF",$Q162,IF(Allocation!$N$3="VOL_CLASS",$R162,$S162)))</f>
        <v/>
      </c>
      <c r="AG162" t="str">
        <f>IF($A162="","",IF(Allocation!$N$1="VOL_EFF",$Q162,IF(Allocation!$N$1="VOL_CLASS",$R162,$S162)))</f>
        <v/>
      </c>
      <c r="AH162" t="str">
        <f>IF($A162="","",IF(Allocation!$N$1="VOL_EFF",$T162,IF(Allocation!$N$1="VOL_CLASS",$U162,$V162)))</f>
        <v/>
      </c>
      <c r="AI162" t="str">
        <f t="shared" si="50"/>
        <v/>
      </c>
      <c r="AJ162" t="str">
        <f t="shared" si="51"/>
        <v/>
      </c>
      <c r="AK162" t="str">
        <f t="shared" si="52"/>
        <v/>
      </c>
      <c r="AL162" t="str">
        <f t="shared" si="53"/>
        <v/>
      </c>
      <c r="AM162" t="str">
        <f t="shared" si="54"/>
        <v/>
      </c>
      <c r="AN162" t="str">
        <f t="shared" si="55"/>
        <v/>
      </c>
      <c r="AO162" t="str">
        <f>IF($A162="","",Allocation!CJ162)</f>
        <v/>
      </c>
      <c r="AP162" t="str">
        <f>IF($A162="","",IF(Allocation!$N$2="VOL_EFF",$Q162,IF(Allocation!$N$2="VOL_CLASS",$R162,$S162)))</f>
        <v/>
      </c>
      <c r="AQ162" t="str">
        <f>IF($A162="","",IF(Allocation!$N$2="VOL_EFF",$T162,IF(Allocation!$N$2="VOL_CLASS",$U162,$V162)))</f>
        <v/>
      </c>
      <c r="AR162" t="str">
        <f t="shared" si="56"/>
        <v/>
      </c>
      <c r="AS162" t="str">
        <f>IF($A162="","",$A162&amp;"|"&amp;Allocation!BG162)</f>
        <v/>
      </c>
    </row>
    <row r="163" spans="1:45" x14ac:dyDescent="0.45">
      <c r="A163" t="str">
        <f>IF(Allocation!BI163="","",Allocation!BI163)</f>
        <v/>
      </c>
      <c r="B163" t="str">
        <f>IF(Allocation!BJ163="","",Allocation!BJ163)</f>
        <v/>
      </c>
      <c r="C163" t="str">
        <f>IF(Allocation!BK163="","",Allocation!BK163)</f>
        <v/>
      </c>
      <c r="D163" t="str">
        <f>IF(Allocation!BL163="","",Allocation!BL163)</f>
        <v/>
      </c>
      <c r="E163" t="str">
        <f>IF(Allocation!BM163="","",Allocation!BM163)</f>
        <v/>
      </c>
      <c r="F163" t="str">
        <f>IF(Allocation!BN163="","",Allocation!BN163)</f>
        <v/>
      </c>
      <c r="G163" t="str">
        <f>IF(Allocation!BO163="","",Allocation!BO163)</f>
        <v/>
      </c>
      <c r="H163" t="str">
        <f>IF(Allocation!BP163="","",Allocation!BP163)</f>
        <v/>
      </c>
      <c r="I163" t="str">
        <f>IF(Allocation!BQ163="","",Allocation!BQ163)</f>
        <v/>
      </c>
      <c r="J163" t="str">
        <f>IF(Allocation!CC163="","",Allocation!CC163)</f>
        <v/>
      </c>
      <c r="K163" t="str">
        <f t="shared" si="38"/>
        <v/>
      </c>
      <c r="L163" t="str">
        <f t="shared" si="39"/>
        <v/>
      </c>
      <c r="M163" t="str">
        <f t="shared" si="40"/>
        <v/>
      </c>
      <c r="N163" t="str">
        <f t="shared" si="41"/>
        <v/>
      </c>
      <c r="O163" t="str">
        <f t="shared" si="42"/>
        <v/>
      </c>
      <c r="P163" t="str">
        <f t="shared" si="43"/>
        <v/>
      </c>
      <c r="Q163" t="str">
        <f t="shared" si="44"/>
        <v/>
      </c>
      <c r="R163" t="str">
        <f t="shared" si="45"/>
        <v/>
      </c>
      <c r="S163" t="str">
        <f t="shared" si="46"/>
        <v/>
      </c>
      <c r="T163" t="str">
        <f t="shared" si="47"/>
        <v/>
      </c>
      <c r="U163" t="str">
        <f t="shared" si="48"/>
        <v/>
      </c>
      <c r="V163" t="str">
        <f t="shared" si="49"/>
        <v/>
      </c>
      <c r="W163" t="str">
        <f>IF($A163="","",Allocation!CD163)</f>
        <v/>
      </c>
      <c r="X163" t="str">
        <f>IF($A163="","",Allocation!CE163)</f>
        <v/>
      </c>
      <c r="Y163" t="str">
        <f>IF($A163="","",Allocation!CF163)</f>
        <v/>
      </c>
      <c r="Z163" t="str">
        <f>IF($A163="","",Allocation!CG163)</f>
        <v/>
      </c>
      <c r="AA163" t="str">
        <f>IF($A163="","",Allocation!CH163)</f>
        <v/>
      </c>
      <c r="AB163" t="str">
        <f>IF($A163="","",Allocation!CI163)</f>
        <v/>
      </c>
      <c r="AC163" t="str">
        <f>IF($A163="","",IF(Allocation!$N$4="VOL_EFF",$G163,IF(Allocation!$N$4="VOL_CLASS",$H163,$I163)))</f>
        <v/>
      </c>
      <c r="AD163" t="str">
        <f>IF($A163="","",IF(Allocation!$N$4="VOL_EFF",$L163,IF(Allocation!$N$4="VOL_CLASS",$M163,$N163)))</f>
        <v/>
      </c>
      <c r="AE163" t="str">
        <f>IF($A163="","",IF(Allocation!$N$3="VOL_EFF",$L163,IF(Allocation!$N$3="VOL_CLASS",$M163,$N163)))</f>
        <v/>
      </c>
      <c r="AF163" t="str">
        <f>IF($A163="","",IF(Allocation!$N$3="VOL_EFF",$Q163,IF(Allocation!$N$3="VOL_CLASS",$R163,$S163)))</f>
        <v/>
      </c>
      <c r="AG163" t="str">
        <f>IF($A163="","",IF(Allocation!$N$1="VOL_EFF",$Q163,IF(Allocation!$N$1="VOL_CLASS",$R163,$S163)))</f>
        <v/>
      </c>
      <c r="AH163" t="str">
        <f>IF($A163="","",IF(Allocation!$N$1="VOL_EFF",$T163,IF(Allocation!$N$1="VOL_CLASS",$U163,$V163)))</f>
        <v/>
      </c>
      <c r="AI163" t="str">
        <f t="shared" si="50"/>
        <v/>
      </c>
      <c r="AJ163" t="str">
        <f t="shared" si="51"/>
        <v/>
      </c>
      <c r="AK163" t="str">
        <f t="shared" si="52"/>
        <v/>
      </c>
      <c r="AL163" t="str">
        <f t="shared" si="53"/>
        <v/>
      </c>
      <c r="AM163" t="str">
        <f t="shared" si="54"/>
        <v/>
      </c>
      <c r="AN163" t="str">
        <f t="shared" si="55"/>
        <v/>
      </c>
      <c r="AO163" t="str">
        <f>IF($A163="","",Allocation!CJ163)</f>
        <v/>
      </c>
      <c r="AP163" t="str">
        <f>IF($A163="","",IF(Allocation!$N$2="VOL_EFF",$Q163,IF(Allocation!$N$2="VOL_CLASS",$R163,$S163)))</f>
        <v/>
      </c>
      <c r="AQ163" t="str">
        <f>IF($A163="","",IF(Allocation!$N$2="VOL_EFF",$T163,IF(Allocation!$N$2="VOL_CLASS",$U163,$V163)))</f>
        <v/>
      </c>
      <c r="AR163" t="str">
        <f t="shared" si="56"/>
        <v/>
      </c>
      <c r="AS163" t="str">
        <f>IF($A163="","",$A163&amp;"|"&amp;Allocation!BG163)</f>
        <v/>
      </c>
    </row>
    <row r="164" spans="1:45" x14ac:dyDescent="0.45">
      <c r="A164" t="str">
        <f>IF(Allocation!BI164="","",Allocation!BI164)</f>
        <v/>
      </c>
      <c r="B164" t="str">
        <f>IF(Allocation!BJ164="","",Allocation!BJ164)</f>
        <v/>
      </c>
      <c r="C164" t="str">
        <f>IF(Allocation!BK164="","",Allocation!BK164)</f>
        <v/>
      </c>
      <c r="D164" t="str">
        <f>IF(Allocation!BL164="","",Allocation!BL164)</f>
        <v/>
      </c>
      <c r="E164" t="str">
        <f>IF(Allocation!BM164="","",Allocation!BM164)</f>
        <v/>
      </c>
      <c r="F164" t="str">
        <f>IF(Allocation!BN164="","",Allocation!BN164)</f>
        <v/>
      </c>
      <c r="G164" t="str">
        <f>IF(Allocation!BO164="","",Allocation!BO164)</f>
        <v/>
      </c>
      <c r="H164" t="str">
        <f>IF(Allocation!BP164="","",Allocation!BP164)</f>
        <v/>
      </c>
      <c r="I164" t="str">
        <f>IF(Allocation!BQ164="","",Allocation!BQ164)</f>
        <v/>
      </c>
      <c r="J164" t="str">
        <f>IF(Allocation!CC164="","",Allocation!CC164)</f>
        <v/>
      </c>
      <c r="K164" t="str">
        <f t="shared" si="38"/>
        <v/>
      </c>
      <c r="L164" t="str">
        <f t="shared" si="39"/>
        <v/>
      </c>
      <c r="M164" t="str">
        <f t="shared" si="40"/>
        <v/>
      </c>
      <c r="N164" t="str">
        <f t="shared" si="41"/>
        <v/>
      </c>
      <c r="O164" t="str">
        <f t="shared" si="42"/>
        <v/>
      </c>
      <c r="P164" t="str">
        <f t="shared" si="43"/>
        <v/>
      </c>
      <c r="Q164" t="str">
        <f t="shared" si="44"/>
        <v/>
      </c>
      <c r="R164" t="str">
        <f t="shared" si="45"/>
        <v/>
      </c>
      <c r="S164" t="str">
        <f t="shared" si="46"/>
        <v/>
      </c>
      <c r="T164" t="str">
        <f t="shared" si="47"/>
        <v/>
      </c>
      <c r="U164" t="str">
        <f t="shared" si="48"/>
        <v/>
      </c>
      <c r="V164" t="str">
        <f t="shared" si="49"/>
        <v/>
      </c>
      <c r="W164" t="str">
        <f>IF($A164="","",Allocation!CD164)</f>
        <v/>
      </c>
      <c r="X164" t="str">
        <f>IF($A164="","",Allocation!CE164)</f>
        <v/>
      </c>
      <c r="Y164" t="str">
        <f>IF($A164="","",Allocation!CF164)</f>
        <v/>
      </c>
      <c r="Z164" t="str">
        <f>IF($A164="","",Allocation!CG164)</f>
        <v/>
      </c>
      <c r="AA164" t="str">
        <f>IF($A164="","",Allocation!CH164)</f>
        <v/>
      </c>
      <c r="AB164" t="str">
        <f>IF($A164="","",Allocation!CI164)</f>
        <v/>
      </c>
      <c r="AC164" t="str">
        <f>IF($A164="","",IF(Allocation!$N$4="VOL_EFF",$G164,IF(Allocation!$N$4="VOL_CLASS",$H164,$I164)))</f>
        <v/>
      </c>
      <c r="AD164" t="str">
        <f>IF($A164="","",IF(Allocation!$N$4="VOL_EFF",$L164,IF(Allocation!$N$4="VOL_CLASS",$M164,$N164)))</f>
        <v/>
      </c>
      <c r="AE164" t="str">
        <f>IF($A164="","",IF(Allocation!$N$3="VOL_EFF",$L164,IF(Allocation!$N$3="VOL_CLASS",$M164,$N164)))</f>
        <v/>
      </c>
      <c r="AF164" t="str">
        <f>IF($A164="","",IF(Allocation!$N$3="VOL_EFF",$Q164,IF(Allocation!$N$3="VOL_CLASS",$R164,$S164)))</f>
        <v/>
      </c>
      <c r="AG164" t="str">
        <f>IF($A164="","",IF(Allocation!$N$1="VOL_EFF",$Q164,IF(Allocation!$N$1="VOL_CLASS",$R164,$S164)))</f>
        <v/>
      </c>
      <c r="AH164" t="str">
        <f>IF($A164="","",IF(Allocation!$N$1="VOL_EFF",$T164,IF(Allocation!$N$1="VOL_CLASS",$U164,$V164)))</f>
        <v/>
      </c>
      <c r="AI164" t="str">
        <f t="shared" si="50"/>
        <v/>
      </c>
      <c r="AJ164" t="str">
        <f t="shared" si="51"/>
        <v/>
      </c>
      <c r="AK164" t="str">
        <f t="shared" si="52"/>
        <v/>
      </c>
      <c r="AL164" t="str">
        <f t="shared" si="53"/>
        <v/>
      </c>
      <c r="AM164" t="str">
        <f t="shared" si="54"/>
        <v/>
      </c>
      <c r="AN164" t="str">
        <f t="shared" si="55"/>
        <v/>
      </c>
      <c r="AO164" t="str">
        <f>IF($A164="","",Allocation!CJ164)</f>
        <v/>
      </c>
      <c r="AP164" t="str">
        <f>IF($A164="","",IF(Allocation!$N$2="VOL_EFF",$Q164,IF(Allocation!$N$2="VOL_CLASS",$R164,$S164)))</f>
        <v/>
      </c>
      <c r="AQ164" t="str">
        <f>IF($A164="","",IF(Allocation!$N$2="VOL_EFF",$T164,IF(Allocation!$N$2="VOL_CLASS",$U164,$V164)))</f>
        <v/>
      </c>
      <c r="AR164" t="str">
        <f t="shared" si="56"/>
        <v/>
      </c>
      <c r="AS164" t="str">
        <f>IF($A164="","",$A164&amp;"|"&amp;Allocation!BG164)</f>
        <v/>
      </c>
    </row>
    <row r="165" spans="1:45" x14ac:dyDescent="0.45">
      <c r="A165" t="str">
        <f>IF(Allocation!BI165="","",Allocation!BI165)</f>
        <v/>
      </c>
      <c r="B165" t="str">
        <f>IF(Allocation!BJ165="","",Allocation!BJ165)</f>
        <v/>
      </c>
      <c r="C165" t="str">
        <f>IF(Allocation!BK165="","",Allocation!BK165)</f>
        <v/>
      </c>
      <c r="D165" t="str">
        <f>IF(Allocation!BL165="","",Allocation!BL165)</f>
        <v/>
      </c>
      <c r="E165" t="str">
        <f>IF(Allocation!BM165="","",Allocation!BM165)</f>
        <v/>
      </c>
      <c r="F165" t="str">
        <f>IF(Allocation!BN165="","",Allocation!BN165)</f>
        <v/>
      </c>
      <c r="G165" t="str">
        <f>IF(Allocation!BO165="","",Allocation!BO165)</f>
        <v/>
      </c>
      <c r="H165" t="str">
        <f>IF(Allocation!BP165="","",Allocation!BP165)</f>
        <v/>
      </c>
      <c r="I165" t="str">
        <f>IF(Allocation!BQ165="","",Allocation!BQ165)</f>
        <v/>
      </c>
      <c r="J165" t="str">
        <f>IF(Allocation!CC165="","",Allocation!CC165)</f>
        <v/>
      </c>
      <c r="K165" t="str">
        <f t="shared" si="38"/>
        <v/>
      </c>
      <c r="L165" t="str">
        <f t="shared" si="39"/>
        <v/>
      </c>
      <c r="M165" t="str">
        <f t="shared" si="40"/>
        <v/>
      </c>
      <c r="N165" t="str">
        <f t="shared" si="41"/>
        <v/>
      </c>
      <c r="O165" t="str">
        <f t="shared" si="42"/>
        <v/>
      </c>
      <c r="P165" t="str">
        <f t="shared" si="43"/>
        <v/>
      </c>
      <c r="Q165" t="str">
        <f t="shared" si="44"/>
        <v/>
      </c>
      <c r="R165" t="str">
        <f t="shared" si="45"/>
        <v/>
      </c>
      <c r="S165" t="str">
        <f t="shared" si="46"/>
        <v/>
      </c>
      <c r="T165" t="str">
        <f t="shared" si="47"/>
        <v/>
      </c>
      <c r="U165" t="str">
        <f t="shared" si="48"/>
        <v/>
      </c>
      <c r="V165" t="str">
        <f t="shared" si="49"/>
        <v/>
      </c>
      <c r="W165" t="str">
        <f>IF($A165="","",Allocation!CD165)</f>
        <v/>
      </c>
      <c r="X165" t="str">
        <f>IF($A165="","",Allocation!CE165)</f>
        <v/>
      </c>
      <c r="Y165" t="str">
        <f>IF($A165="","",Allocation!CF165)</f>
        <v/>
      </c>
      <c r="Z165" t="str">
        <f>IF($A165="","",Allocation!CG165)</f>
        <v/>
      </c>
      <c r="AA165" t="str">
        <f>IF($A165="","",Allocation!CH165)</f>
        <v/>
      </c>
      <c r="AB165" t="str">
        <f>IF($A165="","",Allocation!CI165)</f>
        <v/>
      </c>
      <c r="AC165" t="str">
        <f>IF($A165="","",IF(Allocation!$N$4="VOL_EFF",$G165,IF(Allocation!$N$4="VOL_CLASS",$H165,$I165)))</f>
        <v/>
      </c>
      <c r="AD165" t="str">
        <f>IF($A165="","",IF(Allocation!$N$4="VOL_EFF",$L165,IF(Allocation!$N$4="VOL_CLASS",$M165,$N165)))</f>
        <v/>
      </c>
      <c r="AE165" t="str">
        <f>IF($A165="","",IF(Allocation!$N$3="VOL_EFF",$L165,IF(Allocation!$N$3="VOL_CLASS",$M165,$N165)))</f>
        <v/>
      </c>
      <c r="AF165" t="str">
        <f>IF($A165="","",IF(Allocation!$N$3="VOL_EFF",$Q165,IF(Allocation!$N$3="VOL_CLASS",$R165,$S165)))</f>
        <v/>
      </c>
      <c r="AG165" t="str">
        <f>IF($A165="","",IF(Allocation!$N$1="VOL_EFF",$Q165,IF(Allocation!$N$1="VOL_CLASS",$R165,$S165)))</f>
        <v/>
      </c>
      <c r="AH165" t="str">
        <f>IF($A165="","",IF(Allocation!$N$1="VOL_EFF",$T165,IF(Allocation!$N$1="VOL_CLASS",$U165,$V165)))</f>
        <v/>
      </c>
      <c r="AI165" t="str">
        <f t="shared" si="50"/>
        <v/>
      </c>
      <c r="AJ165" t="str">
        <f t="shared" si="51"/>
        <v/>
      </c>
      <c r="AK165" t="str">
        <f t="shared" si="52"/>
        <v/>
      </c>
      <c r="AL165" t="str">
        <f t="shared" si="53"/>
        <v/>
      </c>
      <c r="AM165" t="str">
        <f t="shared" si="54"/>
        <v/>
      </c>
      <c r="AN165" t="str">
        <f t="shared" si="55"/>
        <v/>
      </c>
      <c r="AO165" t="str">
        <f>IF($A165="","",Allocation!CJ165)</f>
        <v/>
      </c>
      <c r="AP165" t="str">
        <f>IF($A165="","",IF(Allocation!$N$2="VOL_EFF",$Q165,IF(Allocation!$N$2="VOL_CLASS",$R165,$S165)))</f>
        <v/>
      </c>
      <c r="AQ165" t="str">
        <f>IF($A165="","",IF(Allocation!$N$2="VOL_EFF",$T165,IF(Allocation!$N$2="VOL_CLASS",$U165,$V165)))</f>
        <v/>
      </c>
      <c r="AR165" t="str">
        <f t="shared" si="56"/>
        <v/>
      </c>
      <c r="AS165" t="str">
        <f>IF($A165="","",$A165&amp;"|"&amp;Allocation!BG165)</f>
        <v/>
      </c>
    </row>
    <row r="166" spans="1:45" x14ac:dyDescent="0.45">
      <c r="A166" t="str">
        <f>IF(Allocation!BI166="","",Allocation!BI166)</f>
        <v/>
      </c>
      <c r="B166" t="str">
        <f>IF(Allocation!BJ166="","",Allocation!BJ166)</f>
        <v/>
      </c>
      <c r="C166" t="str">
        <f>IF(Allocation!BK166="","",Allocation!BK166)</f>
        <v/>
      </c>
      <c r="D166" t="str">
        <f>IF(Allocation!BL166="","",Allocation!BL166)</f>
        <v/>
      </c>
      <c r="E166" t="str">
        <f>IF(Allocation!BM166="","",Allocation!BM166)</f>
        <v/>
      </c>
      <c r="F166" t="str">
        <f>IF(Allocation!BN166="","",Allocation!BN166)</f>
        <v/>
      </c>
      <c r="G166" t="str">
        <f>IF(Allocation!BO166="","",Allocation!BO166)</f>
        <v/>
      </c>
      <c r="H166" t="str">
        <f>IF(Allocation!BP166="","",Allocation!BP166)</f>
        <v/>
      </c>
      <c r="I166" t="str">
        <f>IF(Allocation!BQ166="","",Allocation!BQ166)</f>
        <v/>
      </c>
      <c r="J166" t="str">
        <f>IF(Allocation!CC166="","",Allocation!CC166)</f>
        <v/>
      </c>
      <c r="K166" t="str">
        <f t="shared" si="38"/>
        <v/>
      </c>
      <c r="L166" t="str">
        <f t="shared" si="39"/>
        <v/>
      </c>
      <c r="M166" t="str">
        <f t="shared" si="40"/>
        <v/>
      </c>
      <c r="N166" t="str">
        <f t="shared" si="41"/>
        <v/>
      </c>
      <c r="O166" t="str">
        <f t="shared" si="42"/>
        <v/>
      </c>
      <c r="P166" t="str">
        <f t="shared" si="43"/>
        <v/>
      </c>
      <c r="Q166" t="str">
        <f t="shared" si="44"/>
        <v/>
      </c>
      <c r="R166" t="str">
        <f t="shared" si="45"/>
        <v/>
      </c>
      <c r="S166" t="str">
        <f t="shared" si="46"/>
        <v/>
      </c>
      <c r="T166" t="str">
        <f t="shared" si="47"/>
        <v/>
      </c>
      <c r="U166" t="str">
        <f t="shared" si="48"/>
        <v/>
      </c>
      <c r="V166" t="str">
        <f t="shared" si="49"/>
        <v/>
      </c>
      <c r="W166" t="str">
        <f>IF($A166="","",Allocation!CD166)</f>
        <v/>
      </c>
      <c r="X166" t="str">
        <f>IF($A166="","",Allocation!CE166)</f>
        <v/>
      </c>
      <c r="Y166" t="str">
        <f>IF($A166="","",Allocation!CF166)</f>
        <v/>
      </c>
      <c r="Z166" t="str">
        <f>IF($A166="","",Allocation!CG166)</f>
        <v/>
      </c>
      <c r="AA166" t="str">
        <f>IF($A166="","",Allocation!CH166)</f>
        <v/>
      </c>
      <c r="AB166" t="str">
        <f>IF($A166="","",Allocation!CI166)</f>
        <v/>
      </c>
      <c r="AC166" t="str">
        <f>IF($A166="","",IF(Allocation!$N$4="VOL_EFF",$G166,IF(Allocation!$N$4="VOL_CLASS",$H166,$I166)))</f>
        <v/>
      </c>
      <c r="AD166" t="str">
        <f>IF($A166="","",IF(Allocation!$N$4="VOL_EFF",$L166,IF(Allocation!$N$4="VOL_CLASS",$M166,$N166)))</f>
        <v/>
      </c>
      <c r="AE166" t="str">
        <f>IF($A166="","",IF(Allocation!$N$3="VOL_EFF",$L166,IF(Allocation!$N$3="VOL_CLASS",$M166,$N166)))</f>
        <v/>
      </c>
      <c r="AF166" t="str">
        <f>IF($A166="","",IF(Allocation!$N$3="VOL_EFF",$Q166,IF(Allocation!$N$3="VOL_CLASS",$R166,$S166)))</f>
        <v/>
      </c>
      <c r="AG166" t="str">
        <f>IF($A166="","",IF(Allocation!$N$1="VOL_EFF",$Q166,IF(Allocation!$N$1="VOL_CLASS",$R166,$S166)))</f>
        <v/>
      </c>
      <c r="AH166" t="str">
        <f>IF($A166="","",IF(Allocation!$N$1="VOL_EFF",$T166,IF(Allocation!$N$1="VOL_CLASS",$U166,$V166)))</f>
        <v/>
      </c>
      <c r="AI166" t="str">
        <f t="shared" si="50"/>
        <v/>
      </c>
      <c r="AJ166" t="str">
        <f t="shared" si="51"/>
        <v/>
      </c>
      <c r="AK166" t="str">
        <f t="shared" si="52"/>
        <v/>
      </c>
      <c r="AL166" t="str">
        <f t="shared" si="53"/>
        <v/>
      </c>
      <c r="AM166" t="str">
        <f t="shared" si="54"/>
        <v/>
      </c>
      <c r="AN166" t="str">
        <f t="shared" si="55"/>
        <v/>
      </c>
      <c r="AO166" t="str">
        <f>IF($A166="","",Allocation!CJ166)</f>
        <v/>
      </c>
      <c r="AP166" t="str">
        <f>IF($A166="","",IF(Allocation!$N$2="VOL_EFF",$Q166,IF(Allocation!$N$2="VOL_CLASS",$R166,$S166)))</f>
        <v/>
      </c>
      <c r="AQ166" t="str">
        <f>IF($A166="","",IF(Allocation!$N$2="VOL_EFF",$T166,IF(Allocation!$N$2="VOL_CLASS",$U166,$V166)))</f>
        <v/>
      </c>
      <c r="AR166" t="str">
        <f t="shared" si="56"/>
        <v/>
      </c>
      <c r="AS166" t="str">
        <f>IF($A166="","",$A166&amp;"|"&amp;Allocation!BG166)</f>
        <v/>
      </c>
    </row>
    <row r="167" spans="1:45" x14ac:dyDescent="0.45">
      <c r="A167" t="str">
        <f>IF(Allocation!BI167="","",Allocation!BI167)</f>
        <v/>
      </c>
      <c r="B167" t="str">
        <f>IF(Allocation!BJ167="","",Allocation!BJ167)</f>
        <v/>
      </c>
      <c r="C167" t="str">
        <f>IF(Allocation!BK167="","",Allocation!BK167)</f>
        <v/>
      </c>
      <c r="D167" t="str">
        <f>IF(Allocation!BL167="","",Allocation!BL167)</f>
        <v/>
      </c>
      <c r="E167" t="str">
        <f>IF(Allocation!BM167="","",Allocation!BM167)</f>
        <v/>
      </c>
      <c r="F167" t="str">
        <f>IF(Allocation!BN167="","",Allocation!BN167)</f>
        <v/>
      </c>
      <c r="G167" t="str">
        <f>IF(Allocation!BO167="","",Allocation!BO167)</f>
        <v/>
      </c>
      <c r="H167" t="str">
        <f>IF(Allocation!BP167="","",Allocation!BP167)</f>
        <v/>
      </c>
      <c r="I167" t="str">
        <f>IF(Allocation!BQ167="","",Allocation!BQ167)</f>
        <v/>
      </c>
      <c r="J167" t="str">
        <f>IF(Allocation!CC167="","",Allocation!CC167)</f>
        <v/>
      </c>
      <c r="K167" t="str">
        <f t="shared" si="38"/>
        <v/>
      </c>
      <c r="L167" t="str">
        <f t="shared" si="39"/>
        <v/>
      </c>
      <c r="M167" t="str">
        <f t="shared" si="40"/>
        <v/>
      </c>
      <c r="N167" t="str">
        <f t="shared" si="41"/>
        <v/>
      </c>
      <c r="O167" t="str">
        <f t="shared" si="42"/>
        <v/>
      </c>
      <c r="P167" t="str">
        <f t="shared" si="43"/>
        <v/>
      </c>
      <c r="Q167" t="str">
        <f t="shared" si="44"/>
        <v/>
      </c>
      <c r="R167" t="str">
        <f t="shared" si="45"/>
        <v/>
      </c>
      <c r="S167" t="str">
        <f t="shared" si="46"/>
        <v/>
      </c>
      <c r="T167" t="str">
        <f t="shared" si="47"/>
        <v/>
      </c>
      <c r="U167" t="str">
        <f t="shared" si="48"/>
        <v/>
      </c>
      <c r="V167" t="str">
        <f t="shared" si="49"/>
        <v/>
      </c>
      <c r="W167" t="str">
        <f>IF($A167="","",Allocation!CD167)</f>
        <v/>
      </c>
      <c r="X167" t="str">
        <f>IF($A167="","",Allocation!CE167)</f>
        <v/>
      </c>
      <c r="Y167" t="str">
        <f>IF($A167="","",Allocation!CF167)</f>
        <v/>
      </c>
      <c r="Z167" t="str">
        <f>IF($A167="","",Allocation!CG167)</f>
        <v/>
      </c>
      <c r="AA167" t="str">
        <f>IF($A167="","",Allocation!CH167)</f>
        <v/>
      </c>
      <c r="AB167" t="str">
        <f>IF($A167="","",Allocation!CI167)</f>
        <v/>
      </c>
      <c r="AC167" t="str">
        <f>IF($A167="","",IF(Allocation!$N$4="VOL_EFF",$G167,IF(Allocation!$N$4="VOL_CLASS",$H167,$I167)))</f>
        <v/>
      </c>
      <c r="AD167" t="str">
        <f>IF($A167="","",IF(Allocation!$N$4="VOL_EFF",$L167,IF(Allocation!$N$4="VOL_CLASS",$M167,$N167)))</f>
        <v/>
      </c>
      <c r="AE167" t="str">
        <f>IF($A167="","",IF(Allocation!$N$3="VOL_EFF",$L167,IF(Allocation!$N$3="VOL_CLASS",$M167,$N167)))</f>
        <v/>
      </c>
      <c r="AF167" t="str">
        <f>IF($A167="","",IF(Allocation!$N$3="VOL_EFF",$Q167,IF(Allocation!$N$3="VOL_CLASS",$R167,$S167)))</f>
        <v/>
      </c>
      <c r="AG167" t="str">
        <f>IF($A167="","",IF(Allocation!$N$1="VOL_EFF",$Q167,IF(Allocation!$N$1="VOL_CLASS",$R167,$S167)))</f>
        <v/>
      </c>
      <c r="AH167" t="str">
        <f>IF($A167="","",IF(Allocation!$N$1="VOL_EFF",$T167,IF(Allocation!$N$1="VOL_CLASS",$U167,$V167)))</f>
        <v/>
      </c>
      <c r="AI167" t="str">
        <f t="shared" si="50"/>
        <v/>
      </c>
      <c r="AJ167" t="str">
        <f t="shared" si="51"/>
        <v/>
      </c>
      <c r="AK167" t="str">
        <f t="shared" si="52"/>
        <v/>
      </c>
      <c r="AL167" t="str">
        <f t="shared" si="53"/>
        <v/>
      </c>
      <c r="AM167" t="str">
        <f t="shared" si="54"/>
        <v/>
      </c>
      <c r="AN167" t="str">
        <f t="shared" si="55"/>
        <v/>
      </c>
      <c r="AO167" t="str">
        <f>IF($A167="","",Allocation!CJ167)</f>
        <v/>
      </c>
      <c r="AP167" t="str">
        <f>IF($A167="","",IF(Allocation!$N$2="VOL_EFF",$Q167,IF(Allocation!$N$2="VOL_CLASS",$R167,$S167)))</f>
        <v/>
      </c>
      <c r="AQ167" t="str">
        <f>IF($A167="","",IF(Allocation!$N$2="VOL_EFF",$T167,IF(Allocation!$N$2="VOL_CLASS",$U167,$V167)))</f>
        <v/>
      </c>
      <c r="AR167" t="str">
        <f t="shared" si="56"/>
        <v/>
      </c>
      <c r="AS167" t="str">
        <f>IF($A167="","",$A167&amp;"|"&amp;Allocation!BG167)</f>
        <v/>
      </c>
    </row>
    <row r="168" spans="1:45" x14ac:dyDescent="0.45">
      <c r="A168" t="str">
        <f>IF(Allocation!BI168="","",Allocation!BI168)</f>
        <v/>
      </c>
      <c r="B168" t="str">
        <f>IF(Allocation!BJ168="","",Allocation!BJ168)</f>
        <v/>
      </c>
      <c r="C168" t="str">
        <f>IF(Allocation!BK168="","",Allocation!BK168)</f>
        <v/>
      </c>
      <c r="D168" t="str">
        <f>IF(Allocation!BL168="","",Allocation!BL168)</f>
        <v/>
      </c>
      <c r="E168" t="str">
        <f>IF(Allocation!BM168="","",Allocation!BM168)</f>
        <v/>
      </c>
      <c r="F168" t="str">
        <f>IF(Allocation!BN168="","",Allocation!BN168)</f>
        <v/>
      </c>
      <c r="G168" t="str">
        <f>IF(Allocation!BO168="","",Allocation!BO168)</f>
        <v/>
      </c>
      <c r="H168" t="str">
        <f>IF(Allocation!BP168="","",Allocation!BP168)</f>
        <v/>
      </c>
      <c r="I168" t="str">
        <f>IF(Allocation!BQ168="","",Allocation!BQ168)</f>
        <v/>
      </c>
      <c r="J168" t="str">
        <f>IF(Allocation!CC168="","",Allocation!CC168)</f>
        <v/>
      </c>
      <c r="K168" t="str">
        <f t="shared" si="38"/>
        <v/>
      </c>
      <c r="L168" t="str">
        <f t="shared" si="39"/>
        <v/>
      </c>
      <c r="M168" t="str">
        <f t="shared" si="40"/>
        <v/>
      </c>
      <c r="N168" t="str">
        <f t="shared" si="41"/>
        <v/>
      </c>
      <c r="O168" t="str">
        <f t="shared" si="42"/>
        <v/>
      </c>
      <c r="P168" t="str">
        <f t="shared" si="43"/>
        <v/>
      </c>
      <c r="Q168" t="str">
        <f t="shared" si="44"/>
        <v/>
      </c>
      <c r="R168" t="str">
        <f t="shared" si="45"/>
        <v/>
      </c>
      <c r="S168" t="str">
        <f t="shared" si="46"/>
        <v/>
      </c>
      <c r="T168" t="str">
        <f t="shared" si="47"/>
        <v/>
      </c>
      <c r="U168" t="str">
        <f t="shared" si="48"/>
        <v/>
      </c>
      <c r="V168" t="str">
        <f t="shared" si="49"/>
        <v/>
      </c>
      <c r="W168" t="str">
        <f>IF($A168="","",Allocation!CD168)</f>
        <v/>
      </c>
      <c r="X168" t="str">
        <f>IF($A168="","",Allocation!CE168)</f>
        <v/>
      </c>
      <c r="Y168" t="str">
        <f>IF($A168="","",Allocation!CF168)</f>
        <v/>
      </c>
      <c r="Z168" t="str">
        <f>IF($A168="","",Allocation!CG168)</f>
        <v/>
      </c>
      <c r="AA168" t="str">
        <f>IF($A168="","",Allocation!CH168)</f>
        <v/>
      </c>
      <c r="AB168" t="str">
        <f>IF($A168="","",Allocation!CI168)</f>
        <v/>
      </c>
      <c r="AC168" t="str">
        <f>IF($A168="","",IF(Allocation!$N$4="VOL_EFF",$G168,IF(Allocation!$N$4="VOL_CLASS",$H168,$I168)))</f>
        <v/>
      </c>
      <c r="AD168" t="str">
        <f>IF($A168="","",IF(Allocation!$N$4="VOL_EFF",$L168,IF(Allocation!$N$4="VOL_CLASS",$M168,$N168)))</f>
        <v/>
      </c>
      <c r="AE168" t="str">
        <f>IF($A168="","",IF(Allocation!$N$3="VOL_EFF",$L168,IF(Allocation!$N$3="VOL_CLASS",$M168,$N168)))</f>
        <v/>
      </c>
      <c r="AF168" t="str">
        <f>IF($A168="","",IF(Allocation!$N$3="VOL_EFF",$Q168,IF(Allocation!$N$3="VOL_CLASS",$R168,$S168)))</f>
        <v/>
      </c>
      <c r="AG168" t="str">
        <f>IF($A168="","",IF(Allocation!$N$1="VOL_EFF",$Q168,IF(Allocation!$N$1="VOL_CLASS",$R168,$S168)))</f>
        <v/>
      </c>
      <c r="AH168" t="str">
        <f>IF($A168="","",IF(Allocation!$N$1="VOL_EFF",$T168,IF(Allocation!$N$1="VOL_CLASS",$U168,$V168)))</f>
        <v/>
      </c>
      <c r="AI168" t="str">
        <f t="shared" si="50"/>
        <v/>
      </c>
      <c r="AJ168" t="str">
        <f t="shared" si="51"/>
        <v/>
      </c>
      <c r="AK168" t="str">
        <f t="shared" si="52"/>
        <v/>
      </c>
      <c r="AL168" t="str">
        <f t="shared" si="53"/>
        <v/>
      </c>
      <c r="AM168" t="str">
        <f t="shared" si="54"/>
        <v/>
      </c>
      <c r="AN168" t="str">
        <f t="shared" si="55"/>
        <v/>
      </c>
      <c r="AO168" t="str">
        <f>IF($A168="","",Allocation!CJ168)</f>
        <v/>
      </c>
      <c r="AP168" t="str">
        <f>IF($A168="","",IF(Allocation!$N$2="VOL_EFF",$Q168,IF(Allocation!$N$2="VOL_CLASS",$R168,$S168)))</f>
        <v/>
      </c>
      <c r="AQ168" t="str">
        <f>IF($A168="","",IF(Allocation!$N$2="VOL_EFF",$T168,IF(Allocation!$N$2="VOL_CLASS",$U168,$V168)))</f>
        <v/>
      </c>
      <c r="AR168" t="str">
        <f t="shared" si="56"/>
        <v/>
      </c>
      <c r="AS168" t="str">
        <f>IF($A168="","",$A168&amp;"|"&amp;Allocation!BG168)</f>
        <v/>
      </c>
    </row>
    <row r="169" spans="1:45" x14ac:dyDescent="0.45">
      <c r="A169" t="str">
        <f>IF(Allocation!BI169="","",Allocation!BI169)</f>
        <v/>
      </c>
      <c r="B169" t="str">
        <f>IF(Allocation!BJ169="","",Allocation!BJ169)</f>
        <v/>
      </c>
      <c r="C169" t="str">
        <f>IF(Allocation!BK169="","",Allocation!BK169)</f>
        <v/>
      </c>
      <c r="D169" t="str">
        <f>IF(Allocation!BL169="","",Allocation!BL169)</f>
        <v/>
      </c>
      <c r="E169" t="str">
        <f>IF(Allocation!BM169="","",Allocation!BM169)</f>
        <v/>
      </c>
      <c r="F169" t="str">
        <f>IF(Allocation!BN169="","",Allocation!BN169)</f>
        <v/>
      </c>
      <c r="G169" t="str">
        <f>IF(Allocation!BO169="","",Allocation!BO169)</f>
        <v/>
      </c>
      <c r="H169" t="str">
        <f>IF(Allocation!BP169="","",Allocation!BP169)</f>
        <v/>
      </c>
      <c r="I169" t="str">
        <f>IF(Allocation!BQ169="","",Allocation!BQ169)</f>
        <v/>
      </c>
      <c r="J169" t="str">
        <f>IF(Allocation!CC169="","",Allocation!CC169)</f>
        <v/>
      </c>
      <c r="K169" t="str">
        <f t="shared" si="38"/>
        <v/>
      </c>
      <c r="L169" t="str">
        <f t="shared" si="39"/>
        <v/>
      </c>
      <c r="M169" t="str">
        <f t="shared" si="40"/>
        <v/>
      </c>
      <c r="N169" t="str">
        <f t="shared" si="41"/>
        <v/>
      </c>
      <c r="O169" t="str">
        <f t="shared" si="42"/>
        <v/>
      </c>
      <c r="P169" t="str">
        <f t="shared" si="43"/>
        <v/>
      </c>
      <c r="Q169" t="str">
        <f t="shared" si="44"/>
        <v/>
      </c>
      <c r="R169" t="str">
        <f t="shared" si="45"/>
        <v/>
      </c>
      <c r="S169" t="str">
        <f t="shared" si="46"/>
        <v/>
      </c>
      <c r="T169" t="str">
        <f t="shared" si="47"/>
        <v/>
      </c>
      <c r="U169" t="str">
        <f t="shared" si="48"/>
        <v/>
      </c>
      <c r="V169" t="str">
        <f t="shared" si="49"/>
        <v/>
      </c>
      <c r="W169" t="str">
        <f>IF($A169="","",Allocation!CD169)</f>
        <v/>
      </c>
      <c r="X169" t="str">
        <f>IF($A169="","",Allocation!CE169)</f>
        <v/>
      </c>
      <c r="Y169" t="str">
        <f>IF($A169="","",Allocation!CF169)</f>
        <v/>
      </c>
      <c r="Z169" t="str">
        <f>IF($A169="","",Allocation!CG169)</f>
        <v/>
      </c>
      <c r="AA169" t="str">
        <f>IF($A169="","",Allocation!CH169)</f>
        <v/>
      </c>
      <c r="AB169" t="str">
        <f>IF($A169="","",Allocation!CI169)</f>
        <v/>
      </c>
      <c r="AC169" t="str">
        <f>IF($A169="","",IF(Allocation!$N$4="VOL_EFF",$G169,IF(Allocation!$N$4="VOL_CLASS",$H169,$I169)))</f>
        <v/>
      </c>
      <c r="AD169" t="str">
        <f>IF($A169="","",IF(Allocation!$N$4="VOL_EFF",$L169,IF(Allocation!$N$4="VOL_CLASS",$M169,$N169)))</f>
        <v/>
      </c>
      <c r="AE169" t="str">
        <f>IF($A169="","",IF(Allocation!$N$3="VOL_EFF",$L169,IF(Allocation!$N$3="VOL_CLASS",$M169,$N169)))</f>
        <v/>
      </c>
      <c r="AF169" t="str">
        <f>IF($A169="","",IF(Allocation!$N$3="VOL_EFF",$Q169,IF(Allocation!$N$3="VOL_CLASS",$R169,$S169)))</f>
        <v/>
      </c>
      <c r="AG169" t="str">
        <f>IF($A169="","",IF(Allocation!$N$1="VOL_EFF",$Q169,IF(Allocation!$N$1="VOL_CLASS",$R169,$S169)))</f>
        <v/>
      </c>
      <c r="AH169" t="str">
        <f>IF($A169="","",IF(Allocation!$N$1="VOL_EFF",$T169,IF(Allocation!$N$1="VOL_CLASS",$U169,$V169)))</f>
        <v/>
      </c>
      <c r="AI169" t="str">
        <f t="shared" si="50"/>
        <v/>
      </c>
      <c r="AJ169" t="str">
        <f t="shared" si="51"/>
        <v/>
      </c>
      <c r="AK169" t="str">
        <f t="shared" si="52"/>
        <v/>
      </c>
      <c r="AL169" t="str">
        <f t="shared" si="53"/>
        <v/>
      </c>
      <c r="AM169" t="str">
        <f t="shared" si="54"/>
        <v/>
      </c>
      <c r="AN169" t="str">
        <f t="shared" si="55"/>
        <v/>
      </c>
      <c r="AO169" t="str">
        <f>IF($A169="","",Allocation!CJ169)</f>
        <v/>
      </c>
      <c r="AP169" t="str">
        <f>IF($A169="","",IF(Allocation!$N$2="VOL_EFF",$Q169,IF(Allocation!$N$2="VOL_CLASS",$R169,$S169)))</f>
        <v/>
      </c>
      <c r="AQ169" t="str">
        <f>IF($A169="","",IF(Allocation!$N$2="VOL_EFF",$T169,IF(Allocation!$N$2="VOL_CLASS",$U169,$V169)))</f>
        <v/>
      </c>
      <c r="AR169" t="str">
        <f t="shared" si="56"/>
        <v/>
      </c>
      <c r="AS169" t="str">
        <f>IF($A169="","",$A169&amp;"|"&amp;Allocation!BG169)</f>
        <v/>
      </c>
    </row>
    <row r="170" spans="1:45" x14ac:dyDescent="0.45">
      <c r="A170" t="str">
        <f>IF(Allocation!BI170="","",Allocation!BI170)</f>
        <v/>
      </c>
      <c r="B170" t="str">
        <f>IF(Allocation!BJ170="","",Allocation!BJ170)</f>
        <v/>
      </c>
      <c r="C170" t="str">
        <f>IF(Allocation!BK170="","",Allocation!BK170)</f>
        <v/>
      </c>
      <c r="D170" t="str">
        <f>IF(Allocation!BL170="","",Allocation!BL170)</f>
        <v/>
      </c>
      <c r="E170" t="str">
        <f>IF(Allocation!BM170="","",Allocation!BM170)</f>
        <v/>
      </c>
      <c r="F170" t="str">
        <f>IF(Allocation!BN170="","",Allocation!BN170)</f>
        <v/>
      </c>
      <c r="G170" t="str">
        <f>IF(Allocation!BO170="","",Allocation!BO170)</f>
        <v/>
      </c>
      <c r="H170" t="str">
        <f>IF(Allocation!BP170="","",Allocation!BP170)</f>
        <v/>
      </c>
      <c r="I170" t="str">
        <f>IF(Allocation!BQ170="","",Allocation!BQ170)</f>
        <v/>
      </c>
      <c r="J170" t="str">
        <f>IF(Allocation!CC170="","",Allocation!CC170)</f>
        <v/>
      </c>
      <c r="K170" t="str">
        <f t="shared" si="38"/>
        <v/>
      </c>
      <c r="L170" t="str">
        <f t="shared" si="39"/>
        <v/>
      </c>
      <c r="M170" t="str">
        <f t="shared" si="40"/>
        <v/>
      </c>
      <c r="N170" t="str">
        <f t="shared" si="41"/>
        <v/>
      </c>
      <c r="O170" t="str">
        <f t="shared" si="42"/>
        <v/>
      </c>
      <c r="P170" t="str">
        <f t="shared" si="43"/>
        <v/>
      </c>
      <c r="Q170" t="str">
        <f t="shared" si="44"/>
        <v/>
      </c>
      <c r="R170" t="str">
        <f t="shared" si="45"/>
        <v/>
      </c>
      <c r="S170" t="str">
        <f t="shared" si="46"/>
        <v/>
      </c>
      <c r="T170" t="str">
        <f t="shared" si="47"/>
        <v/>
      </c>
      <c r="U170" t="str">
        <f t="shared" si="48"/>
        <v/>
      </c>
      <c r="V170" t="str">
        <f t="shared" si="49"/>
        <v/>
      </c>
      <c r="W170" t="str">
        <f>IF($A170="","",Allocation!CD170)</f>
        <v/>
      </c>
      <c r="X170" t="str">
        <f>IF($A170="","",Allocation!CE170)</f>
        <v/>
      </c>
      <c r="Y170" t="str">
        <f>IF($A170="","",Allocation!CF170)</f>
        <v/>
      </c>
      <c r="Z170" t="str">
        <f>IF($A170="","",Allocation!CG170)</f>
        <v/>
      </c>
      <c r="AA170" t="str">
        <f>IF($A170="","",Allocation!CH170)</f>
        <v/>
      </c>
      <c r="AB170" t="str">
        <f>IF($A170="","",Allocation!CI170)</f>
        <v/>
      </c>
      <c r="AC170" t="str">
        <f>IF($A170="","",IF(Allocation!$N$4="VOL_EFF",$G170,IF(Allocation!$N$4="VOL_CLASS",$H170,$I170)))</f>
        <v/>
      </c>
      <c r="AD170" t="str">
        <f>IF($A170="","",IF(Allocation!$N$4="VOL_EFF",$L170,IF(Allocation!$N$4="VOL_CLASS",$M170,$N170)))</f>
        <v/>
      </c>
      <c r="AE170" t="str">
        <f>IF($A170="","",IF(Allocation!$N$3="VOL_EFF",$L170,IF(Allocation!$N$3="VOL_CLASS",$M170,$N170)))</f>
        <v/>
      </c>
      <c r="AF170" t="str">
        <f>IF($A170="","",IF(Allocation!$N$3="VOL_EFF",$Q170,IF(Allocation!$N$3="VOL_CLASS",$R170,$S170)))</f>
        <v/>
      </c>
      <c r="AG170" t="str">
        <f>IF($A170="","",IF(Allocation!$N$1="VOL_EFF",$Q170,IF(Allocation!$N$1="VOL_CLASS",$R170,$S170)))</f>
        <v/>
      </c>
      <c r="AH170" t="str">
        <f>IF($A170="","",IF(Allocation!$N$1="VOL_EFF",$T170,IF(Allocation!$N$1="VOL_CLASS",$U170,$V170)))</f>
        <v/>
      </c>
      <c r="AI170" t="str">
        <f t="shared" si="50"/>
        <v/>
      </c>
      <c r="AJ170" t="str">
        <f t="shared" si="51"/>
        <v/>
      </c>
      <c r="AK170" t="str">
        <f t="shared" si="52"/>
        <v/>
      </c>
      <c r="AL170" t="str">
        <f t="shared" si="53"/>
        <v/>
      </c>
      <c r="AM170" t="str">
        <f t="shared" si="54"/>
        <v/>
      </c>
      <c r="AN170" t="str">
        <f t="shared" si="55"/>
        <v/>
      </c>
      <c r="AO170" t="str">
        <f>IF($A170="","",Allocation!CJ170)</f>
        <v/>
      </c>
      <c r="AP170" t="str">
        <f>IF($A170="","",IF(Allocation!$N$2="VOL_EFF",$Q170,IF(Allocation!$N$2="VOL_CLASS",$R170,$S170)))</f>
        <v/>
      </c>
      <c r="AQ170" t="str">
        <f>IF($A170="","",IF(Allocation!$N$2="VOL_EFF",$T170,IF(Allocation!$N$2="VOL_CLASS",$U170,$V170)))</f>
        <v/>
      </c>
      <c r="AR170" t="str">
        <f t="shared" si="56"/>
        <v/>
      </c>
      <c r="AS170" t="str">
        <f>IF($A170="","",$A170&amp;"|"&amp;Allocation!BG170)</f>
        <v/>
      </c>
    </row>
    <row r="171" spans="1:45" x14ac:dyDescent="0.45">
      <c r="A171" t="str">
        <f>IF(Allocation!BI171="","",Allocation!BI171)</f>
        <v/>
      </c>
      <c r="B171" t="str">
        <f>IF(Allocation!BJ171="","",Allocation!BJ171)</f>
        <v/>
      </c>
      <c r="C171" t="str">
        <f>IF(Allocation!BK171="","",Allocation!BK171)</f>
        <v/>
      </c>
      <c r="D171" t="str">
        <f>IF(Allocation!BL171="","",Allocation!BL171)</f>
        <v/>
      </c>
      <c r="E171" t="str">
        <f>IF(Allocation!BM171="","",Allocation!BM171)</f>
        <v/>
      </c>
      <c r="F171" t="str">
        <f>IF(Allocation!BN171="","",Allocation!BN171)</f>
        <v/>
      </c>
      <c r="G171" t="str">
        <f>IF(Allocation!BO171="","",Allocation!BO171)</f>
        <v/>
      </c>
      <c r="H171" t="str">
        <f>IF(Allocation!BP171="","",Allocation!BP171)</f>
        <v/>
      </c>
      <c r="I171" t="str">
        <f>IF(Allocation!BQ171="","",Allocation!BQ171)</f>
        <v/>
      </c>
      <c r="J171" t="str">
        <f>IF(Allocation!CC171="","",Allocation!CC171)</f>
        <v/>
      </c>
      <c r="K171" t="str">
        <f t="shared" si="38"/>
        <v/>
      </c>
      <c r="L171" t="str">
        <f t="shared" si="39"/>
        <v/>
      </c>
      <c r="M171" t="str">
        <f t="shared" si="40"/>
        <v/>
      </c>
      <c r="N171" t="str">
        <f t="shared" si="41"/>
        <v/>
      </c>
      <c r="O171" t="str">
        <f t="shared" si="42"/>
        <v/>
      </c>
      <c r="P171" t="str">
        <f t="shared" si="43"/>
        <v/>
      </c>
      <c r="Q171" t="str">
        <f t="shared" si="44"/>
        <v/>
      </c>
      <c r="R171" t="str">
        <f t="shared" si="45"/>
        <v/>
      </c>
      <c r="S171" t="str">
        <f t="shared" si="46"/>
        <v/>
      </c>
      <c r="T171" t="str">
        <f t="shared" si="47"/>
        <v/>
      </c>
      <c r="U171" t="str">
        <f t="shared" si="48"/>
        <v/>
      </c>
      <c r="V171" t="str">
        <f t="shared" si="49"/>
        <v/>
      </c>
      <c r="W171" t="str">
        <f>IF($A171="","",Allocation!CD171)</f>
        <v/>
      </c>
      <c r="X171" t="str">
        <f>IF($A171="","",Allocation!CE171)</f>
        <v/>
      </c>
      <c r="Y171" t="str">
        <f>IF($A171="","",Allocation!CF171)</f>
        <v/>
      </c>
      <c r="Z171" t="str">
        <f>IF($A171="","",Allocation!CG171)</f>
        <v/>
      </c>
      <c r="AA171" t="str">
        <f>IF($A171="","",Allocation!CH171)</f>
        <v/>
      </c>
      <c r="AB171" t="str">
        <f>IF($A171="","",Allocation!CI171)</f>
        <v/>
      </c>
      <c r="AC171" t="str">
        <f>IF($A171="","",IF(Allocation!$N$4="VOL_EFF",$G171,IF(Allocation!$N$4="VOL_CLASS",$H171,$I171)))</f>
        <v/>
      </c>
      <c r="AD171" t="str">
        <f>IF($A171="","",IF(Allocation!$N$4="VOL_EFF",$L171,IF(Allocation!$N$4="VOL_CLASS",$M171,$N171)))</f>
        <v/>
      </c>
      <c r="AE171" t="str">
        <f>IF($A171="","",IF(Allocation!$N$3="VOL_EFF",$L171,IF(Allocation!$N$3="VOL_CLASS",$M171,$N171)))</f>
        <v/>
      </c>
      <c r="AF171" t="str">
        <f>IF($A171="","",IF(Allocation!$N$3="VOL_EFF",$Q171,IF(Allocation!$N$3="VOL_CLASS",$R171,$S171)))</f>
        <v/>
      </c>
      <c r="AG171" t="str">
        <f>IF($A171="","",IF(Allocation!$N$1="VOL_EFF",$Q171,IF(Allocation!$N$1="VOL_CLASS",$R171,$S171)))</f>
        <v/>
      </c>
      <c r="AH171" t="str">
        <f>IF($A171="","",IF(Allocation!$N$1="VOL_EFF",$T171,IF(Allocation!$N$1="VOL_CLASS",$U171,$V171)))</f>
        <v/>
      </c>
      <c r="AI171" t="str">
        <f t="shared" si="50"/>
        <v/>
      </c>
      <c r="AJ171" t="str">
        <f t="shared" si="51"/>
        <v/>
      </c>
      <c r="AK171" t="str">
        <f t="shared" si="52"/>
        <v/>
      </c>
      <c r="AL171" t="str">
        <f t="shared" si="53"/>
        <v/>
      </c>
      <c r="AM171" t="str">
        <f t="shared" si="54"/>
        <v/>
      </c>
      <c r="AN171" t="str">
        <f t="shared" si="55"/>
        <v/>
      </c>
      <c r="AO171" t="str">
        <f>IF($A171="","",Allocation!CJ171)</f>
        <v/>
      </c>
      <c r="AP171" t="str">
        <f>IF($A171="","",IF(Allocation!$N$2="VOL_EFF",$Q171,IF(Allocation!$N$2="VOL_CLASS",$R171,$S171)))</f>
        <v/>
      </c>
      <c r="AQ171" t="str">
        <f>IF($A171="","",IF(Allocation!$N$2="VOL_EFF",$T171,IF(Allocation!$N$2="VOL_CLASS",$U171,$V171)))</f>
        <v/>
      </c>
      <c r="AR171" t="str">
        <f t="shared" si="56"/>
        <v/>
      </c>
      <c r="AS171" t="str">
        <f>IF($A171="","",$A171&amp;"|"&amp;Allocation!BG171)</f>
        <v/>
      </c>
    </row>
    <row r="172" spans="1:45" x14ac:dyDescent="0.45">
      <c r="A172" t="str">
        <f>IF(Allocation!BI172="","",Allocation!BI172)</f>
        <v/>
      </c>
      <c r="B172" t="str">
        <f>IF(Allocation!BJ172="","",Allocation!BJ172)</f>
        <v/>
      </c>
      <c r="C172" t="str">
        <f>IF(Allocation!BK172="","",Allocation!BK172)</f>
        <v/>
      </c>
      <c r="D172" t="str">
        <f>IF(Allocation!BL172="","",Allocation!BL172)</f>
        <v/>
      </c>
      <c r="E172" t="str">
        <f>IF(Allocation!BM172="","",Allocation!BM172)</f>
        <v/>
      </c>
      <c r="F172" t="str">
        <f>IF(Allocation!BN172="","",Allocation!BN172)</f>
        <v/>
      </c>
      <c r="G172" t="str">
        <f>IF(Allocation!BO172="","",Allocation!BO172)</f>
        <v/>
      </c>
      <c r="H172" t="str">
        <f>IF(Allocation!BP172="","",Allocation!BP172)</f>
        <v/>
      </c>
      <c r="I172" t="str">
        <f>IF(Allocation!BQ172="","",Allocation!BQ172)</f>
        <v/>
      </c>
      <c r="J172" t="str">
        <f>IF(Allocation!CC172="","",Allocation!CC172)</f>
        <v/>
      </c>
      <c r="K172" t="str">
        <f t="shared" si="38"/>
        <v/>
      </c>
      <c r="L172" t="str">
        <f t="shared" si="39"/>
        <v/>
      </c>
      <c r="M172" t="str">
        <f t="shared" si="40"/>
        <v/>
      </c>
      <c r="N172" t="str">
        <f t="shared" si="41"/>
        <v/>
      </c>
      <c r="O172" t="str">
        <f t="shared" si="42"/>
        <v/>
      </c>
      <c r="P172" t="str">
        <f t="shared" si="43"/>
        <v/>
      </c>
      <c r="Q172" t="str">
        <f t="shared" si="44"/>
        <v/>
      </c>
      <c r="R172" t="str">
        <f t="shared" si="45"/>
        <v/>
      </c>
      <c r="S172" t="str">
        <f t="shared" si="46"/>
        <v/>
      </c>
      <c r="T172" t="str">
        <f t="shared" si="47"/>
        <v/>
      </c>
      <c r="U172" t="str">
        <f t="shared" si="48"/>
        <v/>
      </c>
      <c r="V172" t="str">
        <f t="shared" si="49"/>
        <v/>
      </c>
      <c r="W172" t="str">
        <f>IF($A172="","",Allocation!CD172)</f>
        <v/>
      </c>
      <c r="X172" t="str">
        <f>IF($A172="","",Allocation!CE172)</f>
        <v/>
      </c>
      <c r="Y172" t="str">
        <f>IF($A172="","",Allocation!CF172)</f>
        <v/>
      </c>
      <c r="Z172" t="str">
        <f>IF($A172="","",Allocation!CG172)</f>
        <v/>
      </c>
      <c r="AA172" t="str">
        <f>IF($A172="","",Allocation!CH172)</f>
        <v/>
      </c>
      <c r="AB172" t="str">
        <f>IF($A172="","",Allocation!CI172)</f>
        <v/>
      </c>
      <c r="AC172" t="str">
        <f>IF($A172="","",IF(Allocation!$N$4="VOL_EFF",$G172,IF(Allocation!$N$4="VOL_CLASS",$H172,$I172)))</f>
        <v/>
      </c>
      <c r="AD172" t="str">
        <f>IF($A172="","",IF(Allocation!$N$4="VOL_EFF",$L172,IF(Allocation!$N$4="VOL_CLASS",$M172,$N172)))</f>
        <v/>
      </c>
      <c r="AE172" t="str">
        <f>IF($A172="","",IF(Allocation!$N$3="VOL_EFF",$L172,IF(Allocation!$N$3="VOL_CLASS",$M172,$N172)))</f>
        <v/>
      </c>
      <c r="AF172" t="str">
        <f>IF($A172="","",IF(Allocation!$N$3="VOL_EFF",$Q172,IF(Allocation!$N$3="VOL_CLASS",$R172,$S172)))</f>
        <v/>
      </c>
      <c r="AG172" t="str">
        <f>IF($A172="","",IF(Allocation!$N$1="VOL_EFF",$Q172,IF(Allocation!$N$1="VOL_CLASS",$R172,$S172)))</f>
        <v/>
      </c>
      <c r="AH172" t="str">
        <f>IF($A172="","",IF(Allocation!$N$1="VOL_EFF",$T172,IF(Allocation!$N$1="VOL_CLASS",$U172,$V172)))</f>
        <v/>
      </c>
      <c r="AI172" t="str">
        <f t="shared" si="50"/>
        <v/>
      </c>
      <c r="AJ172" t="str">
        <f t="shared" si="51"/>
        <v/>
      </c>
      <c r="AK172" t="str">
        <f t="shared" si="52"/>
        <v/>
      </c>
      <c r="AL172" t="str">
        <f t="shared" si="53"/>
        <v/>
      </c>
      <c r="AM172" t="str">
        <f t="shared" si="54"/>
        <v/>
      </c>
      <c r="AN172" t="str">
        <f t="shared" si="55"/>
        <v/>
      </c>
      <c r="AO172" t="str">
        <f>IF($A172="","",Allocation!CJ172)</f>
        <v/>
      </c>
      <c r="AP172" t="str">
        <f>IF($A172="","",IF(Allocation!$N$2="VOL_EFF",$Q172,IF(Allocation!$N$2="VOL_CLASS",$R172,$S172)))</f>
        <v/>
      </c>
      <c r="AQ172" t="str">
        <f>IF($A172="","",IF(Allocation!$N$2="VOL_EFF",$T172,IF(Allocation!$N$2="VOL_CLASS",$U172,$V172)))</f>
        <v/>
      </c>
      <c r="AR172" t="str">
        <f t="shared" si="56"/>
        <v/>
      </c>
      <c r="AS172" t="str">
        <f>IF($A172="","",$A172&amp;"|"&amp;Allocation!BG172)</f>
        <v/>
      </c>
    </row>
    <row r="173" spans="1:45" x14ac:dyDescent="0.45">
      <c r="A173" t="str">
        <f>IF(Allocation!BI173="","",Allocation!BI173)</f>
        <v/>
      </c>
      <c r="B173" t="str">
        <f>IF(Allocation!BJ173="","",Allocation!BJ173)</f>
        <v/>
      </c>
      <c r="C173" t="str">
        <f>IF(Allocation!BK173="","",Allocation!BK173)</f>
        <v/>
      </c>
      <c r="D173" t="str">
        <f>IF(Allocation!BL173="","",Allocation!BL173)</f>
        <v/>
      </c>
      <c r="E173" t="str">
        <f>IF(Allocation!BM173="","",Allocation!BM173)</f>
        <v/>
      </c>
      <c r="F173" t="str">
        <f>IF(Allocation!BN173="","",Allocation!BN173)</f>
        <v/>
      </c>
      <c r="G173" t="str">
        <f>IF(Allocation!BO173="","",Allocation!BO173)</f>
        <v/>
      </c>
      <c r="H173" t="str">
        <f>IF(Allocation!BP173="","",Allocation!BP173)</f>
        <v/>
      </c>
      <c r="I173" t="str">
        <f>IF(Allocation!BQ173="","",Allocation!BQ173)</f>
        <v/>
      </c>
      <c r="J173" t="str">
        <f>IF(Allocation!CC173="","",Allocation!CC173)</f>
        <v/>
      </c>
      <c r="K173" t="str">
        <f t="shared" si="38"/>
        <v/>
      </c>
      <c r="L173" t="str">
        <f t="shared" si="39"/>
        <v/>
      </c>
      <c r="M173" t="str">
        <f t="shared" si="40"/>
        <v/>
      </c>
      <c r="N173" t="str">
        <f t="shared" si="41"/>
        <v/>
      </c>
      <c r="O173" t="str">
        <f t="shared" si="42"/>
        <v/>
      </c>
      <c r="P173" t="str">
        <f t="shared" si="43"/>
        <v/>
      </c>
      <c r="Q173" t="str">
        <f t="shared" si="44"/>
        <v/>
      </c>
      <c r="R173" t="str">
        <f t="shared" si="45"/>
        <v/>
      </c>
      <c r="S173" t="str">
        <f t="shared" si="46"/>
        <v/>
      </c>
      <c r="T173" t="str">
        <f t="shared" si="47"/>
        <v/>
      </c>
      <c r="U173" t="str">
        <f t="shared" si="48"/>
        <v/>
      </c>
      <c r="V173" t="str">
        <f t="shared" si="49"/>
        <v/>
      </c>
      <c r="W173" t="str">
        <f>IF($A173="","",Allocation!CD173)</f>
        <v/>
      </c>
      <c r="X173" t="str">
        <f>IF($A173="","",Allocation!CE173)</f>
        <v/>
      </c>
      <c r="Y173" t="str">
        <f>IF($A173="","",Allocation!CF173)</f>
        <v/>
      </c>
      <c r="Z173" t="str">
        <f>IF($A173="","",Allocation!CG173)</f>
        <v/>
      </c>
      <c r="AA173" t="str">
        <f>IF($A173="","",Allocation!CH173)</f>
        <v/>
      </c>
      <c r="AB173" t="str">
        <f>IF($A173="","",Allocation!CI173)</f>
        <v/>
      </c>
      <c r="AC173" t="str">
        <f>IF($A173="","",IF(Allocation!$N$4="VOL_EFF",$G173,IF(Allocation!$N$4="VOL_CLASS",$H173,$I173)))</f>
        <v/>
      </c>
      <c r="AD173" t="str">
        <f>IF($A173="","",IF(Allocation!$N$4="VOL_EFF",$L173,IF(Allocation!$N$4="VOL_CLASS",$M173,$N173)))</f>
        <v/>
      </c>
      <c r="AE173" t="str">
        <f>IF($A173="","",IF(Allocation!$N$3="VOL_EFF",$L173,IF(Allocation!$N$3="VOL_CLASS",$M173,$N173)))</f>
        <v/>
      </c>
      <c r="AF173" t="str">
        <f>IF($A173="","",IF(Allocation!$N$3="VOL_EFF",$Q173,IF(Allocation!$N$3="VOL_CLASS",$R173,$S173)))</f>
        <v/>
      </c>
      <c r="AG173" t="str">
        <f>IF($A173="","",IF(Allocation!$N$1="VOL_EFF",$Q173,IF(Allocation!$N$1="VOL_CLASS",$R173,$S173)))</f>
        <v/>
      </c>
      <c r="AH173" t="str">
        <f>IF($A173="","",IF(Allocation!$N$1="VOL_EFF",$T173,IF(Allocation!$N$1="VOL_CLASS",$U173,$V173)))</f>
        <v/>
      </c>
      <c r="AI173" t="str">
        <f t="shared" si="50"/>
        <v/>
      </c>
      <c r="AJ173" t="str">
        <f t="shared" si="51"/>
        <v/>
      </c>
      <c r="AK173" t="str">
        <f t="shared" si="52"/>
        <v/>
      </c>
      <c r="AL173" t="str">
        <f t="shared" si="53"/>
        <v/>
      </c>
      <c r="AM173" t="str">
        <f t="shared" si="54"/>
        <v/>
      </c>
      <c r="AN173" t="str">
        <f t="shared" si="55"/>
        <v/>
      </c>
      <c r="AO173" t="str">
        <f>IF($A173="","",Allocation!CJ173)</f>
        <v/>
      </c>
      <c r="AP173" t="str">
        <f>IF($A173="","",IF(Allocation!$N$2="VOL_EFF",$Q173,IF(Allocation!$N$2="VOL_CLASS",$R173,$S173)))</f>
        <v/>
      </c>
      <c r="AQ173" t="str">
        <f>IF($A173="","",IF(Allocation!$N$2="VOL_EFF",$T173,IF(Allocation!$N$2="VOL_CLASS",$U173,$V173)))</f>
        <v/>
      </c>
      <c r="AR173" t="str">
        <f t="shared" si="56"/>
        <v/>
      </c>
      <c r="AS173" t="str">
        <f>IF($A173="","",$A173&amp;"|"&amp;Allocation!BG173)</f>
        <v/>
      </c>
    </row>
    <row r="174" spans="1:45" x14ac:dyDescent="0.45">
      <c r="A174" t="str">
        <f>IF(Allocation!BI174="","",Allocation!BI174)</f>
        <v/>
      </c>
      <c r="B174" t="str">
        <f>IF(Allocation!BJ174="","",Allocation!BJ174)</f>
        <v/>
      </c>
      <c r="C174" t="str">
        <f>IF(Allocation!BK174="","",Allocation!BK174)</f>
        <v/>
      </c>
      <c r="D174" t="str">
        <f>IF(Allocation!BL174="","",Allocation!BL174)</f>
        <v/>
      </c>
      <c r="E174" t="str">
        <f>IF(Allocation!BM174="","",Allocation!BM174)</f>
        <v/>
      </c>
      <c r="F174" t="str">
        <f>IF(Allocation!BN174="","",Allocation!BN174)</f>
        <v/>
      </c>
      <c r="G174" t="str">
        <f>IF(Allocation!BO174="","",Allocation!BO174)</f>
        <v/>
      </c>
      <c r="H174" t="str">
        <f>IF(Allocation!BP174="","",Allocation!BP174)</f>
        <v/>
      </c>
      <c r="I174" t="str">
        <f>IF(Allocation!BQ174="","",Allocation!BQ174)</f>
        <v/>
      </c>
      <c r="J174" t="str">
        <f>IF(Allocation!CC174="","",Allocation!CC174)</f>
        <v/>
      </c>
      <c r="K174" t="str">
        <f t="shared" si="38"/>
        <v/>
      </c>
      <c r="L174" t="str">
        <f t="shared" si="39"/>
        <v/>
      </c>
      <c r="M174" t="str">
        <f t="shared" si="40"/>
        <v/>
      </c>
      <c r="N174" t="str">
        <f t="shared" si="41"/>
        <v/>
      </c>
      <c r="O174" t="str">
        <f t="shared" si="42"/>
        <v/>
      </c>
      <c r="P174" t="str">
        <f t="shared" si="43"/>
        <v/>
      </c>
      <c r="Q174" t="str">
        <f t="shared" si="44"/>
        <v/>
      </c>
      <c r="R174" t="str">
        <f t="shared" si="45"/>
        <v/>
      </c>
      <c r="S174" t="str">
        <f t="shared" si="46"/>
        <v/>
      </c>
      <c r="T174" t="str">
        <f t="shared" si="47"/>
        <v/>
      </c>
      <c r="U174" t="str">
        <f t="shared" si="48"/>
        <v/>
      </c>
      <c r="V174" t="str">
        <f t="shared" si="49"/>
        <v/>
      </c>
      <c r="W174" t="str">
        <f>IF($A174="","",Allocation!CD174)</f>
        <v/>
      </c>
      <c r="X174" t="str">
        <f>IF($A174="","",Allocation!CE174)</f>
        <v/>
      </c>
      <c r="Y174" t="str">
        <f>IF($A174="","",Allocation!CF174)</f>
        <v/>
      </c>
      <c r="Z174" t="str">
        <f>IF($A174="","",Allocation!CG174)</f>
        <v/>
      </c>
      <c r="AA174" t="str">
        <f>IF($A174="","",Allocation!CH174)</f>
        <v/>
      </c>
      <c r="AB174" t="str">
        <f>IF($A174="","",Allocation!CI174)</f>
        <v/>
      </c>
      <c r="AC174" t="str">
        <f>IF($A174="","",IF(Allocation!$N$4="VOL_EFF",$G174,IF(Allocation!$N$4="VOL_CLASS",$H174,$I174)))</f>
        <v/>
      </c>
      <c r="AD174" t="str">
        <f>IF($A174="","",IF(Allocation!$N$4="VOL_EFF",$L174,IF(Allocation!$N$4="VOL_CLASS",$M174,$N174)))</f>
        <v/>
      </c>
      <c r="AE174" t="str">
        <f>IF($A174="","",IF(Allocation!$N$3="VOL_EFF",$L174,IF(Allocation!$N$3="VOL_CLASS",$M174,$N174)))</f>
        <v/>
      </c>
      <c r="AF174" t="str">
        <f>IF($A174="","",IF(Allocation!$N$3="VOL_EFF",$Q174,IF(Allocation!$N$3="VOL_CLASS",$R174,$S174)))</f>
        <v/>
      </c>
      <c r="AG174" t="str">
        <f>IF($A174="","",IF(Allocation!$N$1="VOL_EFF",$Q174,IF(Allocation!$N$1="VOL_CLASS",$R174,$S174)))</f>
        <v/>
      </c>
      <c r="AH174" t="str">
        <f>IF($A174="","",IF(Allocation!$N$1="VOL_EFF",$T174,IF(Allocation!$N$1="VOL_CLASS",$U174,$V174)))</f>
        <v/>
      </c>
      <c r="AI174" t="str">
        <f t="shared" si="50"/>
        <v/>
      </c>
      <c r="AJ174" t="str">
        <f t="shared" si="51"/>
        <v/>
      </c>
      <c r="AK174" t="str">
        <f t="shared" si="52"/>
        <v/>
      </c>
      <c r="AL174" t="str">
        <f t="shared" si="53"/>
        <v/>
      </c>
      <c r="AM174" t="str">
        <f t="shared" si="54"/>
        <v/>
      </c>
      <c r="AN174" t="str">
        <f t="shared" si="55"/>
        <v/>
      </c>
      <c r="AO174" t="str">
        <f>IF($A174="","",Allocation!CJ174)</f>
        <v/>
      </c>
      <c r="AP174" t="str">
        <f>IF($A174="","",IF(Allocation!$N$2="VOL_EFF",$Q174,IF(Allocation!$N$2="VOL_CLASS",$R174,$S174)))</f>
        <v/>
      </c>
      <c r="AQ174" t="str">
        <f>IF($A174="","",IF(Allocation!$N$2="VOL_EFF",$T174,IF(Allocation!$N$2="VOL_CLASS",$U174,$V174)))</f>
        <v/>
      </c>
      <c r="AR174" t="str">
        <f t="shared" si="56"/>
        <v/>
      </c>
      <c r="AS174" t="str">
        <f>IF($A174="","",$A174&amp;"|"&amp;Allocation!BG174)</f>
        <v/>
      </c>
    </row>
    <row r="175" spans="1:45" x14ac:dyDescent="0.45">
      <c r="A175" t="str">
        <f>IF(Allocation!BI175="","",Allocation!BI175)</f>
        <v/>
      </c>
      <c r="B175" t="str">
        <f>IF(Allocation!BJ175="","",Allocation!BJ175)</f>
        <v/>
      </c>
      <c r="C175" t="str">
        <f>IF(Allocation!BK175="","",Allocation!BK175)</f>
        <v/>
      </c>
      <c r="D175" t="str">
        <f>IF(Allocation!BL175="","",Allocation!BL175)</f>
        <v/>
      </c>
      <c r="E175" t="str">
        <f>IF(Allocation!BM175="","",Allocation!BM175)</f>
        <v/>
      </c>
      <c r="F175" t="str">
        <f>IF(Allocation!BN175="","",Allocation!BN175)</f>
        <v/>
      </c>
      <c r="G175" t="str">
        <f>IF(Allocation!BO175="","",Allocation!BO175)</f>
        <v/>
      </c>
      <c r="H175" t="str">
        <f>IF(Allocation!BP175="","",Allocation!BP175)</f>
        <v/>
      </c>
      <c r="I175" t="str">
        <f>IF(Allocation!BQ175="","",Allocation!BQ175)</f>
        <v/>
      </c>
      <c r="J175" t="str">
        <f>IF(Allocation!CC175="","",Allocation!CC175)</f>
        <v/>
      </c>
      <c r="K175" t="str">
        <f t="shared" si="38"/>
        <v/>
      </c>
      <c r="L175" t="str">
        <f t="shared" si="39"/>
        <v/>
      </c>
      <c r="M175" t="str">
        <f t="shared" si="40"/>
        <v/>
      </c>
      <c r="N175" t="str">
        <f t="shared" si="41"/>
        <v/>
      </c>
      <c r="O175" t="str">
        <f t="shared" si="42"/>
        <v/>
      </c>
      <c r="P175" t="str">
        <f t="shared" si="43"/>
        <v/>
      </c>
      <c r="Q175" t="str">
        <f t="shared" si="44"/>
        <v/>
      </c>
      <c r="R175" t="str">
        <f t="shared" si="45"/>
        <v/>
      </c>
      <c r="S175" t="str">
        <f t="shared" si="46"/>
        <v/>
      </c>
      <c r="T175" t="str">
        <f t="shared" si="47"/>
        <v/>
      </c>
      <c r="U175" t="str">
        <f t="shared" si="48"/>
        <v/>
      </c>
      <c r="V175" t="str">
        <f t="shared" si="49"/>
        <v/>
      </c>
      <c r="W175" t="str">
        <f>IF($A175="","",Allocation!CD175)</f>
        <v/>
      </c>
      <c r="X175" t="str">
        <f>IF($A175="","",Allocation!CE175)</f>
        <v/>
      </c>
      <c r="Y175" t="str">
        <f>IF($A175="","",Allocation!CF175)</f>
        <v/>
      </c>
      <c r="Z175" t="str">
        <f>IF($A175="","",Allocation!CG175)</f>
        <v/>
      </c>
      <c r="AA175" t="str">
        <f>IF($A175="","",Allocation!CH175)</f>
        <v/>
      </c>
      <c r="AB175" t="str">
        <f>IF($A175="","",Allocation!CI175)</f>
        <v/>
      </c>
      <c r="AC175" t="str">
        <f>IF($A175="","",IF(Allocation!$N$4="VOL_EFF",$G175,IF(Allocation!$N$4="VOL_CLASS",$H175,$I175)))</f>
        <v/>
      </c>
      <c r="AD175" t="str">
        <f>IF($A175="","",IF(Allocation!$N$4="VOL_EFF",$L175,IF(Allocation!$N$4="VOL_CLASS",$M175,$N175)))</f>
        <v/>
      </c>
      <c r="AE175" t="str">
        <f>IF($A175="","",IF(Allocation!$N$3="VOL_EFF",$L175,IF(Allocation!$N$3="VOL_CLASS",$M175,$N175)))</f>
        <v/>
      </c>
      <c r="AF175" t="str">
        <f>IF($A175="","",IF(Allocation!$N$3="VOL_EFF",$Q175,IF(Allocation!$N$3="VOL_CLASS",$R175,$S175)))</f>
        <v/>
      </c>
      <c r="AG175" t="str">
        <f>IF($A175="","",IF(Allocation!$N$1="VOL_EFF",$Q175,IF(Allocation!$N$1="VOL_CLASS",$R175,$S175)))</f>
        <v/>
      </c>
      <c r="AH175" t="str">
        <f>IF($A175="","",IF(Allocation!$N$1="VOL_EFF",$T175,IF(Allocation!$N$1="VOL_CLASS",$U175,$V175)))</f>
        <v/>
      </c>
      <c r="AI175" t="str">
        <f t="shared" si="50"/>
        <v/>
      </c>
      <c r="AJ175" t="str">
        <f t="shared" si="51"/>
        <v/>
      </c>
      <c r="AK175" t="str">
        <f t="shared" si="52"/>
        <v/>
      </c>
      <c r="AL175" t="str">
        <f t="shared" si="53"/>
        <v/>
      </c>
      <c r="AM175" t="str">
        <f t="shared" si="54"/>
        <v/>
      </c>
      <c r="AN175" t="str">
        <f t="shared" si="55"/>
        <v/>
      </c>
      <c r="AO175" t="str">
        <f>IF($A175="","",Allocation!CJ175)</f>
        <v/>
      </c>
      <c r="AP175" t="str">
        <f>IF($A175="","",IF(Allocation!$N$2="VOL_EFF",$Q175,IF(Allocation!$N$2="VOL_CLASS",$R175,$S175)))</f>
        <v/>
      </c>
      <c r="AQ175" t="str">
        <f>IF($A175="","",IF(Allocation!$N$2="VOL_EFF",$T175,IF(Allocation!$N$2="VOL_CLASS",$U175,$V175)))</f>
        <v/>
      </c>
      <c r="AR175" t="str">
        <f t="shared" si="56"/>
        <v/>
      </c>
      <c r="AS175" t="str">
        <f>IF($A175="","",$A175&amp;"|"&amp;Allocation!BG175)</f>
        <v/>
      </c>
    </row>
    <row r="176" spans="1:45" x14ac:dyDescent="0.45">
      <c r="A176" t="str">
        <f>IF(Allocation!BI176="","",Allocation!BI176)</f>
        <v/>
      </c>
      <c r="B176" t="str">
        <f>IF(Allocation!BJ176="","",Allocation!BJ176)</f>
        <v/>
      </c>
      <c r="C176" t="str">
        <f>IF(Allocation!BK176="","",Allocation!BK176)</f>
        <v/>
      </c>
      <c r="D176" t="str">
        <f>IF(Allocation!BL176="","",Allocation!BL176)</f>
        <v/>
      </c>
      <c r="E176" t="str">
        <f>IF(Allocation!BM176="","",Allocation!BM176)</f>
        <v/>
      </c>
      <c r="F176" t="str">
        <f>IF(Allocation!BN176="","",Allocation!BN176)</f>
        <v/>
      </c>
      <c r="G176" t="str">
        <f>IF(Allocation!BO176="","",Allocation!BO176)</f>
        <v/>
      </c>
      <c r="H176" t="str">
        <f>IF(Allocation!BP176="","",Allocation!BP176)</f>
        <v/>
      </c>
      <c r="I176" t="str">
        <f>IF(Allocation!BQ176="","",Allocation!BQ176)</f>
        <v/>
      </c>
      <c r="J176" t="str">
        <f>IF(Allocation!CC176="","",Allocation!CC176)</f>
        <v/>
      </c>
      <c r="K176" t="str">
        <f t="shared" si="38"/>
        <v/>
      </c>
      <c r="L176" t="str">
        <f t="shared" si="39"/>
        <v/>
      </c>
      <c r="M176" t="str">
        <f t="shared" si="40"/>
        <v/>
      </c>
      <c r="N176" t="str">
        <f t="shared" si="41"/>
        <v/>
      </c>
      <c r="O176" t="str">
        <f t="shared" si="42"/>
        <v/>
      </c>
      <c r="P176" t="str">
        <f t="shared" si="43"/>
        <v/>
      </c>
      <c r="Q176" t="str">
        <f t="shared" si="44"/>
        <v/>
      </c>
      <c r="R176" t="str">
        <f t="shared" si="45"/>
        <v/>
      </c>
      <c r="S176" t="str">
        <f t="shared" si="46"/>
        <v/>
      </c>
      <c r="T176" t="str">
        <f t="shared" si="47"/>
        <v/>
      </c>
      <c r="U176" t="str">
        <f t="shared" si="48"/>
        <v/>
      </c>
      <c r="V176" t="str">
        <f t="shared" si="49"/>
        <v/>
      </c>
      <c r="W176" t="str">
        <f>IF($A176="","",Allocation!CD176)</f>
        <v/>
      </c>
      <c r="X176" t="str">
        <f>IF($A176="","",Allocation!CE176)</f>
        <v/>
      </c>
      <c r="Y176" t="str">
        <f>IF($A176="","",Allocation!CF176)</f>
        <v/>
      </c>
      <c r="Z176" t="str">
        <f>IF($A176="","",Allocation!CG176)</f>
        <v/>
      </c>
      <c r="AA176" t="str">
        <f>IF($A176="","",Allocation!CH176)</f>
        <v/>
      </c>
      <c r="AB176" t="str">
        <f>IF($A176="","",Allocation!CI176)</f>
        <v/>
      </c>
      <c r="AC176" t="str">
        <f>IF($A176="","",IF(Allocation!$N$4="VOL_EFF",$G176,IF(Allocation!$N$4="VOL_CLASS",$H176,$I176)))</f>
        <v/>
      </c>
      <c r="AD176" t="str">
        <f>IF($A176="","",IF(Allocation!$N$4="VOL_EFF",$L176,IF(Allocation!$N$4="VOL_CLASS",$M176,$N176)))</f>
        <v/>
      </c>
      <c r="AE176" t="str">
        <f>IF($A176="","",IF(Allocation!$N$3="VOL_EFF",$L176,IF(Allocation!$N$3="VOL_CLASS",$M176,$N176)))</f>
        <v/>
      </c>
      <c r="AF176" t="str">
        <f>IF($A176="","",IF(Allocation!$N$3="VOL_EFF",$Q176,IF(Allocation!$N$3="VOL_CLASS",$R176,$S176)))</f>
        <v/>
      </c>
      <c r="AG176" t="str">
        <f>IF($A176="","",IF(Allocation!$N$1="VOL_EFF",$Q176,IF(Allocation!$N$1="VOL_CLASS",$R176,$S176)))</f>
        <v/>
      </c>
      <c r="AH176" t="str">
        <f>IF($A176="","",IF(Allocation!$N$1="VOL_EFF",$T176,IF(Allocation!$N$1="VOL_CLASS",$U176,$V176)))</f>
        <v/>
      </c>
      <c r="AI176" t="str">
        <f t="shared" si="50"/>
        <v/>
      </c>
      <c r="AJ176" t="str">
        <f t="shared" si="51"/>
        <v/>
      </c>
      <c r="AK176" t="str">
        <f t="shared" si="52"/>
        <v/>
      </c>
      <c r="AL176" t="str">
        <f t="shared" si="53"/>
        <v/>
      </c>
      <c r="AM176" t="str">
        <f t="shared" si="54"/>
        <v/>
      </c>
      <c r="AN176" t="str">
        <f t="shared" si="55"/>
        <v/>
      </c>
      <c r="AO176" t="str">
        <f>IF($A176="","",Allocation!CJ176)</f>
        <v/>
      </c>
      <c r="AP176" t="str">
        <f>IF($A176="","",IF(Allocation!$N$2="VOL_EFF",$Q176,IF(Allocation!$N$2="VOL_CLASS",$R176,$S176)))</f>
        <v/>
      </c>
      <c r="AQ176" t="str">
        <f>IF($A176="","",IF(Allocation!$N$2="VOL_EFF",$T176,IF(Allocation!$N$2="VOL_CLASS",$U176,$V176)))</f>
        <v/>
      </c>
      <c r="AR176" t="str">
        <f t="shared" si="56"/>
        <v/>
      </c>
      <c r="AS176" t="str">
        <f>IF($A176="","",$A176&amp;"|"&amp;Allocation!BG176)</f>
        <v/>
      </c>
    </row>
    <row r="177" spans="1:45" x14ac:dyDescent="0.45">
      <c r="A177" t="str">
        <f>IF(Allocation!BI177="","",Allocation!BI177)</f>
        <v/>
      </c>
      <c r="B177" t="str">
        <f>IF(Allocation!BJ177="","",Allocation!BJ177)</f>
        <v/>
      </c>
      <c r="C177" t="str">
        <f>IF(Allocation!BK177="","",Allocation!BK177)</f>
        <v/>
      </c>
      <c r="D177" t="str">
        <f>IF(Allocation!BL177="","",Allocation!BL177)</f>
        <v/>
      </c>
      <c r="E177" t="str">
        <f>IF(Allocation!BM177="","",Allocation!BM177)</f>
        <v/>
      </c>
      <c r="F177" t="str">
        <f>IF(Allocation!BN177="","",Allocation!BN177)</f>
        <v/>
      </c>
      <c r="G177" t="str">
        <f>IF(Allocation!BO177="","",Allocation!BO177)</f>
        <v/>
      </c>
      <c r="H177" t="str">
        <f>IF(Allocation!BP177="","",Allocation!BP177)</f>
        <v/>
      </c>
      <c r="I177" t="str">
        <f>IF(Allocation!BQ177="","",Allocation!BQ177)</f>
        <v/>
      </c>
      <c r="J177" t="str">
        <f>IF(Allocation!CC177="","",Allocation!CC177)</f>
        <v/>
      </c>
      <c r="K177" t="str">
        <f t="shared" si="38"/>
        <v/>
      </c>
      <c r="L177" t="str">
        <f t="shared" si="39"/>
        <v/>
      </c>
      <c r="M177" t="str">
        <f t="shared" si="40"/>
        <v/>
      </c>
      <c r="N177" t="str">
        <f t="shared" si="41"/>
        <v/>
      </c>
      <c r="O177" t="str">
        <f t="shared" si="42"/>
        <v/>
      </c>
      <c r="P177" t="str">
        <f t="shared" si="43"/>
        <v/>
      </c>
      <c r="Q177" t="str">
        <f t="shared" si="44"/>
        <v/>
      </c>
      <c r="R177" t="str">
        <f t="shared" si="45"/>
        <v/>
      </c>
      <c r="S177" t="str">
        <f t="shared" si="46"/>
        <v/>
      </c>
      <c r="T177" t="str">
        <f t="shared" si="47"/>
        <v/>
      </c>
      <c r="U177" t="str">
        <f t="shared" si="48"/>
        <v/>
      </c>
      <c r="V177" t="str">
        <f t="shared" si="49"/>
        <v/>
      </c>
      <c r="W177" t="str">
        <f>IF($A177="","",Allocation!CD177)</f>
        <v/>
      </c>
      <c r="X177" t="str">
        <f>IF($A177="","",Allocation!CE177)</f>
        <v/>
      </c>
      <c r="Y177" t="str">
        <f>IF($A177="","",Allocation!CF177)</f>
        <v/>
      </c>
      <c r="Z177" t="str">
        <f>IF($A177="","",Allocation!CG177)</f>
        <v/>
      </c>
      <c r="AA177" t="str">
        <f>IF($A177="","",Allocation!CH177)</f>
        <v/>
      </c>
      <c r="AB177" t="str">
        <f>IF($A177="","",Allocation!CI177)</f>
        <v/>
      </c>
      <c r="AC177" t="str">
        <f>IF($A177="","",IF(Allocation!$N$4="VOL_EFF",$G177,IF(Allocation!$N$4="VOL_CLASS",$H177,$I177)))</f>
        <v/>
      </c>
      <c r="AD177" t="str">
        <f>IF($A177="","",IF(Allocation!$N$4="VOL_EFF",$L177,IF(Allocation!$N$4="VOL_CLASS",$M177,$N177)))</f>
        <v/>
      </c>
      <c r="AE177" t="str">
        <f>IF($A177="","",IF(Allocation!$N$3="VOL_EFF",$L177,IF(Allocation!$N$3="VOL_CLASS",$M177,$N177)))</f>
        <v/>
      </c>
      <c r="AF177" t="str">
        <f>IF($A177="","",IF(Allocation!$N$3="VOL_EFF",$Q177,IF(Allocation!$N$3="VOL_CLASS",$R177,$S177)))</f>
        <v/>
      </c>
      <c r="AG177" t="str">
        <f>IF($A177="","",IF(Allocation!$N$1="VOL_EFF",$Q177,IF(Allocation!$N$1="VOL_CLASS",$R177,$S177)))</f>
        <v/>
      </c>
      <c r="AH177" t="str">
        <f>IF($A177="","",IF(Allocation!$N$1="VOL_EFF",$T177,IF(Allocation!$N$1="VOL_CLASS",$U177,$V177)))</f>
        <v/>
      </c>
      <c r="AI177" t="str">
        <f t="shared" si="50"/>
        <v/>
      </c>
      <c r="AJ177" t="str">
        <f t="shared" si="51"/>
        <v/>
      </c>
      <c r="AK177" t="str">
        <f t="shared" si="52"/>
        <v/>
      </c>
      <c r="AL177" t="str">
        <f t="shared" si="53"/>
        <v/>
      </c>
      <c r="AM177" t="str">
        <f t="shared" si="54"/>
        <v/>
      </c>
      <c r="AN177" t="str">
        <f t="shared" si="55"/>
        <v/>
      </c>
      <c r="AO177" t="str">
        <f>IF($A177="","",Allocation!CJ177)</f>
        <v/>
      </c>
      <c r="AP177" t="str">
        <f>IF($A177="","",IF(Allocation!$N$2="VOL_EFF",$Q177,IF(Allocation!$N$2="VOL_CLASS",$R177,$S177)))</f>
        <v/>
      </c>
      <c r="AQ177" t="str">
        <f>IF($A177="","",IF(Allocation!$N$2="VOL_EFF",$T177,IF(Allocation!$N$2="VOL_CLASS",$U177,$V177)))</f>
        <v/>
      </c>
      <c r="AR177" t="str">
        <f t="shared" si="56"/>
        <v/>
      </c>
      <c r="AS177" t="str">
        <f>IF($A177="","",$A177&amp;"|"&amp;Allocation!BG177)</f>
        <v/>
      </c>
    </row>
    <row r="178" spans="1:45" x14ac:dyDescent="0.45">
      <c r="A178" t="str">
        <f>IF(Allocation!BI178="","",Allocation!BI178)</f>
        <v/>
      </c>
      <c r="B178" t="str">
        <f>IF(Allocation!BJ178="","",Allocation!BJ178)</f>
        <v/>
      </c>
      <c r="C178" t="str">
        <f>IF(Allocation!BK178="","",Allocation!BK178)</f>
        <v/>
      </c>
      <c r="D178" t="str">
        <f>IF(Allocation!BL178="","",Allocation!BL178)</f>
        <v/>
      </c>
      <c r="E178" t="str">
        <f>IF(Allocation!BM178="","",Allocation!BM178)</f>
        <v/>
      </c>
      <c r="F178" t="str">
        <f>IF(Allocation!BN178="","",Allocation!BN178)</f>
        <v/>
      </c>
      <c r="G178" t="str">
        <f>IF(Allocation!BO178="","",Allocation!BO178)</f>
        <v/>
      </c>
      <c r="H178" t="str">
        <f>IF(Allocation!BP178="","",Allocation!BP178)</f>
        <v/>
      </c>
      <c r="I178" t="str">
        <f>IF(Allocation!BQ178="","",Allocation!BQ178)</f>
        <v/>
      </c>
      <c r="J178" t="str">
        <f>IF(Allocation!CC178="","",Allocation!CC178)</f>
        <v/>
      </c>
      <c r="K178" t="str">
        <f t="shared" si="38"/>
        <v/>
      </c>
      <c r="L178" t="str">
        <f t="shared" si="39"/>
        <v/>
      </c>
      <c r="M178" t="str">
        <f t="shared" si="40"/>
        <v/>
      </c>
      <c r="N178" t="str">
        <f t="shared" si="41"/>
        <v/>
      </c>
      <c r="O178" t="str">
        <f t="shared" si="42"/>
        <v/>
      </c>
      <c r="P178" t="str">
        <f t="shared" si="43"/>
        <v/>
      </c>
      <c r="Q178" t="str">
        <f t="shared" si="44"/>
        <v/>
      </c>
      <c r="R178" t="str">
        <f t="shared" si="45"/>
        <v/>
      </c>
      <c r="S178" t="str">
        <f t="shared" si="46"/>
        <v/>
      </c>
      <c r="T178" t="str">
        <f t="shared" si="47"/>
        <v/>
      </c>
      <c r="U178" t="str">
        <f t="shared" si="48"/>
        <v/>
      </c>
      <c r="V178" t="str">
        <f t="shared" si="49"/>
        <v/>
      </c>
      <c r="W178" t="str">
        <f>IF($A178="","",Allocation!CD178)</f>
        <v/>
      </c>
      <c r="X178" t="str">
        <f>IF($A178="","",Allocation!CE178)</f>
        <v/>
      </c>
      <c r="Y178" t="str">
        <f>IF($A178="","",Allocation!CF178)</f>
        <v/>
      </c>
      <c r="Z178" t="str">
        <f>IF($A178="","",Allocation!CG178)</f>
        <v/>
      </c>
      <c r="AA178" t="str">
        <f>IF($A178="","",Allocation!CH178)</f>
        <v/>
      </c>
      <c r="AB178" t="str">
        <f>IF($A178="","",Allocation!CI178)</f>
        <v/>
      </c>
      <c r="AC178" t="str">
        <f>IF($A178="","",IF(Allocation!$N$4="VOL_EFF",$G178,IF(Allocation!$N$4="VOL_CLASS",$H178,$I178)))</f>
        <v/>
      </c>
      <c r="AD178" t="str">
        <f>IF($A178="","",IF(Allocation!$N$4="VOL_EFF",$L178,IF(Allocation!$N$4="VOL_CLASS",$M178,$N178)))</f>
        <v/>
      </c>
      <c r="AE178" t="str">
        <f>IF($A178="","",IF(Allocation!$N$3="VOL_EFF",$L178,IF(Allocation!$N$3="VOL_CLASS",$M178,$N178)))</f>
        <v/>
      </c>
      <c r="AF178" t="str">
        <f>IF($A178="","",IF(Allocation!$N$3="VOL_EFF",$Q178,IF(Allocation!$N$3="VOL_CLASS",$R178,$S178)))</f>
        <v/>
      </c>
      <c r="AG178" t="str">
        <f>IF($A178="","",IF(Allocation!$N$1="VOL_EFF",$Q178,IF(Allocation!$N$1="VOL_CLASS",$R178,$S178)))</f>
        <v/>
      </c>
      <c r="AH178" t="str">
        <f>IF($A178="","",IF(Allocation!$N$1="VOL_EFF",$T178,IF(Allocation!$N$1="VOL_CLASS",$U178,$V178)))</f>
        <v/>
      </c>
      <c r="AI178" t="str">
        <f t="shared" si="50"/>
        <v/>
      </c>
      <c r="AJ178" t="str">
        <f t="shared" si="51"/>
        <v/>
      </c>
      <c r="AK178" t="str">
        <f t="shared" si="52"/>
        <v/>
      </c>
      <c r="AL178" t="str">
        <f t="shared" si="53"/>
        <v/>
      </c>
      <c r="AM178" t="str">
        <f t="shared" si="54"/>
        <v/>
      </c>
      <c r="AN178" t="str">
        <f t="shared" si="55"/>
        <v/>
      </c>
      <c r="AO178" t="str">
        <f>IF($A178="","",Allocation!CJ178)</f>
        <v/>
      </c>
      <c r="AP178" t="str">
        <f>IF($A178="","",IF(Allocation!$N$2="VOL_EFF",$Q178,IF(Allocation!$N$2="VOL_CLASS",$R178,$S178)))</f>
        <v/>
      </c>
      <c r="AQ178" t="str">
        <f>IF($A178="","",IF(Allocation!$N$2="VOL_EFF",$T178,IF(Allocation!$N$2="VOL_CLASS",$U178,$V178)))</f>
        <v/>
      </c>
      <c r="AR178" t="str">
        <f t="shared" si="56"/>
        <v/>
      </c>
      <c r="AS178" t="str">
        <f>IF($A178="","",$A178&amp;"|"&amp;Allocation!BG178)</f>
        <v/>
      </c>
    </row>
    <row r="179" spans="1:45" x14ac:dyDescent="0.45">
      <c r="A179" t="str">
        <f>IF(Allocation!BI179="","",Allocation!BI179)</f>
        <v/>
      </c>
      <c r="B179" t="str">
        <f>IF(Allocation!BJ179="","",Allocation!BJ179)</f>
        <v/>
      </c>
      <c r="C179" t="str">
        <f>IF(Allocation!BK179="","",Allocation!BK179)</f>
        <v/>
      </c>
      <c r="D179" t="str">
        <f>IF(Allocation!BL179="","",Allocation!BL179)</f>
        <v/>
      </c>
      <c r="E179" t="str">
        <f>IF(Allocation!BM179="","",Allocation!BM179)</f>
        <v/>
      </c>
      <c r="F179" t="str">
        <f>IF(Allocation!BN179="","",Allocation!BN179)</f>
        <v/>
      </c>
      <c r="G179" t="str">
        <f>IF(Allocation!BO179="","",Allocation!BO179)</f>
        <v/>
      </c>
      <c r="H179" t="str">
        <f>IF(Allocation!BP179="","",Allocation!BP179)</f>
        <v/>
      </c>
      <c r="I179" t="str">
        <f>IF(Allocation!BQ179="","",Allocation!BQ179)</f>
        <v/>
      </c>
      <c r="J179" t="str">
        <f>IF(Allocation!CC179="","",Allocation!CC179)</f>
        <v/>
      </c>
      <c r="K179" t="str">
        <f t="shared" si="38"/>
        <v/>
      </c>
      <c r="L179" t="str">
        <f t="shared" si="39"/>
        <v/>
      </c>
      <c r="M179" t="str">
        <f t="shared" si="40"/>
        <v/>
      </c>
      <c r="N179" t="str">
        <f t="shared" si="41"/>
        <v/>
      </c>
      <c r="O179" t="str">
        <f t="shared" si="42"/>
        <v/>
      </c>
      <c r="P179" t="str">
        <f t="shared" si="43"/>
        <v/>
      </c>
      <c r="Q179" t="str">
        <f t="shared" si="44"/>
        <v/>
      </c>
      <c r="R179" t="str">
        <f t="shared" si="45"/>
        <v/>
      </c>
      <c r="S179" t="str">
        <f t="shared" si="46"/>
        <v/>
      </c>
      <c r="T179" t="str">
        <f t="shared" si="47"/>
        <v/>
      </c>
      <c r="U179" t="str">
        <f t="shared" si="48"/>
        <v/>
      </c>
      <c r="V179" t="str">
        <f t="shared" si="49"/>
        <v/>
      </c>
      <c r="W179" t="str">
        <f>IF($A179="","",Allocation!CD179)</f>
        <v/>
      </c>
      <c r="X179" t="str">
        <f>IF($A179="","",Allocation!CE179)</f>
        <v/>
      </c>
      <c r="Y179" t="str">
        <f>IF($A179="","",Allocation!CF179)</f>
        <v/>
      </c>
      <c r="Z179" t="str">
        <f>IF($A179="","",Allocation!CG179)</f>
        <v/>
      </c>
      <c r="AA179" t="str">
        <f>IF($A179="","",Allocation!CH179)</f>
        <v/>
      </c>
      <c r="AB179" t="str">
        <f>IF($A179="","",Allocation!CI179)</f>
        <v/>
      </c>
      <c r="AC179" t="str">
        <f>IF($A179="","",IF(Allocation!$N$4="VOL_EFF",$G179,IF(Allocation!$N$4="VOL_CLASS",$H179,$I179)))</f>
        <v/>
      </c>
      <c r="AD179" t="str">
        <f>IF($A179="","",IF(Allocation!$N$4="VOL_EFF",$L179,IF(Allocation!$N$4="VOL_CLASS",$M179,$N179)))</f>
        <v/>
      </c>
      <c r="AE179" t="str">
        <f>IF($A179="","",IF(Allocation!$N$3="VOL_EFF",$L179,IF(Allocation!$N$3="VOL_CLASS",$M179,$N179)))</f>
        <v/>
      </c>
      <c r="AF179" t="str">
        <f>IF($A179="","",IF(Allocation!$N$3="VOL_EFF",$Q179,IF(Allocation!$N$3="VOL_CLASS",$R179,$S179)))</f>
        <v/>
      </c>
      <c r="AG179" t="str">
        <f>IF($A179="","",IF(Allocation!$N$1="VOL_EFF",$Q179,IF(Allocation!$N$1="VOL_CLASS",$R179,$S179)))</f>
        <v/>
      </c>
      <c r="AH179" t="str">
        <f>IF($A179="","",IF(Allocation!$N$1="VOL_EFF",$T179,IF(Allocation!$N$1="VOL_CLASS",$U179,$V179)))</f>
        <v/>
      </c>
      <c r="AI179" t="str">
        <f t="shared" si="50"/>
        <v/>
      </c>
      <c r="AJ179" t="str">
        <f t="shared" si="51"/>
        <v/>
      </c>
      <c r="AK179" t="str">
        <f t="shared" si="52"/>
        <v/>
      </c>
      <c r="AL179" t="str">
        <f t="shared" si="53"/>
        <v/>
      </c>
      <c r="AM179" t="str">
        <f t="shared" si="54"/>
        <v/>
      </c>
      <c r="AN179" t="str">
        <f t="shared" si="55"/>
        <v/>
      </c>
      <c r="AO179" t="str">
        <f>IF($A179="","",Allocation!CJ179)</f>
        <v/>
      </c>
      <c r="AP179" t="str">
        <f>IF($A179="","",IF(Allocation!$N$2="VOL_EFF",$Q179,IF(Allocation!$N$2="VOL_CLASS",$R179,$S179)))</f>
        <v/>
      </c>
      <c r="AQ179" t="str">
        <f>IF($A179="","",IF(Allocation!$N$2="VOL_EFF",$T179,IF(Allocation!$N$2="VOL_CLASS",$U179,$V179)))</f>
        <v/>
      </c>
      <c r="AR179" t="str">
        <f t="shared" si="56"/>
        <v/>
      </c>
      <c r="AS179" t="str">
        <f>IF($A179="","",$A179&amp;"|"&amp;Allocation!BG179)</f>
        <v/>
      </c>
    </row>
    <row r="180" spans="1:45" x14ac:dyDescent="0.45">
      <c r="A180" t="str">
        <f>IF(Allocation!BI180="","",Allocation!BI180)</f>
        <v/>
      </c>
      <c r="B180" t="str">
        <f>IF(Allocation!BJ180="","",Allocation!BJ180)</f>
        <v/>
      </c>
      <c r="C180" t="str">
        <f>IF(Allocation!BK180="","",Allocation!BK180)</f>
        <v/>
      </c>
      <c r="D180" t="str">
        <f>IF(Allocation!BL180="","",Allocation!BL180)</f>
        <v/>
      </c>
      <c r="E180" t="str">
        <f>IF(Allocation!BM180="","",Allocation!BM180)</f>
        <v/>
      </c>
      <c r="F180" t="str">
        <f>IF(Allocation!BN180="","",Allocation!BN180)</f>
        <v/>
      </c>
      <c r="G180" t="str">
        <f>IF(Allocation!BO180="","",Allocation!BO180)</f>
        <v/>
      </c>
      <c r="H180" t="str">
        <f>IF(Allocation!BP180="","",Allocation!BP180)</f>
        <v/>
      </c>
      <c r="I180" t="str">
        <f>IF(Allocation!BQ180="","",Allocation!BQ180)</f>
        <v/>
      </c>
      <c r="J180" t="str">
        <f>IF(Allocation!CC180="","",Allocation!CC180)</f>
        <v/>
      </c>
      <c r="K180" t="str">
        <f t="shared" si="38"/>
        <v/>
      </c>
      <c r="L180" t="str">
        <f t="shared" si="39"/>
        <v/>
      </c>
      <c r="M180" t="str">
        <f t="shared" si="40"/>
        <v/>
      </c>
      <c r="N180" t="str">
        <f t="shared" si="41"/>
        <v/>
      </c>
      <c r="O180" t="str">
        <f t="shared" si="42"/>
        <v/>
      </c>
      <c r="P180" t="str">
        <f t="shared" si="43"/>
        <v/>
      </c>
      <c r="Q180" t="str">
        <f t="shared" si="44"/>
        <v/>
      </c>
      <c r="R180" t="str">
        <f t="shared" si="45"/>
        <v/>
      </c>
      <c r="S180" t="str">
        <f t="shared" si="46"/>
        <v/>
      </c>
      <c r="T180" t="str">
        <f t="shared" si="47"/>
        <v/>
      </c>
      <c r="U180" t="str">
        <f t="shared" si="48"/>
        <v/>
      </c>
      <c r="V180" t="str">
        <f t="shared" si="49"/>
        <v/>
      </c>
      <c r="W180" t="str">
        <f>IF($A180="","",Allocation!CD180)</f>
        <v/>
      </c>
      <c r="X180" t="str">
        <f>IF($A180="","",Allocation!CE180)</f>
        <v/>
      </c>
      <c r="Y180" t="str">
        <f>IF($A180="","",Allocation!CF180)</f>
        <v/>
      </c>
      <c r="Z180" t="str">
        <f>IF($A180="","",Allocation!CG180)</f>
        <v/>
      </c>
      <c r="AA180" t="str">
        <f>IF($A180="","",Allocation!CH180)</f>
        <v/>
      </c>
      <c r="AB180" t="str">
        <f>IF($A180="","",Allocation!CI180)</f>
        <v/>
      </c>
      <c r="AC180" t="str">
        <f>IF($A180="","",IF(Allocation!$N$4="VOL_EFF",$G180,IF(Allocation!$N$4="VOL_CLASS",$H180,$I180)))</f>
        <v/>
      </c>
      <c r="AD180" t="str">
        <f>IF($A180="","",IF(Allocation!$N$4="VOL_EFF",$L180,IF(Allocation!$N$4="VOL_CLASS",$M180,$N180)))</f>
        <v/>
      </c>
      <c r="AE180" t="str">
        <f>IF($A180="","",IF(Allocation!$N$3="VOL_EFF",$L180,IF(Allocation!$N$3="VOL_CLASS",$M180,$N180)))</f>
        <v/>
      </c>
      <c r="AF180" t="str">
        <f>IF($A180="","",IF(Allocation!$N$3="VOL_EFF",$Q180,IF(Allocation!$N$3="VOL_CLASS",$R180,$S180)))</f>
        <v/>
      </c>
      <c r="AG180" t="str">
        <f>IF($A180="","",IF(Allocation!$N$1="VOL_EFF",$Q180,IF(Allocation!$N$1="VOL_CLASS",$R180,$S180)))</f>
        <v/>
      </c>
      <c r="AH180" t="str">
        <f>IF($A180="","",IF(Allocation!$N$1="VOL_EFF",$T180,IF(Allocation!$N$1="VOL_CLASS",$U180,$V180)))</f>
        <v/>
      </c>
      <c r="AI180" t="str">
        <f t="shared" si="50"/>
        <v/>
      </c>
      <c r="AJ180" t="str">
        <f t="shared" si="51"/>
        <v/>
      </c>
      <c r="AK180" t="str">
        <f t="shared" si="52"/>
        <v/>
      </c>
      <c r="AL180" t="str">
        <f t="shared" si="53"/>
        <v/>
      </c>
      <c r="AM180" t="str">
        <f t="shared" si="54"/>
        <v/>
      </c>
      <c r="AN180" t="str">
        <f t="shared" si="55"/>
        <v/>
      </c>
      <c r="AO180" t="str">
        <f>IF($A180="","",Allocation!CJ180)</f>
        <v/>
      </c>
      <c r="AP180" t="str">
        <f>IF($A180="","",IF(Allocation!$N$2="VOL_EFF",$Q180,IF(Allocation!$N$2="VOL_CLASS",$R180,$S180)))</f>
        <v/>
      </c>
      <c r="AQ180" t="str">
        <f>IF($A180="","",IF(Allocation!$N$2="VOL_EFF",$T180,IF(Allocation!$N$2="VOL_CLASS",$U180,$V180)))</f>
        <v/>
      </c>
      <c r="AR180" t="str">
        <f t="shared" si="56"/>
        <v/>
      </c>
      <c r="AS180" t="str">
        <f>IF($A180="","",$A180&amp;"|"&amp;Allocation!BG180)</f>
        <v/>
      </c>
    </row>
    <row r="181" spans="1:45" x14ac:dyDescent="0.45">
      <c r="A181" t="str">
        <f>IF(Allocation!BI181="","",Allocation!BI181)</f>
        <v/>
      </c>
      <c r="B181" t="str">
        <f>IF(Allocation!BJ181="","",Allocation!BJ181)</f>
        <v/>
      </c>
      <c r="C181" t="str">
        <f>IF(Allocation!BK181="","",Allocation!BK181)</f>
        <v/>
      </c>
      <c r="D181" t="str">
        <f>IF(Allocation!BL181="","",Allocation!BL181)</f>
        <v/>
      </c>
      <c r="E181" t="str">
        <f>IF(Allocation!BM181="","",Allocation!BM181)</f>
        <v/>
      </c>
      <c r="F181" t="str">
        <f>IF(Allocation!BN181="","",Allocation!BN181)</f>
        <v/>
      </c>
      <c r="G181" t="str">
        <f>IF(Allocation!BO181="","",Allocation!BO181)</f>
        <v/>
      </c>
      <c r="H181" t="str">
        <f>IF(Allocation!BP181="","",Allocation!BP181)</f>
        <v/>
      </c>
      <c r="I181" t="str">
        <f>IF(Allocation!BQ181="","",Allocation!BQ181)</f>
        <v/>
      </c>
      <c r="J181" t="str">
        <f>IF(Allocation!CC181="","",Allocation!CC181)</f>
        <v/>
      </c>
      <c r="K181" t="str">
        <f t="shared" si="38"/>
        <v/>
      </c>
      <c r="L181" t="str">
        <f t="shared" si="39"/>
        <v/>
      </c>
      <c r="M181" t="str">
        <f t="shared" si="40"/>
        <v/>
      </c>
      <c r="N181" t="str">
        <f t="shared" si="41"/>
        <v/>
      </c>
      <c r="O181" t="str">
        <f t="shared" si="42"/>
        <v/>
      </c>
      <c r="P181" t="str">
        <f t="shared" si="43"/>
        <v/>
      </c>
      <c r="Q181" t="str">
        <f t="shared" si="44"/>
        <v/>
      </c>
      <c r="R181" t="str">
        <f t="shared" si="45"/>
        <v/>
      </c>
      <c r="S181" t="str">
        <f t="shared" si="46"/>
        <v/>
      </c>
      <c r="T181" t="str">
        <f t="shared" si="47"/>
        <v/>
      </c>
      <c r="U181" t="str">
        <f t="shared" si="48"/>
        <v/>
      </c>
      <c r="V181" t="str">
        <f t="shared" si="49"/>
        <v/>
      </c>
      <c r="W181" t="str">
        <f>IF($A181="","",Allocation!CD181)</f>
        <v/>
      </c>
      <c r="X181" t="str">
        <f>IF($A181="","",Allocation!CE181)</f>
        <v/>
      </c>
      <c r="Y181" t="str">
        <f>IF($A181="","",Allocation!CF181)</f>
        <v/>
      </c>
      <c r="Z181" t="str">
        <f>IF($A181="","",Allocation!CG181)</f>
        <v/>
      </c>
      <c r="AA181" t="str">
        <f>IF($A181="","",Allocation!CH181)</f>
        <v/>
      </c>
      <c r="AB181" t="str">
        <f>IF($A181="","",Allocation!CI181)</f>
        <v/>
      </c>
      <c r="AC181" t="str">
        <f>IF($A181="","",IF(Allocation!$N$4="VOL_EFF",$G181,IF(Allocation!$N$4="VOL_CLASS",$H181,$I181)))</f>
        <v/>
      </c>
      <c r="AD181" t="str">
        <f>IF($A181="","",IF(Allocation!$N$4="VOL_EFF",$L181,IF(Allocation!$N$4="VOL_CLASS",$M181,$N181)))</f>
        <v/>
      </c>
      <c r="AE181" t="str">
        <f>IF($A181="","",IF(Allocation!$N$3="VOL_EFF",$L181,IF(Allocation!$N$3="VOL_CLASS",$M181,$N181)))</f>
        <v/>
      </c>
      <c r="AF181" t="str">
        <f>IF($A181="","",IF(Allocation!$N$3="VOL_EFF",$Q181,IF(Allocation!$N$3="VOL_CLASS",$R181,$S181)))</f>
        <v/>
      </c>
      <c r="AG181" t="str">
        <f>IF($A181="","",IF(Allocation!$N$1="VOL_EFF",$Q181,IF(Allocation!$N$1="VOL_CLASS",$R181,$S181)))</f>
        <v/>
      </c>
      <c r="AH181" t="str">
        <f>IF($A181="","",IF(Allocation!$N$1="VOL_EFF",$T181,IF(Allocation!$N$1="VOL_CLASS",$U181,$V181)))</f>
        <v/>
      </c>
      <c r="AI181" t="str">
        <f t="shared" si="50"/>
        <v/>
      </c>
      <c r="AJ181" t="str">
        <f t="shared" si="51"/>
        <v/>
      </c>
      <c r="AK181" t="str">
        <f t="shared" si="52"/>
        <v/>
      </c>
      <c r="AL181" t="str">
        <f t="shared" si="53"/>
        <v/>
      </c>
      <c r="AM181" t="str">
        <f t="shared" si="54"/>
        <v/>
      </c>
      <c r="AN181" t="str">
        <f t="shared" si="55"/>
        <v/>
      </c>
      <c r="AO181" t="str">
        <f>IF($A181="","",Allocation!CJ181)</f>
        <v/>
      </c>
      <c r="AP181" t="str">
        <f>IF($A181="","",IF(Allocation!$N$2="VOL_EFF",$Q181,IF(Allocation!$N$2="VOL_CLASS",$R181,$S181)))</f>
        <v/>
      </c>
      <c r="AQ181" t="str">
        <f>IF($A181="","",IF(Allocation!$N$2="VOL_EFF",$T181,IF(Allocation!$N$2="VOL_CLASS",$U181,$V181)))</f>
        <v/>
      </c>
      <c r="AR181" t="str">
        <f t="shared" si="56"/>
        <v/>
      </c>
      <c r="AS181" t="str">
        <f>IF($A181="","",$A181&amp;"|"&amp;Allocation!BG181)</f>
        <v/>
      </c>
    </row>
    <row r="182" spans="1:45" x14ac:dyDescent="0.45">
      <c r="A182" t="str">
        <f>IF(Allocation!BI182="","",Allocation!BI182)</f>
        <v/>
      </c>
      <c r="B182" t="str">
        <f>IF(Allocation!BJ182="","",Allocation!BJ182)</f>
        <v/>
      </c>
      <c r="C182" t="str">
        <f>IF(Allocation!BK182="","",Allocation!BK182)</f>
        <v/>
      </c>
      <c r="D182" t="str">
        <f>IF(Allocation!BL182="","",Allocation!BL182)</f>
        <v/>
      </c>
      <c r="E182" t="str">
        <f>IF(Allocation!BM182="","",Allocation!BM182)</f>
        <v/>
      </c>
      <c r="F182" t="str">
        <f>IF(Allocation!BN182="","",Allocation!BN182)</f>
        <v/>
      </c>
      <c r="G182" t="str">
        <f>IF(Allocation!BO182="","",Allocation!BO182)</f>
        <v/>
      </c>
      <c r="H182" t="str">
        <f>IF(Allocation!BP182="","",Allocation!BP182)</f>
        <v/>
      </c>
      <c r="I182" t="str">
        <f>IF(Allocation!BQ182="","",Allocation!BQ182)</f>
        <v/>
      </c>
      <c r="J182" t="str">
        <f>IF(Allocation!CC182="","",Allocation!CC182)</f>
        <v/>
      </c>
      <c r="K182" t="str">
        <f t="shared" si="38"/>
        <v/>
      </c>
      <c r="L182" t="str">
        <f t="shared" si="39"/>
        <v/>
      </c>
      <c r="M182" t="str">
        <f t="shared" si="40"/>
        <v/>
      </c>
      <c r="N182" t="str">
        <f t="shared" si="41"/>
        <v/>
      </c>
      <c r="O182" t="str">
        <f t="shared" si="42"/>
        <v/>
      </c>
      <c r="P182" t="str">
        <f t="shared" si="43"/>
        <v/>
      </c>
      <c r="Q182" t="str">
        <f t="shared" si="44"/>
        <v/>
      </c>
      <c r="R182" t="str">
        <f t="shared" si="45"/>
        <v/>
      </c>
      <c r="S182" t="str">
        <f t="shared" si="46"/>
        <v/>
      </c>
      <c r="T182" t="str">
        <f t="shared" si="47"/>
        <v/>
      </c>
      <c r="U182" t="str">
        <f t="shared" si="48"/>
        <v/>
      </c>
      <c r="V182" t="str">
        <f t="shared" si="49"/>
        <v/>
      </c>
      <c r="W182" t="str">
        <f>IF($A182="","",Allocation!CD182)</f>
        <v/>
      </c>
      <c r="X182" t="str">
        <f>IF($A182="","",Allocation!CE182)</f>
        <v/>
      </c>
      <c r="Y182" t="str">
        <f>IF($A182="","",Allocation!CF182)</f>
        <v/>
      </c>
      <c r="Z182" t="str">
        <f>IF($A182="","",Allocation!CG182)</f>
        <v/>
      </c>
      <c r="AA182" t="str">
        <f>IF($A182="","",Allocation!CH182)</f>
        <v/>
      </c>
      <c r="AB182" t="str">
        <f>IF($A182="","",Allocation!CI182)</f>
        <v/>
      </c>
      <c r="AC182" t="str">
        <f>IF($A182="","",IF(Allocation!$N$4="VOL_EFF",$G182,IF(Allocation!$N$4="VOL_CLASS",$H182,$I182)))</f>
        <v/>
      </c>
      <c r="AD182" t="str">
        <f>IF($A182="","",IF(Allocation!$N$4="VOL_EFF",$L182,IF(Allocation!$N$4="VOL_CLASS",$M182,$N182)))</f>
        <v/>
      </c>
      <c r="AE182" t="str">
        <f>IF($A182="","",IF(Allocation!$N$3="VOL_EFF",$L182,IF(Allocation!$N$3="VOL_CLASS",$M182,$N182)))</f>
        <v/>
      </c>
      <c r="AF182" t="str">
        <f>IF($A182="","",IF(Allocation!$N$3="VOL_EFF",$Q182,IF(Allocation!$N$3="VOL_CLASS",$R182,$S182)))</f>
        <v/>
      </c>
      <c r="AG182" t="str">
        <f>IF($A182="","",IF(Allocation!$N$1="VOL_EFF",$Q182,IF(Allocation!$N$1="VOL_CLASS",$R182,$S182)))</f>
        <v/>
      </c>
      <c r="AH182" t="str">
        <f>IF($A182="","",IF(Allocation!$N$1="VOL_EFF",$T182,IF(Allocation!$N$1="VOL_CLASS",$U182,$V182)))</f>
        <v/>
      </c>
      <c r="AI182" t="str">
        <f t="shared" si="50"/>
        <v/>
      </c>
      <c r="AJ182" t="str">
        <f t="shared" si="51"/>
        <v/>
      </c>
      <c r="AK182" t="str">
        <f t="shared" si="52"/>
        <v/>
      </c>
      <c r="AL182" t="str">
        <f t="shared" si="53"/>
        <v/>
      </c>
      <c r="AM182" t="str">
        <f t="shared" si="54"/>
        <v/>
      </c>
      <c r="AN182" t="str">
        <f t="shared" si="55"/>
        <v/>
      </c>
      <c r="AO182" t="str">
        <f>IF($A182="","",Allocation!CJ182)</f>
        <v/>
      </c>
      <c r="AP182" t="str">
        <f>IF($A182="","",IF(Allocation!$N$2="VOL_EFF",$Q182,IF(Allocation!$N$2="VOL_CLASS",$R182,$S182)))</f>
        <v/>
      </c>
      <c r="AQ182" t="str">
        <f>IF($A182="","",IF(Allocation!$N$2="VOL_EFF",$T182,IF(Allocation!$N$2="VOL_CLASS",$U182,$V182)))</f>
        <v/>
      </c>
      <c r="AR182" t="str">
        <f t="shared" si="56"/>
        <v/>
      </c>
      <c r="AS182" t="str">
        <f>IF($A182="","",$A182&amp;"|"&amp;Allocation!BG182)</f>
        <v/>
      </c>
    </row>
    <row r="183" spans="1:45" x14ac:dyDescent="0.45">
      <c r="A183" t="str">
        <f>IF(Allocation!BI183="","",Allocation!BI183)</f>
        <v/>
      </c>
      <c r="B183" t="str">
        <f>IF(Allocation!BJ183="","",Allocation!BJ183)</f>
        <v/>
      </c>
      <c r="C183" t="str">
        <f>IF(Allocation!BK183="","",Allocation!BK183)</f>
        <v/>
      </c>
      <c r="D183" t="str">
        <f>IF(Allocation!BL183="","",Allocation!BL183)</f>
        <v/>
      </c>
      <c r="E183" t="str">
        <f>IF(Allocation!BM183="","",Allocation!BM183)</f>
        <v/>
      </c>
      <c r="F183" t="str">
        <f>IF(Allocation!BN183="","",Allocation!BN183)</f>
        <v/>
      </c>
      <c r="G183" t="str">
        <f>IF(Allocation!BO183="","",Allocation!BO183)</f>
        <v/>
      </c>
      <c r="H183" t="str">
        <f>IF(Allocation!BP183="","",Allocation!BP183)</f>
        <v/>
      </c>
      <c r="I183" t="str">
        <f>IF(Allocation!BQ183="","",Allocation!BQ183)</f>
        <v/>
      </c>
      <c r="J183" t="str">
        <f>IF(Allocation!CC183="","",Allocation!CC183)</f>
        <v/>
      </c>
      <c r="K183" t="str">
        <f t="shared" si="38"/>
        <v/>
      </c>
      <c r="L183" t="str">
        <f t="shared" si="39"/>
        <v/>
      </c>
      <c r="M183" t="str">
        <f t="shared" si="40"/>
        <v/>
      </c>
      <c r="N183" t="str">
        <f t="shared" si="41"/>
        <v/>
      </c>
      <c r="O183" t="str">
        <f t="shared" si="42"/>
        <v/>
      </c>
      <c r="P183" t="str">
        <f t="shared" si="43"/>
        <v/>
      </c>
      <c r="Q183" t="str">
        <f t="shared" si="44"/>
        <v/>
      </c>
      <c r="R183" t="str">
        <f t="shared" si="45"/>
        <v/>
      </c>
      <c r="S183" t="str">
        <f t="shared" si="46"/>
        <v/>
      </c>
      <c r="T183" t="str">
        <f t="shared" si="47"/>
        <v/>
      </c>
      <c r="U183" t="str">
        <f t="shared" si="48"/>
        <v/>
      </c>
      <c r="V183" t="str">
        <f t="shared" si="49"/>
        <v/>
      </c>
      <c r="W183" t="str">
        <f>IF($A183="","",Allocation!CD183)</f>
        <v/>
      </c>
      <c r="X183" t="str">
        <f>IF($A183="","",Allocation!CE183)</f>
        <v/>
      </c>
      <c r="Y183" t="str">
        <f>IF($A183="","",Allocation!CF183)</f>
        <v/>
      </c>
      <c r="Z183" t="str">
        <f>IF($A183="","",Allocation!CG183)</f>
        <v/>
      </c>
      <c r="AA183" t="str">
        <f>IF($A183="","",Allocation!CH183)</f>
        <v/>
      </c>
      <c r="AB183" t="str">
        <f>IF($A183="","",Allocation!CI183)</f>
        <v/>
      </c>
      <c r="AC183" t="str">
        <f>IF($A183="","",IF(Allocation!$N$4="VOL_EFF",$G183,IF(Allocation!$N$4="VOL_CLASS",$H183,$I183)))</f>
        <v/>
      </c>
      <c r="AD183" t="str">
        <f>IF($A183="","",IF(Allocation!$N$4="VOL_EFF",$L183,IF(Allocation!$N$4="VOL_CLASS",$M183,$N183)))</f>
        <v/>
      </c>
      <c r="AE183" t="str">
        <f>IF($A183="","",IF(Allocation!$N$3="VOL_EFF",$L183,IF(Allocation!$N$3="VOL_CLASS",$M183,$N183)))</f>
        <v/>
      </c>
      <c r="AF183" t="str">
        <f>IF($A183="","",IF(Allocation!$N$3="VOL_EFF",$Q183,IF(Allocation!$N$3="VOL_CLASS",$R183,$S183)))</f>
        <v/>
      </c>
      <c r="AG183" t="str">
        <f>IF($A183="","",IF(Allocation!$N$1="VOL_EFF",$Q183,IF(Allocation!$N$1="VOL_CLASS",$R183,$S183)))</f>
        <v/>
      </c>
      <c r="AH183" t="str">
        <f>IF($A183="","",IF(Allocation!$N$1="VOL_EFF",$T183,IF(Allocation!$N$1="VOL_CLASS",$U183,$V183)))</f>
        <v/>
      </c>
      <c r="AI183" t="str">
        <f t="shared" si="50"/>
        <v/>
      </c>
      <c r="AJ183" t="str">
        <f t="shared" si="51"/>
        <v/>
      </c>
      <c r="AK183" t="str">
        <f t="shared" si="52"/>
        <v/>
      </c>
      <c r="AL183" t="str">
        <f t="shared" si="53"/>
        <v/>
      </c>
      <c r="AM183" t="str">
        <f t="shared" si="54"/>
        <v/>
      </c>
      <c r="AN183" t="str">
        <f t="shared" si="55"/>
        <v/>
      </c>
      <c r="AO183" t="str">
        <f>IF($A183="","",Allocation!CJ183)</f>
        <v/>
      </c>
      <c r="AP183" t="str">
        <f>IF($A183="","",IF(Allocation!$N$2="VOL_EFF",$Q183,IF(Allocation!$N$2="VOL_CLASS",$R183,$S183)))</f>
        <v/>
      </c>
      <c r="AQ183" t="str">
        <f>IF($A183="","",IF(Allocation!$N$2="VOL_EFF",$T183,IF(Allocation!$N$2="VOL_CLASS",$U183,$V183)))</f>
        <v/>
      </c>
      <c r="AR183" t="str">
        <f t="shared" si="56"/>
        <v/>
      </c>
      <c r="AS183" t="str">
        <f>IF($A183="","",$A183&amp;"|"&amp;Allocation!BG183)</f>
        <v/>
      </c>
    </row>
    <row r="184" spans="1:45" x14ac:dyDescent="0.45">
      <c r="A184" t="str">
        <f>IF(Allocation!BI184="","",Allocation!BI184)</f>
        <v/>
      </c>
      <c r="B184" t="str">
        <f>IF(Allocation!BJ184="","",Allocation!BJ184)</f>
        <v/>
      </c>
      <c r="C184" t="str">
        <f>IF(Allocation!BK184="","",Allocation!BK184)</f>
        <v/>
      </c>
      <c r="D184" t="str">
        <f>IF(Allocation!BL184="","",Allocation!BL184)</f>
        <v/>
      </c>
      <c r="E184" t="str">
        <f>IF(Allocation!BM184="","",Allocation!BM184)</f>
        <v/>
      </c>
      <c r="F184" t="str">
        <f>IF(Allocation!BN184="","",Allocation!BN184)</f>
        <v/>
      </c>
      <c r="G184" t="str">
        <f>IF(Allocation!BO184="","",Allocation!BO184)</f>
        <v/>
      </c>
      <c r="H184" t="str">
        <f>IF(Allocation!BP184="","",Allocation!BP184)</f>
        <v/>
      </c>
      <c r="I184" t="str">
        <f>IF(Allocation!BQ184="","",Allocation!BQ184)</f>
        <v/>
      </c>
      <c r="J184" t="str">
        <f>IF(Allocation!CC184="","",Allocation!CC184)</f>
        <v/>
      </c>
      <c r="K184" t="str">
        <f t="shared" si="38"/>
        <v/>
      </c>
      <c r="L184" t="str">
        <f t="shared" si="39"/>
        <v/>
      </c>
      <c r="M184" t="str">
        <f t="shared" si="40"/>
        <v/>
      </c>
      <c r="N184" t="str">
        <f t="shared" si="41"/>
        <v/>
      </c>
      <c r="O184" t="str">
        <f t="shared" si="42"/>
        <v/>
      </c>
      <c r="P184" t="str">
        <f t="shared" si="43"/>
        <v/>
      </c>
      <c r="Q184" t="str">
        <f t="shared" si="44"/>
        <v/>
      </c>
      <c r="R184" t="str">
        <f t="shared" si="45"/>
        <v/>
      </c>
      <c r="S184" t="str">
        <f t="shared" si="46"/>
        <v/>
      </c>
      <c r="T184" t="str">
        <f t="shared" si="47"/>
        <v/>
      </c>
      <c r="U184" t="str">
        <f t="shared" si="48"/>
        <v/>
      </c>
      <c r="V184" t="str">
        <f t="shared" si="49"/>
        <v/>
      </c>
      <c r="W184" t="str">
        <f>IF($A184="","",Allocation!CD184)</f>
        <v/>
      </c>
      <c r="X184" t="str">
        <f>IF($A184="","",Allocation!CE184)</f>
        <v/>
      </c>
      <c r="Y184" t="str">
        <f>IF($A184="","",Allocation!CF184)</f>
        <v/>
      </c>
      <c r="Z184" t="str">
        <f>IF($A184="","",Allocation!CG184)</f>
        <v/>
      </c>
      <c r="AA184" t="str">
        <f>IF($A184="","",Allocation!CH184)</f>
        <v/>
      </c>
      <c r="AB184" t="str">
        <f>IF($A184="","",Allocation!CI184)</f>
        <v/>
      </c>
      <c r="AC184" t="str">
        <f>IF($A184="","",IF(Allocation!$N$4="VOL_EFF",$G184,IF(Allocation!$N$4="VOL_CLASS",$H184,$I184)))</f>
        <v/>
      </c>
      <c r="AD184" t="str">
        <f>IF($A184="","",IF(Allocation!$N$4="VOL_EFF",$L184,IF(Allocation!$N$4="VOL_CLASS",$M184,$N184)))</f>
        <v/>
      </c>
      <c r="AE184" t="str">
        <f>IF($A184="","",IF(Allocation!$N$3="VOL_EFF",$L184,IF(Allocation!$N$3="VOL_CLASS",$M184,$N184)))</f>
        <v/>
      </c>
      <c r="AF184" t="str">
        <f>IF($A184="","",IF(Allocation!$N$3="VOL_EFF",$Q184,IF(Allocation!$N$3="VOL_CLASS",$R184,$S184)))</f>
        <v/>
      </c>
      <c r="AG184" t="str">
        <f>IF($A184="","",IF(Allocation!$N$1="VOL_EFF",$Q184,IF(Allocation!$N$1="VOL_CLASS",$R184,$S184)))</f>
        <v/>
      </c>
      <c r="AH184" t="str">
        <f>IF($A184="","",IF(Allocation!$N$1="VOL_EFF",$T184,IF(Allocation!$N$1="VOL_CLASS",$U184,$V184)))</f>
        <v/>
      </c>
      <c r="AI184" t="str">
        <f t="shared" si="50"/>
        <v/>
      </c>
      <c r="AJ184" t="str">
        <f t="shared" si="51"/>
        <v/>
      </c>
      <c r="AK184" t="str">
        <f t="shared" si="52"/>
        <v/>
      </c>
      <c r="AL184" t="str">
        <f t="shared" si="53"/>
        <v/>
      </c>
      <c r="AM184" t="str">
        <f t="shared" si="54"/>
        <v/>
      </c>
      <c r="AN184" t="str">
        <f t="shared" si="55"/>
        <v/>
      </c>
      <c r="AO184" t="str">
        <f>IF($A184="","",Allocation!CJ184)</f>
        <v/>
      </c>
      <c r="AP184" t="str">
        <f>IF($A184="","",IF(Allocation!$N$2="VOL_EFF",$Q184,IF(Allocation!$N$2="VOL_CLASS",$R184,$S184)))</f>
        <v/>
      </c>
      <c r="AQ184" t="str">
        <f>IF($A184="","",IF(Allocation!$N$2="VOL_EFF",$T184,IF(Allocation!$N$2="VOL_CLASS",$U184,$V184)))</f>
        <v/>
      </c>
      <c r="AR184" t="str">
        <f t="shared" si="56"/>
        <v/>
      </c>
      <c r="AS184" t="str">
        <f>IF($A184="","",$A184&amp;"|"&amp;Allocation!BG184)</f>
        <v/>
      </c>
    </row>
    <row r="185" spans="1:45" x14ac:dyDescent="0.45">
      <c r="A185" t="str">
        <f>IF(Allocation!BI185="","",Allocation!BI185)</f>
        <v/>
      </c>
      <c r="B185" t="str">
        <f>IF(Allocation!BJ185="","",Allocation!BJ185)</f>
        <v/>
      </c>
      <c r="C185" t="str">
        <f>IF(Allocation!BK185="","",Allocation!BK185)</f>
        <v/>
      </c>
      <c r="D185" t="str">
        <f>IF(Allocation!BL185="","",Allocation!BL185)</f>
        <v/>
      </c>
      <c r="E185" t="str">
        <f>IF(Allocation!BM185="","",Allocation!BM185)</f>
        <v/>
      </c>
      <c r="F185" t="str">
        <f>IF(Allocation!BN185="","",Allocation!BN185)</f>
        <v/>
      </c>
      <c r="G185" t="str">
        <f>IF(Allocation!BO185="","",Allocation!BO185)</f>
        <v/>
      </c>
      <c r="H185" t="str">
        <f>IF(Allocation!BP185="","",Allocation!BP185)</f>
        <v/>
      </c>
      <c r="I185" t="str">
        <f>IF(Allocation!BQ185="","",Allocation!BQ185)</f>
        <v/>
      </c>
      <c r="J185" t="str">
        <f>IF(Allocation!CC185="","",Allocation!CC185)</f>
        <v/>
      </c>
      <c r="K185" t="str">
        <f t="shared" si="38"/>
        <v/>
      </c>
      <c r="L185" t="str">
        <f t="shared" si="39"/>
        <v/>
      </c>
      <c r="M185" t="str">
        <f t="shared" si="40"/>
        <v/>
      </c>
      <c r="N185" t="str">
        <f t="shared" si="41"/>
        <v/>
      </c>
      <c r="O185" t="str">
        <f t="shared" si="42"/>
        <v/>
      </c>
      <c r="P185" t="str">
        <f t="shared" si="43"/>
        <v/>
      </c>
      <c r="Q185" t="str">
        <f t="shared" si="44"/>
        <v/>
      </c>
      <c r="R185" t="str">
        <f t="shared" si="45"/>
        <v/>
      </c>
      <c r="S185" t="str">
        <f t="shared" si="46"/>
        <v/>
      </c>
      <c r="T185" t="str">
        <f t="shared" si="47"/>
        <v/>
      </c>
      <c r="U185" t="str">
        <f t="shared" si="48"/>
        <v/>
      </c>
      <c r="V185" t="str">
        <f t="shared" si="49"/>
        <v/>
      </c>
      <c r="W185" t="str">
        <f>IF($A185="","",Allocation!CD185)</f>
        <v/>
      </c>
      <c r="X185" t="str">
        <f>IF($A185="","",Allocation!CE185)</f>
        <v/>
      </c>
      <c r="Y185" t="str">
        <f>IF($A185="","",Allocation!CF185)</f>
        <v/>
      </c>
      <c r="Z185" t="str">
        <f>IF($A185="","",Allocation!CG185)</f>
        <v/>
      </c>
      <c r="AA185" t="str">
        <f>IF($A185="","",Allocation!CH185)</f>
        <v/>
      </c>
      <c r="AB185" t="str">
        <f>IF($A185="","",Allocation!CI185)</f>
        <v/>
      </c>
      <c r="AC185" t="str">
        <f>IF($A185="","",IF(Allocation!$N$4="VOL_EFF",$G185,IF(Allocation!$N$4="VOL_CLASS",$H185,$I185)))</f>
        <v/>
      </c>
      <c r="AD185" t="str">
        <f>IF($A185="","",IF(Allocation!$N$4="VOL_EFF",$L185,IF(Allocation!$N$4="VOL_CLASS",$M185,$N185)))</f>
        <v/>
      </c>
      <c r="AE185" t="str">
        <f>IF($A185="","",IF(Allocation!$N$3="VOL_EFF",$L185,IF(Allocation!$N$3="VOL_CLASS",$M185,$N185)))</f>
        <v/>
      </c>
      <c r="AF185" t="str">
        <f>IF($A185="","",IF(Allocation!$N$3="VOL_EFF",$Q185,IF(Allocation!$N$3="VOL_CLASS",$R185,$S185)))</f>
        <v/>
      </c>
      <c r="AG185" t="str">
        <f>IF($A185="","",IF(Allocation!$N$1="VOL_EFF",$Q185,IF(Allocation!$N$1="VOL_CLASS",$R185,$S185)))</f>
        <v/>
      </c>
      <c r="AH185" t="str">
        <f>IF($A185="","",IF(Allocation!$N$1="VOL_EFF",$T185,IF(Allocation!$N$1="VOL_CLASS",$U185,$V185)))</f>
        <v/>
      </c>
      <c r="AI185" t="str">
        <f t="shared" si="50"/>
        <v/>
      </c>
      <c r="AJ185" t="str">
        <f t="shared" si="51"/>
        <v/>
      </c>
      <c r="AK185" t="str">
        <f t="shared" si="52"/>
        <v/>
      </c>
      <c r="AL185" t="str">
        <f t="shared" si="53"/>
        <v/>
      </c>
      <c r="AM185" t="str">
        <f t="shared" si="54"/>
        <v/>
      </c>
      <c r="AN185" t="str">
        <f t="shared" si="55"/>
        <v/>
      </c>
      <c r="AO185" t="str">
        <f>IF($A185="","",Allocation!CJ185)</f>
        <v/>
      </c>
      <c r="AP185" t="str">
        <f>IF($A185="","",IF(Allocation!$N$2="VOL_EFF",$Q185,IF(Allocation!$N$2="VOL_CLASS",$R185,$S185)))</f>
        <v/>
      </c>
      <c r="AQ185" t="str">
        <f>IF($A185="","",IF(Allocation!$N$2="VOL_EFF",$T185,IF(Allocation!$N$2="VOL_CLASS",$U185,$V185)))</f>
        <v/>
      </c>
      <c r="AR185" t="str">
        <f t="shared" si="56"/>
        <v/>
      </c>
      <c r="AS185" t="str">
        <f>IF($A185="","",$A185&amp;"|"&amp;Allocation!BG185)</f>
        <v/>
      </c>
    </row>
    <row r="186" spans="1:45" x14ac:dyDescent="0.45">
      <c r="A186" t="str">
        <f>IF(Allocation!BI186="","",Allocation!BI186)</f>
        <v/>
      </c>
      <c r="B186" t="str">
        <f>IF(Allocation!BJ186="","",Allocation!BJ186)</f>
        <v/>
      </c>
      <c r="C186" t="str">
        <f>IF(Allocation!BK186="","",Allocation!BK186)</f>
        <v/>
      </c>
      <c r="D186" t="str">
        <f>IF(Allocation!BL186="","",Allocation!BL186)</f>
        <v/>
      </c>
      <c r="E186" t="str">
        <f>IF(Allocation!BM186="","",Allocation!BM186)</f>
        <v/>
      </c>
      <c r="F186" t="str">
        <f>IF(Allocation!BN186="","",Allocation!BN186)</f>
        <v/>
      </c>
      <c r="G186" t="str">
        <f>IF(Allocation!BO186="","",Allocation!BO186)</f>
        <v/>
      </c>
      <c r="H186" t="str">
        <f>IF(Allocation!BP186="","",Allocation!BP186)</f>
        <v/>
      </c>
      <c r="I186" t="str">
        <f>IF(Allocation!BQ186="","",Allocation!BQ186)</f>
        <v/>
      </c>
      <c r="J186" t="str">
        <f>IF(Allocation!CC186="","",Allocation!CC186)</f>
        <v/>
      </c>
      <c r="K186" t="str">
        <f t="shared" si="38"/>
        <v/>
      </c>
      <c r="L186" t="str">
        <f t="shared" si="39"/>
        <v/>
      </c>
      <c r="M186" t="str">
        <f t="shared" si="40"/>
        <v/>
      </c>
      <c r="N186" t="str">
        <f t="shared" si="41"/>
        <v/>
      </c>
      <c r="O186" t="str">
        <f t="shared" si="42"/>
        <v/>
      </c>
      <c r="P186" t="str">
        <f t="shared" si="43"/>
        <v/>
      </c>
      <c r="Q186" t="str">
        <f t="shared" si="44"/>
        <v/>
      </c>
      <c r="R186" t="str">
        <f t="shared" si="45"/>
        <v/>
      </c>
      <c r="S186" t="str">
        <f t="shared" si="46"/>
        <v/>
      </c>
      <c r="T186" t="str">
        <f t="shared" si="47"/>
        <v/>
      </c>
      <c r="U186" t="str">
        <f t="shared" si="48"/>
        <v/>
      </c>
      <c r="V186" t="str">
        <f t="shared" si="49"/>
        <v/>
      </c>
      <c r="W186" t="str">
        <f>IF($A186="","",Allocation!CD186)</f>
        <v/>
      </c>
      <c r="X186" t="str">
        <f>IF($A186="","",Allocation!CE186)</f>
        <v/>
      </c>
      <c r="Y186" t="str">
        <f>IF($A186="","",Allocation!CF186)</f>
        <v/>
      </c>
      <c r="Z186" t="str">
        <f>IF($A186="","",Allocation!CG186)</f>
        <v/>
      </c>
      <c r="AA186" t="str">
        <f>IF($A186="","",Allocation!CH186)</f>
        <v/>
      </c>
      <c r="AB186" t="str">
        <f>IF($A186="","",Allocation!CI186)</f>
        <v/>
      </c>
      <c r="AC186" t="str">
        <f>IF($A186="","",IF(Allocation!$N$4="VOL_EFF",$G186,IF(Allocation!$N$4="VOL_CLASS",$H186,$I186)))</f>
        <v/>
      </c>
      <c r="AD186" t="str">
        <f>IF($A186="","",IF(Allocation!$N$4="VOL_EFF",$L186,IF(Allocation!$N$4="VOL_CLASS",$M186,$N186)))</f>
        <v/>
      </c>
      <c r="AE186" t="str">
        <f>IF($A186="","",IF(Allocation!$N$3="VOL_EFF",$L186,IF(Allocation!$N$3="VOL_CLASS",$M186,$N186)))</f>
        <v/>
      </c>
      <c r="AF186" t="str">
        <f>IF($A186="","",IF(Allocation!$N$3="VOL_EFF",$Q186,IF(Allocation!$N$3="VOL_CLASS",$R186,$S186)))</f>
        <v/>
      </c>
      <c r="AG186" t="str">
        <f>IF($A186="","",IF(Allocation!$N$1="VOL_EFF",$Q186,IF(Allocation!$N$1="VOL_CLASS",$R186,$S186)))</f>
        <v/>
      </c>
      <c r="AH186" t="str">
        <f>IF($A186="","",IF(Allocation!$N$1="VOL_EFF",$T186,IF(Allocation!$N$1="VOL_CLASS",$U186,$V186)))</f>
        <v/>
      </c>
      <c r="AI186" t="str">
        <f t="shared" si="50"/>
        <v/>
      </c>
      <c r="AJ186" t="str">
        <f t="shared" si="51"/>
        <v/>
      </c>
      <c r="AK186" t="str">
        <f t="shared" si="52"/>
        <v/>
      </c>
      <c r="AL186" t="str">
        <f t="shared" si="53"/>
        <v/>
      </c>
      <c r="AM186" t="str">
        <f t="shared" si="54"/>
        <v/>
      </c>
      <c r="AN186" t="str">
        <f t="shared" si="55"/>
        <v/>
      </c>
      <c r="AO186" t="str">
        <f>IF($A186="","",Allocation!CJ186)</f>
        <v/>
      </c>
      <c r="AP186" t="str">
        <f>IF($A186="","",IF(Allocation!$N$2="VOL_EFF",$Q186,IF(Allocation!$N$2="VOL_CLASS",$R186,$S186)))</f>
        <v/>
      </c>
      <c r="AQ186" t="str">
        <f>IF($A186="","",IF(Allocation!$N$2="VOL_EFF",$T186,IF(Allocation!$N$2="VOL_CLASS",$U186,$V186)))</f>
        <v/>
      </c>
      <c r="AR186" t="str">
        <f t="shared" si="56"/>
        <v/>
      </c>
      <c r="AS186" t="str">
        <f>IF($A186="","",$A186&amp;"|"&amp;Allocation!BG186)</f>
        <v/>
      </c>
    </row>
    <row r="187" spans="1:45" x14ac:dyDescent="0.45">
      <c r="A187" t="str">
        <f>IF(Allocation!BI187="","",Allocation!BI187)</f>
        <v/>
      </c>
      <c r="B187" t="str">
        <f>IF(Allocation!BJ187="","",Allocation!BJ187)</f>
        <v/>
      </c>
      <c r="C187" t="str">
        <f>IF(Allocation!BK187="","",Allocation!BK187)</f>
        <v/>
      </c>
      <c r="D187" t="str">
        <f>IF(Allocation!BL187="","",Allocation!BL187)</f>
        <v/>
      </c>
      <c r="E187" t="str">
        <f>IF(Allocation!BM187="","",Allocation!BM187)</f>
        <v/>
      </c>
      <c r="F187" t="str">
        <f>IF(Allocation!BN187="","",Allocation!BN187)</f>
        <v/>
      </c>
      <c r="G187" t="str">
        <f>IF(Allocation!BO187="","",Allocation!BO187)</f>
        <v/>
      </c>
      <c r="H187" t="str">
        <f>IF(Allocation!BP187="","",Allocation!BP187)</f>
        <v/>
      </c>
      <c r="I187" t="str">
        <f>IF(Allocation!BQ187="","",Allocation!BQ187)</f>
        <v/>
      </c>
      <c r="J187" t="str">
        <f>IF(Allocation!CC187="","",Allocation!CC187)</f>
        <v/>
      </c>
      <c r="K187" t="str">
        <f t="shared" si="38"/>
        <v/>
      </c>
      <c r="L187" t="str">
        <f t="shared" si="39"/>
        <v/>
      </c>
      <c r="M187" t="str">
        <f t="shared" si="40"/>
        <v/>
      </c>
      <c r="N187" t="str">
        <f t="shared" si="41"/>
        <v/>
      </c>
      <c r="O187" t="str">
        <f t="shared" si="42"/>
        <v/>
      </c>
      <c r="P187" t="str">
        <f t="shared" si="43"/>
        <v/>
      </c>
      <c r="Q187" t="str">
        <f t="shared" si="44"/>
        <v/>
      </c>
      <c r="R187" t="str">
        <f t="shared" si="45"/>
        <v/>
      </c>
      <c r="S187" t="str">
        <f t="shared" si="46"/>
        <v/>
      </c>
      <c r="T187" t="str">
        <f t="shared" si="47"/>
        <v/>
      </c>
      <c r="U187" t="str">
        <f t="shared" si="48"/>
        <v/>
      </c>
      <c r="V187" t="str">
        <f t="shared" si="49"/>
        <v/>
      </c>
      <c r="W187" t="str">
        <f>IF($A187="","",Allocation!CD187)</f>
        <v/>
      </c>
      <c r="X187" t="str">
        <f>IF($A187="","",Allocation!CE187)</f>
        <v/>
      </c>
      <c r="Y187" t="str">
        <f>IF($A187="","",Allocation!CF187)</f>
        <v/>
      </c>
      <c r="Z187" t="str">
        <f>IF($A187="","",Allocation!CG187)</f>
        <v/>
      </c>
      <c r="AA187" t="str">
        <f>IF($A187="","",Allocation!CH187)</f>
        <v/>
      </c>
      <c r="AB187" t="str">
        <f>IF($A187="","",Allocation!CI187)</f>
        <v/>
      </c>
      <c r="AC187" t="str">
        <f>IF($A187="","",IF(Allocation!$N$4="VOL_EFF",$G187,IF(Allocation!$N$4="VOL_CLASS",$H187,$I187)))</f>
        <v/>
      </c>
      <c r="AD187" t="str">
        <f>IF($A187="","",IF(Allocation!$N$4="VOL_EFF",$L187,IF(Allocation!$N$4="VOL_CLASS",$M187,$N187)))</f>
        <v/>
      </c>
      <c r="AE187" t="str">
        <f>IF($A187="","",IF(Allocation!$N$3="VOL_EFF",$L187,IF(Allocation!$N$3="VOL_CLASS",$M187,$N187)))</f>
        <v/>
      </c>
      <c r="AF187" t="str">
        <f>IF($A187="","",IF(Allocation!$N$3="VOL_EFF",$Q187,IF(Allocation!$N$3="VOL_CLASS",$R187,$S187)))</f>
        <v/>
      </c>
      <c r="AG187" t="str">
        <f>IF($A187="","",IF(Allocation!$N$1="VOL_EFF",$Q187,IF(Allocation!$N$1="VOL_CLASS",$R187,$S187)))</f>
        <v/>
      </c>
      <c r="AH187" t="str">
        <f>IF($A187="","",IF(Allocation!$N$1="VOL_EFF",$T187,IF(Allocation!$N$1="VOL_CLASS",$U187,$V187)))</f>
        <v/>
      </c>
      <c r="AI187" t="str">
        <f t="shared" si="50"/>
        <v/>
      </c>
      <c r="AJ187" t="str">
        <f t="shared" si="51"/>
        <v/>
      </c>
      <c r="AK187" t="str">
        <f t="shared" si="52"/>
        <v/>
      </c>
      <c r="AL187" t="str">
        <f t="shared" si="53"/>
        <v/>
      </c>
      <c r="AM187" t="str">
        <f t="shared" si="54"/>
        <v/>
      </c>
      <c r="AN187" t="str">
        <f t="shared" si="55"/>
        <v/>
      </c>
      <c r="AO187" t="str">
        <f>IF($A187="","",Allocation!CJ187)</f>
        <v/>
      </c>
      <c r="AP187" t="str">
        <f>IF($A187="","",IF(Allocation!$N$2="VOL_EFF",$Q187,IF(Allocation!$N$2="VOL_CLASS",$R187,$S187)))</f>
        <v/>
      </c>
      <c r="AQ187" t="str">
        <f>IF($A187="","",IF(Allocation!$N$2="VOL_EFF",$T187,IF(Allocation!$N$2="VOL_CLASS",$U187,$V187)))</f>
        <v/>
      </c>
      <c r="AR187" t="str">
        <f t="shared" si="56"/>
        <v/>
      </c>
      <c r="AS187" t="str">
        <f>IF($A187="","",$A187&amp;"|"&amp;Allocation!BG187)</f>
        <v/>
      </c>
    </row>
    <row r="188" spans="1:45" x14ac:dyDescent="0.45">
      <c r="A188" t="str">
        <f>IF(Allocation!BI188="","",Allocation!BI188)</f>
        <v/>
      </c>
      <c r="B188" t="str">
        <f>IF(Allocation!BJ188="","",Allocation!BJ188)</f>
        <v/>
      </c>
      <c r="C188" t="str">
        <f>IF(Allocation!BK188="","",Allocation!BK188)</f>
        <v/>
      </c>
      <c r="D188" t="str">
        <f>IF(Allocation!BL188="","",Allocation!BL188)</f>
        <v/>
      </c>
      <c r="E188" t="str">
        <f>IF(Allocation!BM188="","",Allocation!BM188)</f>
        <v/>
      </c>
      <c r="F188" t="str">
        <f>IF(Allocation!BN188="","",Allocation!BN188)</f>
        <v/>
      </c>
      <c r="G188" t="str">
        <f>IF(Allocation!BO188="","",Allocation!BO188)</f>
        <v/>
      </c>
      <c r="H188" t="str">
        <f>IF(Allocation!BP188="","",Allocation!BP188)</f>
        <v/>
      </c>
      <c r="I188" t="str">
        <f>IF(Allocation!BQ188="","",Allocation!BQ188)</f>
        <v/>
      </c>
      <c r="J188" t="str">
        <f>IF(Allocation!CC188="","",Allocation!CC188)</f>
        <v/>
      </c>
      <c r="K188" t="str">
        <f t="shared" si="38"/>
        <v/>
      </c>
      <c r="L188" t="str">
        <f t="shared" si="39"/>
        <v/>
      </c>
      <c r="M188" t="str">
        <f t="shared" si="40"/>
        <v/>
      </c>
      <c r="N188" t="str">
        <f t="shared" si="41"/>
        <v/>
      </c>
      <c r="O188" t="str">
        <f t="shared" si="42"/>
        <v/>
      </c>
      <c r="P188" t="str">
        <f t="shared" si="43"/>
        <v/>
      </c>
      <c r="Q188" t="str">
        <f t="shared" si="44"/>
        <v/>
      </c>
      <c r="R188" t="str">
        <f t="shared" si="45"/>
        <v/>
      </c>
      <c r="S188" t="str">
        <f t="shared" si="46"/>
        <v/>
      </c>
      <c r="T188" t="str">
        <f t="shared" si="47"/>
        <v/>
      </c>
      <c r="U188" t="str">
        <f t="shared" si="48"/>
        <v/>
      </c>
      <c r="V188" t="str">
        <f t="shared" si="49"/>
        <v/>
      </c>
      <c r="W188" t="str">
        <f>IF($A188="","",Allocation!CD188)</f>
        <v/>
      </c>
      <c r="X188" t="str">
        <f>IF($A188="","",Allocation!CE188)</f>
        <v/>
      </c>
      <c r="Y188" t="str">
        <f>IF($A188="","",Allocation!CF188)</f>
        <v/>
      </c>
      <c r="Z188" t="str">
        <f>IF($A188="","",Allocation!CG188)</f>
        <v/>
      </c>
      <c r="AA188" t="str">
        <f>IF($A188="","",Allocation!CH188)</f>
        <v/>
      </c>
      <c r="AB188" t="str">
        <f>IF($A188="","",Allocation!CI188)</f>
        <v/>
      </c>
      <c r="AC188" t="str">
        <f>IF($A188="","",IF(Allocation!$N$4="VOL_EFF",$G188,IF(Allocation!$N$4="VOL_CLASS",$H188,$I188)))</f>
        <v/>
      </c>
      <c r="AD188" t="str">
        <f>IF($A188="","",IF(Allocation!$N$4="VOL_EFF",$L188,IF(Allocation!$N$4="VOL_CLASS",$M188,$N188)))</f>
        <v/>
      </c>
      <c r="AE188" t="str">
        <f>IF($A188="","",IF(Allocation!$N$3="VOL_EFF",$L188,IF(Allocation!$N$3="VOL_CLASS",$M188,$N188)))</f>
        <v/>
      </c>
      <c r="AF188" t="str">
        <f>IF($A188="","",IF(Allocation!$N$3="VOL_EFF",$Q188,IF(Allocation!$N$3="VOL_CLASS",$R188,$S188)))</f>
        <v/>
      </c>
      <c r="AG188" t="str">
        <f>IF($A188="","",IF(Allocation!$N$1="VOL_EFF",$Q188,IF(Allocation!$N$1="VOL_CLASS",$R188,$S188)))</f>
        <v/>
      </c>
      <c r="AH188" t="str">
        <f>IF($A188="","",IF(Allocation!$N$1="VOL_EFF",$T188,IF(Allocation!$N$1="VOL_CLASS",$U188,$V188)))</f>
        <v/>
      </c>
      <c r="AI188" t="str">
        <f t="shared" si="50"/>
        <v/>
      </c>
      <c r="AJ188" t="str">
        <f t="shared" si="51"/>
        <v/>
      </c>
      <c r="AK188" t="str">
        <f t="shared" si="52"/>
        <v/>
      </c>
      <c r="AL188" t="str">
        <f t="shared" si="53"/>
        <v/>
      </c>
      <c r="AM188" t="str">
        <f t="shared" si="54"/>
        <v/>
      </c>
      <c r="AN188" t="str">
        <f t="shared" si="55"/>
        <v/>
      </c>
      <c r="AO188" t="str">
        <f>IF($A188="","",Allocation!CJ188)</f>
        <v/>
      </c>
      <c r="AP188" t="str">
        <f>IF($A188="","",IF(Allocation!$N$2="VOL_EFF",$Q188,IF(Allocation!$N$2="VOL_CLASS",$R188,$S188)))</f>
        <v/>
      </c>
      <c r="AQ188" t="str">
        <f>IF($A188="","",IF(Allocation!$N$2="VOL_EFF",$T188,IF(Allocation!$N$2="VOL_CLASS",$U188,$V188)))</f>
        <v/>
      </c>
      <c r="AR188" t="str">
        <f t="shared" si="56"/>
        <v/>
      </c>
      <c r="AS188" t="str">
        <f>IF($A188="","",$A188&amp;"|"&amp;Allocation!BG188)</f>
        <v/>
      </c>
    </row>
    <row r="189" spans="1:45" x14ac:dyDescent="0.45">
      <c r="A189" t="str">
        <f>IF(Allocation!BI189="","",Allocation!BI189)</f>
        <v/>
      </c>
      <c r="B189" t="str">
        <f>IF(Allocation!BJ189="","",Allocation!BJ189)</f>
        <v/>
      </c>
      <c r="C189" t="str">
        <f>IF(Allocation!BK189="","",Allocation!BK189)</f>
        <v/>
      </c>
      <c r="D189" t="str">
        <f>IF(Allocation!BL189="","",Allocation!BL189)</f>
        <v/>
      </c>
      <c r="E189" t="str">
        <f>IF(Allocation!BM189="","",Allocation!BM189)</f>
        <v/>
      </c>
      <c r="F189" t="str">
        <f>IF(Allocation!BN189="","",Allocation!BN189)</f>
        <v/>
      </c>
      <c r="G189" t="str">
        <f>IF(Allocation!BO189="","",Allocation!BO189)</f>
        <v/>
      </c>
      <c r="H189" t="str">
        <f>IF(Allocation!BP189="","",Allocation!BP189)</f>
        <v/>
      </c>
      <c r="I189" t="str">
        <f>IF(Allocation!BQ189="","",Allocation!BQ189)</f>
        <v/>
      </c>
      <c r="J189" t="str">
        <f>IF(Allocation!CC189="","",Allocation!CC189)</f>
        <v/>
      </c>
      <c r="K189" t="str">
        <f t="shared" si="38"/>
        <v/>
      </c>
      <c r="L189" t="str">
        <f t="shared" si="39"/>
        <v/>
      </c>
      <c r="M189" t="str">
        <f t="shared" si="40"/>
        <v/>
      </c>
      <c r="N189" t="str">
        <f t="shared" si="41"/>
        <v/>
      </c>
      <c r="O189" t="str">
        <f t="shared" si="42"/>
        <v/>
      </c>
      <c r="P189" t="str">
        <f t="shared" si="43"/>
        <v/>
      </c>
      <c r="Q189" t="str">
        <f t="shared" si="44"/>
        <v/>
      </c>
      <c r="R189" t="str">
        <f t="shared" si="45"/>
        <v/>
      </c>
      <c r="S189" t="str">
        <f t="shared" si="46"/>
        <v/>
      </c>
      <c r="T189" t="str">
        <f t="shared" si="47"/>
        <v/>
      </c>
      <c r="U189" t="str">
        <f t="shared" si="48"/>
        <v/>
      </c>
      <c r="V189" t="str">
        <f t="shared" si="49"/>
        <v/>
      </c>
      <c r="W189" t="str">
        <f>IF($A189="","",Allocation!CD189)</f>
        <v/>
      </c>
      <c r="X189" t="str">
        <f>IF($A189="","",Allocation!CE189)</f>
        <v/>
      </c>
      <c r="Y189" t="str">
        <f>IF($A189="","",Allocation!CF189)</f>
        <v/>
      </c>
      <c r="Z189" t="str">
        <f>IF($A189="","",Allocation!CG189)</f>
        <v/>
      </c>
      <c r="AA189" t="str">
        <f>IF($A189="","",Allocation!CH189)</f>
        <v/>
      </c>
      <c r="AB189" t="str">
        <f>IF($A189="","",Allocation!CI189)</f>
        <v/>
      </c>
      <c r="AC189" t="str">
        <f>IF($A189="","",IF(Allocation!$N$4="VOL_EFF",$G189,IF(Allocation!$N$4="VOL_CLASS",$H189,$I189)))</f>
        <v/>
      </c>
      <c r="AD189" t="str">
        <f>IF($A189="","",IF(Allocation!$N$4="VOL_EFF",$L189,IF(Allocation!$N$4="VOL_CLASS",$M189,$N189)))</f>
        <v/>
      </c>
      <c r="AE189" t="str">
        <f>IF($A189="","",IF(Allocation!$N$3="VOL_EFF",$L189,IF(Allocation!$N$3="VOL_CLASS",$M189,$N189)))</f>
        <v/>
      </c>
      <c r="AF189" t="str">
        <f>IF($A189="","",IF(Allocation!$N$3="VOL_EFF",$Q189,IF(Allocation!$N$3="VOL_CLASS",$R189,$S189)))</f>
        <v/>
      </c>
      <c r="AG189" t="str">
        <f>IF($A189="","",IF(Allocation!$N$1="VOL_EFF",$Q189,IF(Allocation!$N$1="VOL_CLASS",$R189,$S189)))</f>
        <v/>
      </c>
      <c r="AH189" t="str">
        <f>IF($A189="","",IF(Allocation!$N$1="VOL_EFF",$T189,IF(Allocation!$N$1="VOL_CLASS",$U189,$V189)))</f>
        <v/>
      </c>
      <c r="AI189" t="str">
        <f t="shared" si="50"/>
        <v/>
      </c>
      <c r="AJ189" t="str">
        <f t="shared" si="51"/>
        <v/>
      </c>
      <c r="AK189" t="str">
        <f t="shared" si="52"/>
        <v/>
      </c>
      <c r="AL189" t="str">
        <f t="shared" si="53"/>
        <v/>
      </c>
      <c r="AM189" t="str">
        <f t="shared" si="54"/>
        <v/>
      </c>
      <c r="AN189" t="str">
        <f t="shared" si="55"/>
        <v/>
      </c>
      <c r="AO189" t="str">
        <f>IF($A189="","",Allocation!CJ189)</f>
        <v/>
      </c>
      <c r="AP189" t="str">
        <f>IF($A189="","",IF(Allocation!$N$2="VOL_EFF",$Q189,IF(Allocation!$N$2="VOL_CLASS",$R189,$S189)))</f>
        <v/>
      </c>
      <c r="AQ189" t="str">
        <f>IF($A189="","",IF(Allocation!$N$2="VOL_EFF",$T189,IF(Allocation!$N$2="VOL_CLASS",$U189,$V189)))</f>
        <v/>
      </c>
      <c r="AR189" t="str">
        <f t="shared" si="56"/>
        <v/>
      </c>
      <c r="AS189" t="str">
        <f>IF($A189="","",$A189&amp;"|"&amp;Allocation!BG189)</f>
        <v/>
      </c>
    </row>
    <row r="190" spans="1:45" x14ac:dyDescent="0.45">
      <c r="A190" t="str">
        <f>IF(Allocation!BI190="","",Allocation!BI190)</f>
        <v/>
      </c>
      <c r="B190" t="str">
        <f>IF(Allocation!BJ190="","",Allocation!BJ190)</f>
        <v/>
      </c>
      <c r="C190" t="str">
        <f>IF(Allocation!BK190="","",Allocation!BK190)</f>
        <v/>
      </c>
      <c r="D190" t="str">
        <f>IF(Allocation!BL190="","",Allocation!BL190)</f>
        <v/>
      </c>
      <c r="E190" t="str">
        <f>IF(Allocation!BM190="","",Allocation!BM190)</f>
        <v/>
      </c>
      <c r="F190" t="str">
        <f>IF(Allocation!BN190="","",Allocation!BN190)</f>
        <v/>
      </c>
      <c r="G190" t="str">
        <f>IF(Allocation!BO190="","",Allocation!BO190)</f>
        <v/>
      </c>
      <c r="H190" t="str">
        <f>IF(Allocation!BP190="","",Allocation!BP190)</f>
        <v/>
      </c>
      <c r="I190" t="str">
        <f>IF(Allocation!BQ190="","",Allocation!BQ190)</f>
        <v/>
      </c>
      <c r="J190" t="str">
        <f>IF(Allocation!CC190="","",Allocation!CC190)</f>
        <v/>
      </c>
      <c r="K190" t="str">
        <f t="shared" si="38"/>
        <v/>
      </c>
      <c r="L190" t="str">
        <f t="shared" si="39"/>
        <v/>
      </c>
      <c r="M190" t="str">
        <f t="shared" si="40"/>
        <v/>
      </c>
      <c r="N190" t="str">
        <f t="shared" si="41"/>
        <v/>
      </c>
      <c r="O190" t="str">
        <f t="shared" si="42"/>
        <v/>
      </c>
      <c r="P190" t="str">
        <f t="shared" si="43"/>
        <v/>
      </c>
      <c r="Q190" t="str">
        <f t="shared" si="44"/>
        <v/>
      </c>
      <c r="R190" t="str">
        <f t="shared" si="45"/>
        <v/>
      </c>
      <c r="S190" t="str">
        <f t="shared" si="46"/>
        <v/>
      </c>
      <c r="T190" t="str">
        <f t="shared" si="47"/>
        <v/>
      </c>
      <c r="U190" t="str">
        <f t="shared" si="48"/>
        <v/>
      </c>
      <c r="V190" t="str">
        <f t="shared" si="49"/>
        <v/>
      </c>
      <c r="W190" t="str">
        <f>IF($A190="","",Allocation!CD190)</f>
        <v/>
      </c>
      <c r="X190" t="str">
        <f>IF($A190="","",Allocation!CE190)</f>
        <v/>
      </c>
      <c r="Y190" t="str">
        <f>IF($A190="","",Allocation!CF190)</f>
        <v/>
      </c>
      <c r="Z190" t="str">
        <f>IF($A190="","",Allocation!CG190)</f>
        <v/>
      </c>
      <c r="AA190" t="str">
        <f>IF($A190="","",Allocation!CH190)</f>
        <v/>
      </c>
      <c r="AB190" t="str">
        <f>IF($A190="","",Allocation!CI190)</f>
        <v/>
      </c>
      <c r="AC190" t="str">
        <f>IF($A190="","",IF(Allocation!$N$4="VOL_EFF",$G190,IF(Allocation!$N$4="VOL_CLASS",$H190,$I190)))</f>
        <v/>
      </c>
      <c r="AD190" t="str">
        <f>IF($A190="","",IF(Allocation!$N$4="VOL_EFF",$L190,IF(Allocation!$N$4="VOL_CLASS",$M190,$N190)))</f>
        <v/>
      </c>
      <c r="AE190" t="str">
        <f>IF($A190="","",IF(Allocation!$N$3="VOL_EFF",$L190,IF(Allocation!$N$3="VOL_CLASS",$M190,$N190)))</f>
        <v/>
      </c>
      <c r="AF190" t="str">
        <f>IF($A190="","",IF(Allocation!$N$3="VOL_EFF",$Q190,IF(Allocation!$N$3="VOL_CLASS",$R190,$S190)))</f>
        <v/>
      </c>
      <c r="AG190" t="str">
        <f>IF($A190="","",IF(Allocation!$N$1="VOL_EFF",$Q190,IF(Allocation!$N$1="VOL_CLASS",$R190,$S190)))</f>
        <v/>
      </c>
      <c r="AH190" t="str">
        <f>IF($A190="","",IF(Allocation!$N$1="VOL_EFF",$T190,IF(Allocation!$N$1="VOL_CLASS",$U190,$V190)))</f>
        <v/>
      </c>
      <c r="AI190" t="str">
        <f t="shared" si="50"/>
        <v/>
      </c>
      <c r="AJ190" t="str">
        <f t="shared" si="51"/>
        <v/>
      </c>
      <c r="AK190" t="str">
        <f t="shared" si="52"/>
        <v/>
      </c>
      <c r="AL190" t="str">
        <f t="shared" si="53"/>
        <v/>
      </c>
      <c r="AM190" t="str">
        <f t="shared" si="54"/>
        <v/>
      </c>
      <c r="AN190" t="str">
        <f t="shared" si="55"/>
        <v/>
      </c>
      <c r="AO190" t="str">
        <f>IF($A190="","",Allocation!CJ190)</f>
        <v/>
      </c>
      <c r="AP190" t="str">
        <f>IF($A190="","",IF(Allocation!$N$2="VOL_EFF",$Q190,IF(Allocation!$N$2="VOL_CLASS",$R190,$S190)))</f>
        <v/>
      </c>
      <c r="AQ190" t="str">
        <f>IF($A190="","",IF(Allocation!$N$2="VOL_EFF",$T190,IF(Allocation!$N$2="VOL_CLASS",$U190,$V190)))</f>
        <v/>
      </c>
      <c r="AR190" t="str">
        <f t="shared" si="56"/>
        <v/>
      </c>
      <c r="AS190" t="str">
        <f>IF($A190="","",$A190&amp;"|"&amp;Allocation!BG190)</f>
        <v/>
      </c>
    </row>
    <row r="191" spans="1:45" x14ac:dyDescent="0.45">
      <c r="A191" t="str">
        <f>IF(Allocation!BI191="","",Allocation!BI191)</f>
        <v/>
      </c>
      <c r="B191" t="str">
        <f>IF(Allocation!BJ191="","",Allocation!BJ191)</f>
        <v/>
      </c>
      <c r="C191" t="str">
        <f>IF(Allocation!BK191="","",Allocation!BK191)</f>
        <v/>
      </c>
      <c r="D191" t="str">
        <f>IF(Allocation!BL191="","",Allocation!BL191)</f>
        <v/>
      </c>
      <c r="E191" t="str">
        <f>IF(Allocation!BM191="","",Allocation!BM191)</f>
        <v/>
      </c>
      <c r="F191" t="str">
        <f>IF(Allocation!BN191="","",Allocation!BN191)</f>
        <v/>
      </c>
      <c r="G191" t="str">
        <f>IF(Allocation!BO191="","",Allocation!BO191)</f>
        <v/>
      </c>
      <c r="H191" t="str">
        <f>IF(Allocation!BP191="","",Allocation!BP191)</f>
        <v/>
      </c>
      <c r="I191" t="str">
        <f>IF(Allocation!BQ191="","",Allocation!BQ191)</f>
        <v/>
      </c>
      <c r="J191" t="str">
        <f>IF(Allocation!CC191="","",Allocation!CC191)</f>
        <v/>
      </c>
      <c r="K191" t="str">
        <f t="shared" si="38"/>
        <v/>
      </c>
      <c r="L191" t="str">
        <f t="shared" si="39"/>
        <v/>
      </c>
      <c r="M191" t="str">
        <f t="shared" si="40"/>
        <v/>
      </c>
      <c r="N191" t="str">
        <f t="shared" si="41"/>
        <v/>
      </c>
      <c r="O191" t="str">
        <f t="shared" si="42"/>
        <v/>
      </c>
      <c r="P191" t="str">
        <f t="shared" si="43"/>
        <v/>
      </c>
      <c r="Q191" t="str">
        <f t="shared" si="44"/>
        <v/>
      </c>
      <c r="R191" t="str">
        <f t="shared" si="45"/>
        <v/>
      </c>
      <c r="S191" t="str">
        <f t="shared" si="46"/>
        <v/>
      </c>
      <c r="T191" t="str">
        <f t="shared" si="47"/>
        <v/>
      </c>
      <c r="U191" t="str">
        <f t="shared" si="48"/>
        <v/>
      </c>
      <c r="V191" t="str">
        <f t="shared" si="49"/>
        <v/>
      </c>
      <c r="W191" t="str">
        <f>IF($A191="","",Allocation!CD191)</f>
        <v/>
      </c>
      <c r="X191" t="str">
        <f>IF($A191="","",Allocation!CE191)</f>
        <v/>
      </c>
      <c r="Y191" t="str">
        <f>IF($A191="","",Allocation!CF191)</f>
        <v/>
      </c>
      <c r="Z191" t="str">
        <f>IF($A191="","",Allocation!CG191)</f>
        <v/>
      </c>
      <c r="AA191" t="str">
        <f>IF($A191="","",Allocation!CH191)</f>
        <v/>
      </c>
      <c r="AB191" t="str">
        <f>IF($A191="","",Allocation!CI191)</f>
        <v/>
      </c>
      <c r="AC191" t="str">
        <f>IF($A191="","",IF(Allocation!$N$4="VOL_EFF",$G191,IF(Allocation!$N$4="VOL_CLASS",$H191,$I191)))</f>
        <v/>
      </c>
      <c r="AD191" t="str">
        <f>IF($A191="","",IF(Allocation!$N$4="VOL_EFF",$L191,IF(Allocation!$N$4="VOL_CLASS",$M191,$N191)))</f>
        <v/>
      </c>
      <c r="AE191" t="str">
        <f>IF($A191="","",IF(Allocation!$N$3="VOL_EFF",$L191,IF(Allocation!$N$3="VOL_CLASS",$M191,$N191)))</f>
        <v/>
      </c>
      <c r="AF191" t="str">
        <f>IF($A191="","",IF(Allocation!$N$3="VOL_EFF",$Q191,IF(Allocation!$N$3="VOL_CLASS",$R191,$S191)))</f>
        <v/>
      </c>
      <c r="AG191" t="str">
        <f>IF($A191="","",IF(Allocation!$N$1="VOL_EFF",$Q191,IF(Allocation!$N$1="VOL_CLASS",$R191,$S191)))</f>
        <v/>
      </c>
      <c r="AH191" t="str">
        <f>IF($A191="","",IF(Allocation!$N$1="VOL_EFF",$T191,IF(Allocation!$N$1="VOL_CLASS",$U191,$V191)))</f>
        <v/>
      </c>
      <c r="AI191" t="str">
        <f t="shared" si="50"/>
        <v/>
      </c>
      <c r="AJ191" t="str">
        <f t="shared" si="51"/>
        <v/>
      </c>
      <c r="AK191" t="str">
        <f t="shared" si="52"/>
        <v/>
      </c>
      <c r="AL191" t="str">
        <f t="shared" si="53"/>
        <v/>
      </c>
      <c r="AM191" t="str">
        <f t="shared" si="54"/>
        <v/>
      </c>
      <c r="AN191" t="str">
        <f t="shared" si="55"/>
        <v/>
      </c>
      <c r="AO191" t="str">
        <f>IF($A191="","",Allocation!CJ191)</f>
        <v/>
      </c>
      <c r="AP191" t="str">
        <f>IF($A191="","",IF(Allocation!$N$2="VOL_EFF",$Q191,IF(Allocation!$N$2="VOL_CLASS",$R191,$S191)))</f>
        <v/>
      </c>
      <c r="AQ191" t="str">
        <f>IF($A191="","",IF(Allocation!$N$2="VOL_EFF",$T191,IF(Allocation!$N$2="VOL_CLASS",$U191,$V191)))</f>
        <v/>
      </c>
      <c r="AR191" t="str">
        <f t="shared" si="56"/>
        <v/>
      </c>
      <c r="AS191" t="str">
        <f>IF($A191="","",$A191&amp;"|"&amp;Allocation!BG191)</f>
        <v/>
      </c>
    </row>
    <row r="192" spans="1:45" x14ac:dyDescent="0.45">
      <c r="A192" t="str">
        <f>IF(Allocation!BI192="","",Allocation!BI192)</f>
        <v/>
      </c>
      <c r="B192" t="str">
        <f>IF(Allocation!BJ192="","",Allocation!BJ192)</f>
        <v/>
      </c>
      <c r="C192" t="str">
        <f>IF(Allocation!BK192="","",Allocation!BK192)</f>
        <v/>
      </c>
      <c r="D192" t="str">
        <f>IF(Allocation!BL192="","",Allocation!BL192)</f>
        <v/>
      </c>
      <c r="E192" t="str">
        <f>IF(Allocation!BM192="","",Allocation!BM192)</f>
        <v/>
      </c>
      <c r="F192" t="str">
        <f>IF(Allocation!BN192="","",Allocation!BN192)</f>
        <v/>
      </c>
      <c r="G192" t="str">
        <f>IF(Allocation!BO192="","",Allocation!BO192)</f>
        <v/>
      </c>
      <c r="H192" t="str">
        <f>IF(Allocation!BP192="","",Allocation!BP192)</f>
        <v/>
      </c>
      <c r="I192" t="str">
        <f>IF(Allocation!BQ192="","",Allocation!BQ192)</f>
        <v/>
      </c>
      <c r="J192" t="str">
        <f>IF(Allocation!CC192="","",Allocation!CC192)</f>
        <v/>
      </c>
      <c r="K192" t="str">
        <f t="shared" si="38"/>
        <v/>
      </c>
      <c r="L192" t="str">
        <f t="shared" si="39"/>
        <v/>
      </c>
      <c r="M192" t="str">
        <f t="shared" si="40"/>
        <v/>
      </c>
      <c r="N192" t="str">
        <f t="shared" si="41"/>
        <v/>
      </c>
      <c r="O192" t="str">
        <f t="shared" si="42"/>
        <v/>
      </c>
      <c r="P192" t="str">
        <f t="shared" si="43"/>
        <v/>
      </c>
      <c r="Q192" t="str">
        <f t="shared" si="44"/>
        <v/>
      </c>
      <c r="R192" t="str">
        <f t="shared" si="45"/>
        <v/>
      </c>
      <c r="S192" t="str">
        <f t="shared" si="46"/>
        <v/>
      </c>
      <c r="T192" t="str">
        <f t="shared" si="47"/>
        <v/>
      </c>
      <c r="U192" t="str">
        <f t="shared" si="48"/>
        <v/>
      </c>
      <c r="V192" t="str">
        <f t="shared" si="49"/>
        <v/>
      </c>
      <c r="W192" t="str">
        <f>IF($A192="","",Allocation!CD192)</f>
        <v/>
      </c>
      <c r="X192" t="str">
        <f>IF($A192="","",Allocation!CE192)</f>
        <v/>
      </c>
      <c r="Y192" t="str">
        <f>IF($A192="","",Allocation!CF192)</f>
        <v/>
      </c>
      <c r="Z192" t="str">
        <f>IF($A192="","",Allocation!CG192)</f>
        <v/>
      </c>
      <c r="AA192" t="str">
        <f>IF($A192="","",Allocation!CH192)</f>
        <v/>
      </c>
      <c r="AB192" t="str">
        <f>IF($A192="","",Allocation!CI192)</f>
        <v/>
      </c>
      <c r="AC192" t="str">
        <f>IF($A192="","",IF(Allocation!$N$4="VOL_EFF",$G192,IF(Allocation!$N$4="VOL_CLASS",$H192,$I192)))</f>
        <v/>
      </c>
      <c r="AD192" t="str">
        <f>IF($A192="","",IF(Allocation!$N$4="VOL_EFF",$L192,IF(Allocation!$N$4="VOL_CLASS",$M192,$N192)))</f>
        <v/>
      </c>
      <c r="AE192" t="str">
        <f>IF($A192="","",IF(Allocation!$N$3="VOL_EFF",$L192,IF(Allocation!$N$3="VOL_CLASS",$M192,$N192)))</f>
        <v/>
      </c>
      <c r="AF192" t="str">
        <f>IF($A192="","",IF(Allocation!$N$3="VOL_EFF",$Q192,IF(Allocation!$N$3="VOL_CLASS",$R192,$S192)))</f>
        <v/>
      </c>
      <c r="AG192" t="str">
        <f>IF($A192="","",IF(Allocation!$N$1="VOL_EFF",$Q192,IF(Allocation!$N$1="VOL_CLASS",$R192,$S192)))</f>
        <v/>
      </c>
      <c r="AH192" t="str">
        <f>IF($A192="","",IF(Allocation!$N$1="VOL_EFF",$T192,IF(Allocation!$N$1="VOL_CLASS",$U192,$V192)))</f>
        <v/>
      </c>
      <c r="AI192" t="str">
        <f t="shared" si="50"/>
        <v/>
      </c>
      <c r="AJ192" t="str">
        <f t="shared" si="51"/>
        <v/>
      </c>
      <c r="AK192" t="str">
        <f t="shared" si="52"/>
        <v/>
      </c>
      <c r="AL192" t="str">
        <f t="shared" si="53"/>
        <v/>
      </c>
      <c r="AM192" t="str">
        <f t="shared" si="54"/>
        <v/>
      </c>
      <c r="AN192" t="str">
        <f t="shared" si="55"/>
        <v/>
      </c>
      <c r="AO192" t="str">
        <f>IF($A192="","",Allocation!CJ192)</f>
        <v/>
      </c>
      <c r="AP192" t="str">
        <f>IF($A192="","",IF(Allocation!$N$2="VOL_EFF",$Q192,IF(Allocation!$N$2="VOL_CLASS",$R192,$S192)))</f>
        <v/>
      </c>
      <c r="AQ192" t="str">
        <f>IF($A192="","",IF(Allocation!$N$2="VOL_EFF",$T192,IF(Allocation!$N$2="VOL_CLASS",$U192,$V192)))</f>
        <v/>
      </c>
      <c r="AR192" t="str">
        <f t="shared" si="56"/>
        <v/>
      </c>
      <c r="AS192" t="str">
        <f>IF($A192="","",$A192&amp;"|"&amp;Allocation!BG192)</f>
        <v/>
      </c>
    </row>
    <row r="193" spans="1:45" x14ac:dyDescent="0.45">
      <c r="A193" t="str">
        <f>IF(Allocation!BI193="","",Allocation!BI193)</f>
        <v/>
      </c>
      <c r="B193" t="str">
        <f>IF(Allocation!BJ193="","",Allocation!BJ193)</f>
        <v/>
      </c>
      <c r="C193" t="str">
        <f>IF(Allocation!BK193="","",Allocation!BK193)</f>
        <v/>
      </c>
      <c r="D193" t="str">
        <f>IF(Allocation!BL193="","",Allocation!BL193)</f>
        <v/>
      </c>
      <c r="E193" t="str">
        <f>IF(Allocation!BM193="","",Allocation!BM193)</f>
        <v/>
      </c>
      <c r="F193" t="str">
        <f>IF(Allocation!BN193="","",Allocation!BN193)</f>
        <v/>
      </c>
      <c r="G193" t="str">
        <f>IF(Allocation!BO193="","",Allocation!BO193)</f>
        <v/>
      </c>
      <c r="H193" t="str">
        <f>IF(Allocation!BP193="","",Allocation!BP193)</f>
        <v/>
      </c>
      <c r="I193" t="str">
        <f>IF(Allocation!BQ193="","",Allocation!BQ193)</f>
        <v/>
      </c>
      <c r="J193" t="str">
        <f>IF(Allocation!CC193="","",Allocation!CC193)</f>
        <v/>
      </c>
      <c r="K193" t="str">
        <f t="shared" si="38"/>
        <v/>
      </c>
      <c r="L193" t="str">
        <f t="shared" si="39"/>
        <v/>
      </c>
      <c r="M193" t="str">
        <f t="shared" si="40"/>
        <v/>
      </c>
      <c r="N193" t="str">
        <f t="shared" si="41"/>
        <v/>
      </c>
      <c r="O193" t="str">
        <f t="shared" si="42"/>
        <v/>
      </c>
      <c r="P193" t="str">
        <f t="shared" si="43"/>
        <v/>
      </c>
      <c r="Q193" t="str">
        <f t="shared" si="44"/>
        <v/>
      </c>
      <c r="R193" t="str">
        <f t="shared" si="45"/>
        <v/>
      </c>
      <c r="S193" t="str">
        <f t="shared" si="46"/>
        <v/>
      </c>
      <c r="T193" t="str">
        <f t="shared" si="47"/>
        <v/>
      </c>
      <c r="U193" t="str">
        <f t="shared" si="48"/>
        <v/>
      </c>
      <c r="V193" t="str">
        <f t="shared" si="49"/>
        <v/>
      </c>
      <c r="W193" t="str">
        <f>IF($A193="","",Allocation!CD193)</f>
        <v/>
      </c>
      <c r="X193" t="str">
        <f>IF($A193="","",Allocation!CE193)</f>
        <v/>
      </c>
      <c r="Y193" t="str">
        <f>IF($A193="","",Allocation!CF193)</f>
        <v/>
      </c>
      <c r="Z193" t="str">
        <f>IF($A193="","",Allocation!CG193)</f>
        <v/>
      </c>
      <c r="AA193" t="str">
        <f>IF($A193="","",Allocation!CH193)</f>
        <v/>
      </c>
      <c r="AB193" t="str">
        <f>IF($A193="","",Allocation!CI193)</f>
        <v/>
      </c>
      <c r="AC193" t="str">
        <f>IF($A193="","",IF(Allocation!$N$4="VOL_EFF",$G193,IF(Allocation!$N$4="VOL_CLASS",$H193,$I193)))</f>
        <v/>
      </c>
      <c r="AD193" t="str">
        <f>IF($A193="","",IF(Allocation!$N$4="VOL_EFF",$L193,IF(Allocation!$N$4="VOL_CLASS",$M193,$N193)))</f>
        <v/>
      </c>
      <c r="AE193" t="str">
        <f>IF($A193="","",IF(Allocation!$N$3="VOL_EFF",$L193,IF(Allocation!$N$3="VOL_CLASS",$M193,$N193)))</f>
        <v/>
      </c>
      <c r="AF193" t="str">
        <f>IF($A193="","",IF(Allocation!$N$3="VOL_EFF",$Q193,IF(Allocation!$N$3="VOL_CLASS",$R193,$S193)))</f>
        <v/>
      </c>
      <c r="AG193" t="str">
        <f>IF($A193="","",IF(Allocation!$N$1="VOL_EFF",$Q193,IF(Allocation!$N$1="VOL_CLASS",$R193,$S193)))</f>
        <v/>
      </c>
      <c r="AH193" t="str">
        <f>IF($A193="","",IF(Allocation!$N$1="VOL_EFF",$T193,IF(Allocation!$N$1="VOL_CLASS",$U193,$V193)))</f>
        <v/>
      </c>
      <c r="AI193" t="str">
        <f t="shared" si="50"/>
        <v/>
      </c>
      <c r="AJ193" t="str">
        <f t="shared" si="51"/>
        <v/>
      </c>
      <c r="AK193" t="str">
        <f t="shared" si="52"/>
        <v/>
      </c>
      <c r="AL193" t="str">
        <f t="shared" si="53"/>
        <v/>
      </c>
      <c r="AM193" t="str">
        <f t="shared" si="54"/>
        <v/>
      </c>
      <c r="AN193" t="str">
        <f t="shared" si="55"/>
        <v/>
      </c>
      <c r="AO193" t="str">
        <f>IF($A193="","",Allocation!CJ193)</f>
        <v/>
      </c>
      <c r="AP193" t="str">
        <f>IF($A193="","",IF(Allocation!$N$2="VOL_EFF",$Q193,IF(Allocation!$N$2="VOL_CLASS",$R193,$S193)))</f>
        <v/>
      </c>
      <c r="AQ193" t="str">
        <f>IF($A193="","",IF(Allocation!$N$2="VOL_EFF",$T193,IF(Allocation!$N$2="VOL_CLASS",$U193,$V193)))</f>
        <v/>
      </c>
      <c r="AR193" t="str">
        <f t="shared" si="56"/>
        <v/>
      </c>
      <c r="AS193" t="str">
        <f>IF($A193="","",$A193&amp;"|"&amp;Allocation!BG193)</f>
        <v/>
      </c>
    </row>
    <row r="194" spans="1:45" x14ac:dyDescent="0.45">
      <c r="A194" t="str">
        <f>IF(Allocation!BI194="","",Allocation!BI194)</f>
        <v/>
      </c>
      <c r="B194" t="str">
        <f>IF(Allocation!BJ194="","",Allocation!BJ194)</f>
        <v/>
      </c>
      <c r="C194" t="str">
        <f>IF(Allocation!BK194="","",Allocation!BK194)</f>
        <v/>
      </c>
      <c r="D194" t="str">
        <f>IF(Allocation!BL194="","",Allocation!BL194)</f>
        <v/>
      </c>
      <c r="E194" t="str">
        <f>IF(Allocation!BM194="","",Allocation!BM194)</f>
        <v/>
      </c>
      <c r="F194" t="str">
        <f>IF(Allocation!BN194="","",Allocation!BN194)</f>
        <v/>
      </c>
      <c r="G194" t="str">
        <f>IF(Allocation!BO194="","",Allocation!BO194)</f>
        <v/>
      </c>
      <c r="H194" t="str">
        <f>IF(Allocation!BP194="","",Allocation!BP194)</f>
        <v/>
      </c>
      <c r="I194" t="str">
        <f>IF(Allocation!BQ194="","",Allocation!BQ194)</f>
        <v/>
      </c>
      <c r="J194" t="str">
        <f>IF(Allocation!CC194="","",Allocation!CC194)</f>
        <v/>
      </c>
      <c r="K194" t="str">
        <f t="shared" ref="K194:K257" si="57">IF($A194="","",$H194*IF(AND(LEFT($D194,3)="BAC",$F194="INIT"),600,IF(LEFT($D194,3)="BAC",480,IF(AND(LEFT($D194,3)="MAS",$F194="INIT"),520,IF(LEFT($D194,3)="MAS",420,IF($F194="INIT",1000,700))))))</f>
        <v/>
      </c>
      <c r="L194" t="str">
        <f t="shared" ref="L194:L257" si="58">IF($A194="","",SUMIFS($G$1:$G$349,$AS$1:$AS$349,$AS194,$B$1:$B$349,$B194))</f>
        <v/>
      </c>
      <c r="M194" t="str">
        <f t="shared" ref="M194:M257" si="59">IF($A194="","",SUMIFS($H$1:$H$349,$AS$1:$AS$349,$AS194,$B$1:$B$349,$B194))</f>
        <v/>
      </c>
      <c r="N194" t="str">
        <f t="shared" ref="N194:N257" si="60">IF($A194="","",SUMIFS($I$1:$I$349,$AS$1:$AS$349,$AS194,$B$1:$B$349,$B194))</f>
        <v/>
      </c>
      <c r="O194" t="str">
        <f t="shared" ref="O194:O257" si="61">IF($A194="","",SUMIFS($K$1:$K$349,$AS$1:$AS$349,$AS194,$B$1:$B$349,$B194))</f>
        <v/>
      </c>
      <c r="P194" t="str">
        <f t="shared" ref="P194:P257" si="62">IF($A194="","",SUMIFS($J$1:$J$349,$AS$1:$AS$349,$AS194,$B$1:$B$349,$B194))</f>
        <v/>
      </c>
      <c r="Q194" t="str">
        <f t="shared" ref="Q194:Q257" si="63">IF($A194="","",SUMIFS($G$1:$G$349,$AS$1:$AS$349,$AS194,$C$1:$C$349,$C194))</f>
        <v/>
      </c>
      <c r="R194" t="str">
        <f t="shared" ref="R194:R257" si="64">IF($A194="","",SUMIFS($H$1:$H$349,$AS$1:$AS$349,$AS194,$C$1:$C$349,$C194))</f>
        <v/>
      </c>
      <c r="S194" t="str">
        <f t="shared" ref="S194:S257" si="65">IF($A194="","",SUMIFS($I$1:$I$349,$AS$1:$AS$349,$AS194,$C$1:$C$349,$C194))</f>
        <v/>
      </c>
      <c r="T194" t="str">
        <f t="shared" ref="T194:T257" si="66">IF($A194="","",SUMIFS($G$1:$G$349,$AS$1:$AS$349,$AS194))</f>
        <v/>
      </c>
      <c r="U194" t="str">
        <f t="shared" ref="U194:U257" si="67">IF($A194="","",SUMIFS($H$1:$H$349,$AS$1:$AS$349,$AS194))</f>
        <v/>
      </c>
      <c r="V194" t="str">
        <f t="shared" ref="V194:V257" si="68">IF($A194="","",SUMIFS($I$1:$I$349,$AS$1:$AS$349,$AS194))</f>
        <v/>
      </c>
      <c r="W194" t="str">
        <f>IF($A194="","",Allocation!CD194)</f>
        <v/>
      </c>
      <c r="X194" t="str">
        <f>IF($A194="","",Allocation!CE194)</f>
        <v/>
      </c>
      <c r="Y194" t="str">
        <f>IF($A194="","",Allocation!CF194)</f>
        <v/>
      </c>
      <c r="Z194" t="str">
        <f>IF($A194="","",Allocation!CG194)</f>
        <v/>
      </c>
      <c r="AA194" t="str">
        <f>IF($A194="","",Allocation!CH194)</f>
        <v/>
      </c>
      <c r="AB194" t="str">
        <f>IF($A194="","",Allocation!CI194)</f>
        <v/>
      </c>
      <c r="AC194" t="str">
        <f>IF($A194="","",IF(Allocation!$N$4="VOL_EFF",$G194,IF(Allocation!$N$4="VOL_CLASS",$H194,$I194)))</f>
        <v/>
      </c>
      <c r="AD194" t="str">
        <f>IF($A194="","",IF(Allocation!$N$4="VOL_EFF",$L194,IF(Allocation!$N$4="VOL_CLASS",$M194,$N194)))</f>
        <v/>
      </c>
      <c r="AE194" t="str">
        <f>IF($A194="","",IF(Allocation!$N$3="VOL_EFF",$L194,IF(Allocation!$N$3="VOL_CLASS",$M194,$N194)))</f>
        <v/>
      </c>
      <c r="AF194" t="str">
        <f>IF($A194="","",IF(Allocation!$N$3="VOL_EFF",$Q194,IF(Allocation!$N$3="VOL_CLASS",$R194,$S194)))</f>
        <v/>
      </c>
      <c r="AG194" t="str">
        <f>IF($A194="","",IF(Allocation!$N$1="VOL_EFF",$Q194,IF(Allocation!$N$1="VOL_CLASS",$R194,$S194)))</f>
        <v/>
      </c>
      <c r="AH194" t="str">
        <f>IF($A194="","",IF(Allocation!$N$1="VOL_EFF",$T194,IF(Allocation!$N$1="VOL_CLASS",$U194,$V194)))</f>
        <v/>
      </c>
      <c r="AI194" t="str">
        <f t="shared" ref="AI194:AI257" si="69">IF($A194="","",$W194*IFERROR($K194/$O194,0))</f>
        <v/>
      </c>
      <c r="AJ194" t="str">
        <f t="shared" ref="AJ194:AJ257" si="70">IF($A194="","",$X194*IFERROR($K194/$O194,0))</f>
        <v/>
      </c>
      <c r="AK194" t="str">
        <f t="shared" ref="AK194:AK257" si="71">IF($A194="","",$Y194*IFERROR($G194/$L194,0)+$Z194*IFERROR($J194/$P194,0))</f>
        <v/>
      </c>
      <c r="AL194" t="str">
        <f t="shared" ref="AL194:AL257" si="72">IF($A194="","",$AA194*IFERROR($AC194/$AD194,0))</f>
        <v/>
      </c>
      <c r="AM194" t="str">
        <f t="shared" ref="AM194:AM257" si="73">IF($A194="","",$AB194*IFERROR($AG194/$AH194,0)*IFERROR($AE194/$AF194,0)*IFERROR($AC194/$AD194,0))</f>
        <v/>
      </c>
      <c r="AN194" t="str">
        <f t="shared" ref="AN194:AN257" si="74">IF($A194="","",$I194-($AI194+$AJ194+$AK194+$AL194+$AM194+$AR194))</f>
        <v/>
      </c>
      <c r="AO194" t="str">
        <f>IF($A194="","",Allocation!CJ194)</f>
        <v/>
      </c>
      <c r="AP194" t="str">
        <f>IF($A194="","",IF(Allocation!$N$2="VOL_EFF",$Q194,IF(Allocation!$N$2="VOL_CLASS",$R194,$S194)))</f>
        <v/>
      </c>
      <c r="AQ194" t="str">
        <f>IF($A194="","",IF(Allocation!$N$2="VOL_EFF",$T194,IF(Allocation!$N$2="VOL_CLASS",$U194,$V194)))</f>
        <v/>
      </c>
      <c r="AR194" t="str">
        <f t="shared" ref="AR194:AR257" si="75">IF($A194="","",$AO194*IFERROR($AP194/$AQ194,0)*IFERROR($AE194/$AF194,0)*IFERROR($AC194/$AD194,0))</f>
        <v/>
      </c>
      <c r="AS194" t="str">
        <f>IF($A194="","",$A194&amp;"|"&amp;Allocation!BG194)</f>
        <v/>
      </c>
    </row>
    <row r="195" spans="1:45" x14ac:dyDescent="0.45">
      <c r="A195" t="str">
        <f>IF(Allocation!BI195="","",Allocation!BI195)</f>
        <v/>
      </c>
      <c r="B195" t="str">
        <f>IF(Allocation!BJ195="","",Allocation!BJ195)</f>
        <v/>
      </c>
      <c r="C195" t="str">
        <f>IF(Allocation!BK195="","",Allocation!BK195)</f>
        <v/>
      </c>
      <c r="D195" t="str">
        <f>IF(Allocation!BL195="","",Allocation!BL195)</f>
        <v/>
      </c>
      <c r="E195" t="str">
        <f>IF(Allocation!BM195="","",Allocation!BM195)</f>
        <v/>
      </c>
      <c r="F195" t="str">
        <f>IF(Allocation!BN195="","",Allocation!BN195)</f>
        <v/>
      </c>
      <c r="G195" t="str">
        <f>IF(Allocation!BO195="","",Allocation!BO195)</f>
        <v/>
      </c>
      <c r="H195" t="str">
        <f>IF(Allocation!BP195="","",Allocation!BP195)</f>
        <v/>
      </c>
      <c r="I195" t="str">
        <f>IF(Allocation!BQ195="","",Allocation!BQ195)</f>
        <v/>
      </c>
      <c r="J195" t="str">
        <f>IF(Allocation!CC195="","",Allocation!CC195)</f>
        <v/>
      </c>
      <c r="K195" t="str">
        <f t="shared" si="57"/>
        <v/>
      </c>
      <c r="L195" t="str">
        <f t="shared" si="58"/>
        <v/>
      </c>
      <c r="M195" t="str">
        <f t="shared" si="59"/>
        <v/>
      </c>
      <c r="N195" t="str">
        <f t="shared" si="60"/>
        <v/>
      </c>
      <c r="O195" t="str">
        <f t="shared" si="61"/>
        <v/>
      </c>
      <c r="P195" t="str">
        <f t="shared" si="62"/>
        <v/>
      </c>
      <c r="Q195" t="str">
        <f t="shared" si="63"/>
        <v/>
      </c>
      <c r="R195" t="str">
        <f t="shared" si="64"/>
        <v/>
      </c>
      <c r="S195" t="str">
        <f t="shared" si="65"/>
        <v/>
      </c>
      <c r="T195" t="str">
        <f t="shared" si="66"/>
        <v/>
      </c>
      <c r="U195" t="str">
        <f t="shared" si="67"/>
        <v/>
      </c>
      <c r="V195" t="str">
        <f t="shared" si="68"/>
        <v/>
      </c>
      <c r="W195" t="str">
        <f>IF($A195="","",Allocation!CD195)</f>
        <v/>
      </c>
      <c r="X195" t="str">
        <f>IF($A195="","",Allocation!CE195)</f>
        <v/>
      </c>
      <c r="Y195" t="str">
        <f>IF($A195="","",Allocation!CF195)</f>
        <v/>
      </c>
      <c r="Z195" t="str">
        <f>IF($A195="","",Allocation!CG195)</f>
        <v/>
      </c>
      <c r="AA195" t="str">
        <f>IF($A195="","",Allocation!CH195)</f>
        <v/>
      </c>
      <c r="AB195" t="str">
        <f>IF($A195="","",Allocation!CI195)</f>
        <v/>
      </c>
      <c r="AC195" t="str">
        <f>IF($A195="","",IF(Allocation!$N$4="VOL_EFF",$G195,IF(Allocation!$N$4="VOL_CLASS",$H195,$I195)))</f>
        <v/>
      </c>
      <c r="AD195" t="str">
        <f>IF($A195="","",IF(Allocation!$N$4="VOL_EFF",$L195,IF(Allocation!$N$4="VOL_CLASS",$M195,$N195)))</f>
        <v/>
      </c>
      <c r="AE195" t="str">
        <f>IF($A195="","",IF(Allocation!$N$3="VOL_EFF",$L195,IF(Allocation!$N$3="VOL_CLASS",$M195,$N195)))</f>
        <v/>
      </c>
      <c r="AF195" t="str">
        <f>IF($A195="","",IF(Allocation!$N$3="VOL_EFF",$Q195,IF(Allocation!$N$3="VOL_CLASS",$R195,$S195)))</f>
        <v/>
      </c>
      <c r="AG195" t="str">
        <f>IF($A195="","",IF(Allocation!$N$1="VOL_EFF",$Q195,IF(Allocation!$N$1="VOL_CLASS",$R195,$S195)))</f>
        <v/>
      </c>
      <c r="AH195" t="str">
        <f>IF($A195="","",IF(Allocation!$N$1="VOL_EFF",$T195,IF(Allocation!$N$1="VOL_CLASS",$U195,$V195)))</f>
        <v/>
      </c>
      <c r="AI195" t="str">
        <f t="shared" si="69"/>
        <v/>
      </c>
      <c r="AJ195" t="str">
        <f t="shared" si="70"/>
        <v/>
      </c>
      <c r="AK195" t="str">
        <f t="shared" si="71"/>
        <v/>
      </c>
      <c r="AL195" t="str">
        <f t="shared" si="72"/>
        <v/>
      </c>
      <c r="AM195" t="str">
        <f t="shared" si="73"/>
        <v/>
      </c>
      <c r="AN195" t="str">
        <f t="shared" si="74"/>
        <v/>
      </c>
      <c r="AO195" t="str">
        <f>IF($A195="","",Allocation!CJ195)</f>
        <v/>
      </c>
      <c r="AP195" t="str">
        <f>IF($A195="","",IF(Allocation!$N$2="VOL_EFF",$Q195,IF(Allocation!$N$2="VOL_CLASS",$R195,$S195)))</f>
        <v/>
      </c>
      <c r="AQ195" t="str">
        <f>IF($A195="","",IF(Allocation!$N$2="VOL_EFF",$T195,IF(Allocation!$N$2="VOL_CLASS",$U195,$V195)))</f>
        <v/>
      </c>
      <c r="AR195" t="str">
        <f t="shared" si="75"/>
        <v/>
      </c>
      <c r="AS195" t="str">
        <f>IF($A195="","",$A195&amp;"|"&amp;Allocation!BG195)</f>
        <v/>
      </c>
    </row>
    <row r="196" spans="1:45" x14ac:dyDescent="0.45">
      <c r="A196" t="str">
        <f>IF(Allocation!BI196="","",Allocation!BI196)</f>
        <v/>
      </c>
      <c r="B196" t="str">
        <f>IF(Allocation!BJ196="","",Allocation!BJ196)</f>
        <v/>
      </c>
      <c r="C196" t="str">
        <f>IF(Allocation!BK196="","",Allocation!BK196)</f>
        <v/>
      </c>
      <c r="D196" t="str">
        <f>IF(Allocation!BL196="","",Allocation!BL196)</f>
        <v/>
      </c>
      <c r="E196" t="str">
        <f>IF(Allocation!BM196="","",Allocation!BM196)</f>
        <v/>
      </c>
      <c r="F196" t="str">
        <f>IF(Allocation!BN196="","",Allocation!BN196)</f>
        <v/>
      </c>
      <c r="G196" t="str">
        <f>IF(Allocation!BO196="","",Allocation!BO196)</f>
        <v/>
      </c>
      <c r="H196" t="str">
        <f>IF(Allocation!BP196="","",Allocation!BP196)</f>
        <v/>
      </c>
      <c r="I196" t="str">
        <f>IF(Allocation!BQ196="","",Allocation!BQ196)</f>
        <v/>
      </c>
      <c r="J196" t="str">
        <f>IF(Allocation!CC196="","",Allocation!CC196)</f>
        <v/>
      </c>
      <c r="K196" t="str">
        <f t="shared" si="57"/>
        <v/>
      </c>
      <c r="L196" t="str">
        <f t="shared" si="58"/>
        <v/>
      </c>
      <c r="M196" t="str">
        <f t="shared" si="59"/>
        <v/>
      </c>
      <c r="N196" t="str">
        <f t="shared" si="60"/>
        <v/>
      </c>
      <c r="O196" t="str">
        <f t="shared" si="61"/>
        <v/>
      </c>
      <c r="P196" t="str">
        <f t="shared" si="62"/>
        <v/>
      </c>
      <c r="Q196" t="str">
        <f t="shared" si="63"/>
        <v/>
      </c>
      <c r="R196" t="str">
        <f t="shared" si="64"/>
        <v/>
      </c>
      <c r="S196" t="str">
        <f t="shared" si="65"/>
        <v/>
      </c>
      <c r="T196" t="str">
        <f t="shared" si="66"/>
        <v/>
      </c>
      <c r="U196" t="str">
        <f t="shared" si="67"/>
        <v/>
      </c>
      <c r="V196" t="str">
        <f t="shared" si="68"/>
        <v/>
      </c>
      <c r="W196" t="str">
        <f>IF($A196="","",Allocation!CD196)</f>
        <v/>
      </c>
      <c r="X196" t="str">
        <f>IF($A196="","",Allocation!CE196)</f>
        <v/>
      </c>
      <c r="Y196" t="str">
        <f>IF($A196="","",Allocation!CF196)</f>
        <v/>
      </c>
      <c r="Z196" t="str">
        <f>IF($A196="","",Allocation!CG196)</f>
        <v/>
      </c>
      <c r="AA196" t="str">
        <f>IF($A196="","",Allocation!CH196)</f>
        <v/>
      </c>
      <c r="AB196" t="str">
        <f>IF($A196="","",Allocation!CI196)</f>
        <v/>
      </c>
      <c r="AC196" t="str">
        <f>IF($A196="","",IF(Allocation!$N$4="VOL_EFF",$G196,IF(Allocation!$N$4="VOL_CLASS",$H196,$I196)))</f>
        <v/>
      </c>
      <c r="AD196" t="str">
        <f>IF($A196="","",IF(Allocation!$N$4="VOL_EFF",$L196,IF(Allocation!$N$4="VOL_CLASS",$M196,$N196)))</f>
        <v/>
      </c>
      <c r="AE196" t="str">
        <f>IF($A196="","",IF(Allocation!$N$3="VOL_EFF",$L196,IF(Allocation!$N$3="VOL_CLASS",$M196,$N196)))</f>
        <v/>
      </c>
      <c r="AF196" t="str">
        <f>IF($A196="","",IF(Allocation!$N$3="VOL_EFF",$Q196,IF(Allocation!$N$3="VOL_CLASS",$R196,$S196)))</f>
        <v/>
      </c>
      <c r="AG196" t="str">
        <f>IF($A196="","",IF(Allocation!$N$1="VOL_EFF",$Q196,IF(Allocation!$N$1="VOL_CLASS",$R196,$S196)))</f>
        <v/>
      </c>
      <c r="AH196" t="str">
        <f>IF($A196="","",IF(Allocation!$N$1="VOL_EFF",$T196,IF(Allocation!$N$1="VOL_CLASS",$U196,$V196)))</f>
        <v/>
      </c>
      <c r="AI196" t="str">
        <f t="shared" si="69"/>
        <v/>
      </c>
      <c r="AJ196" t="str">
        <f t="shared" si="70"/>
        <v/>
      </c>
      <c r="AK196" t="str">
        <f t="shared" si="71"/>
        <v/>
      </c>
      <c r="AL196" t="str">
        <f t="shared" si="72"/>
        <v/>
      </c>
      <c r="AM196" t="str">
        <f t="shared" si="73"/>
        <v/>
      </c>
      <c r="AN196" t="str">
        <f t="shared" si="74"/>
        <v/>
      </c>
      <c r="AO196" t="str">
        <f>IF($A196="","",Allocation!CJ196)</f>
        <v/>
      </c>
      <c r="AP196" t="str">
        <f>IF($A196="","",IF(Allocation!$N$2="VOL_EFF",$Q196,IF(Allocation!$N$2="VOL_CLASS",$R196,$S196)))</f>
        <v/>
      </c>
      <c r="AQ196" t="str">
        <f>IF($A196="","",IF(Allocation!$N$2="VOL_EFF",$T196,IF(Allocation!$N$2="VOL_CLASS",$U196,$V196)))</f>
        <v/>
      </c>
      <c r="AR196" t="str">
        <f t="shared" si="75"/>
        <v/>
      </c>
      <c r="AS196" t="str">
        <f>IF($A196="","",$A196&amp;"|"&amp;Allocation!BG196)</f>
        <v/>
      </c>
    </row>
    <row r="197" spans="1:45" x14ac:dyDescent="0.45">
      <c r="A197" t="str">
        <f>IF(Allocation!BI197="","",Allocation!BI197)</f>
        <v/>
      </c>
      <c r="B197" t="str">
        <f>IF(Allocation!BJ197="","",Allocation!BJ197)</f>
        <v/>
      </c>
      <c r="C197" t="str">
        <f>IF(Allocation!BK197="","",Allocation!BK197)</f>
        <v/>
      </c>
      <c r="D197" t="str">
        <f>IF(Allocation!BL197="","",Allocation!BL197)</f>
        <v/>
      </c>
      <c r="E197" t="str">
        <f>IF(Allocation!BM197="","",Allocation!BM197)</f>
        <v/>
      </c>
      <c r="F197" t="str">
        <f>IF(Allocation!BN197="","",Allocation!BN197)</f>
        <v/>
      </c>
      <c r="G197" t="str">
        <f>IF(Allocation!BO197="","",Allocation!BO197)</f>
        <v/>
      </c>
      <c r="H197" t="str">
        <f>IF(Allocation!BP197="","",Allocation!BP197)</f>
        <v/>
      </c>
      <c r="I197" t="str">
        <f>IF(Allocation!BQ197="","",Allocation!BQ197)</f>
        <v/>
      </c>
      <c r="J197" t="str">
        <f>IF(Allocation!CC197="","",Allocation!CC197)</f>
        <v/>
      </c>
      <c r="K197" t="str">
        <f t="shared" si="57"/>
        <v/>
      </c>
      <c r="L197" t="str">
        <f t="shared" si="58"/>
        <v/>
      </c>
      <c r="M197" t="str">
        <f t="shared" si="59"/>
        <v/>
      </c>
      <c r="N197" t="str">
        <f t="shared" si="60"/>
        <v/>
      </c>
      <c r="O197" t="str">
        <f t="shared" si="61"/>
        <v/>
      </c>
      <c r="P197" t="str">
        <f t="shared" si="62"/>
        <v/>
      </c>
      <c r="Q197" t="str">
        <f t="shared" si="63"/>
        <v/>
      </c>
      <c r="R197" t="str">
        <f t="shared" si="64"/>
        <v/>
      </c>
      <c r="S197" t="str">
        <f t="shared" si="65"/>
        <v/>
      </c>
      <c r="T197" t="str">
        <f t="shared" si="66"/>
        <v/>
      </c>
      <c r="U197" t="str">
        <f t="shared" si="67"/>
        <v/>
      </c>
      <c r="V197" t="str">
        <f t="shared" si="68"/>
        <v/>
      </c>
      <c r="W197" t="str">
        <f>IF($A197="","",Allocation!CD197)</f>
        <v/>
      </c>
      <c r="X197" t="str">
        <f>IF($A197="","",Allocation!CE197)</f>
        <v/>
      </c>
      <c r="Y197" t="str">
        <f>IF($A197="","",Allocation!CF197)</f>
        <v/>
      </c>
      <c r="Z197" t="str">
        <f>IF($A197="","",Allocation!CG197)</f>
        <v/>
      </c>
      <c r="AA197" t="str">
        <f>IF($A197="","",Allocation!CH197)</f>
        <v/>
      </c>
      <c r="AB197" t="str">
        <f>IF($A197="","",Allocation!CI197)</f>
        <v/>
      </c>
      <c r="AC197" t="str">
        <f>IF($A197="","",IF(Allocation!$N$4="VOL_EFF",$G197,IF(Allocation!$N$4="VOL_CLASS",$H197,$I197)))</f>
        <v/>
      </c>
      <c r="AD197" t="str">
        <f>IF($A197="","",IF(Allocation!$N$4="VOL_EFF",$L197,IF(Allocation!$N$4="VOL_CLASS",$M197,$N197)))</f>
        <v/>
      </c>
      <c r="AE197" t="str">
        <f>IF($A197="","",IF(Allocation!$N$3="VOL_EFF",$L197,IF(Allocation!$N$3="VOL_CLASS",$M197,$N197)))</f>
        <v/>
      </c>
      <c r="AF197" t="str">
        <f>IF($A197="","",IF(Allocation!$N$3="VOL_EFF",$Q197,IF(Allocation!$N$3="VOL_CLASS",$R197,$S197)))</f>
        <v/>
      </c>
      <c r="AG197" t="str">
        <f>IF($A197="","",IF(Allocation!$N$1="VOL_EFF",$Q197,IF(Allocation!$N$1="VOL_CLASS",$R197,$S197)))</f>
        <v/>
      </c>
      <c r="AH197" t="str">
        <f>IF($A197="","",IF(Allocation!$N$1="VOL_EFF",$T197,IF(Allocation!$N$1="VOL_CLASS",$U197,$V197)))</f>
        <v/>
      </c>
      <c r="AI197" t="str">
        <f t="shared" si="69"/>
        <v/>
      </c>
      <c r="AJ197" t="str">
        <f t="shared" si="70"/>
        <v/>
      </c>
      <c r="AK197" t="str">
        <f t="shared" si="71"/>
        <v/>
      </c>
      <c r="AL197" t="str">
        <f t="shared" si="72"/>
        <v/>
      </c>
      <c r="AM197" t="str">
        <f t="shared" si="73"/>
        <v/>
      </c>
      <c r="AN197" t="str">
        <f t="shared" si="74"/>
        <v/>
      </c>
      <c r="AO197" t="str">
        <f>IF($A197="","",Allocation!CJ197)</f>
        <v/>
      </c>
      <c r="AP197" t="str">
        <f>IF($A197="","",IF(Allocation!$N$2="VOL_EFF",$Q197,IF(Allocation!$N$2="VOL_CLASS",$R197,$S197)))</f>
        <v/>
      </c>
      <c r="AQ197" t="str">
        <f>IF($A197="","",IF(Allocation!$N$2="VOL_EFF",$T197,IF(Allocation!$N$2="VOL_CLASS",$U197,$V197)))</f>
        <v/>
      </c>
      <c r="AR197" t="str">
        <f t="shared" si="75"/>
        <v/>
      </c>
      <c r="AS197" t="str">
        <f>IF($A197="","",$A197&amp;"|"&amp;Allocation!BG197)</f>
        <v/>
      </c>
    </row>
    <row r="198" spans="1:45" x14ac:dyDescent="0.45">
      <c r="A198" t="str">
        <f>IF(Allocation!BI198="","",Allocation!BI198)</f>
        <v/>
      </c>
      <c r="B198" t="str">
        <f>IF(Allocation!BJ198="","",Allocation!BJ198)</f>
        <v/>
      </c>
      <c r="C198" t="str">
        <f>IF(Allocation!BK198="","",Allocation!BK198)</f>
        <v/>
      </c>
      <c r="D198" t="str">
        <f>IF(Allocation!BL198="","",Allocation!BL198)</f>
        <v/>
      </c>
      <c r="E198" t="str">
        <f>IF(Allocation!BM198="","",Allocation!BM198)</f>
        <v/>
      </c>
      <c r="F198" t="str">
        <f>IF(Allocation!BN198="","",Allocation!BN198)</f>
        <v/>
      </c>
      <c r="G198" t="str">
        <f>IF(Allocation!BO198="","",Allocation!BO198)</f>
        <v/>
      </c>
      <c r="H198" t="str">
        <f>IF(Allocation!BP198="","",Allocation!BP198)</f>
        <v/>
      </c>
      <c r="I198" t="str">
        <f>IF(Allocation!BQ198="","",Allocation!BQ198)</f>
        <v/>
      </c>
      <c r="J198" t="str">
        <f>IF(Allocation!CC198="","",Allocation!CC198)</f>
        <v/>
      </c>
      <c r="K198" t="str">
        <f t="shared" si="57"/>
        <v/>
      </c>
      <c r="L198" t="str">
        <f t="shared" si="58"/>
        <v/>
      </c>
      <c r="M198" t="str">
        <f t="shared" si="59"/>
        <v/>
      </c>
      <c r="N198" t="str">
        <f t="shared" si="60"/>
        <v/>
      </c>
      <c r="O198" t="str">
        <f t="shared" si="61"/>
        <v/>
      </c>
      <c r="P198" t="str">
        <f t="shared" si="62"/>
        <v/>
      </c>
      <c r="Q198" t="str">
        <f t="shared" si="63"/>
        <v/>
      </c>
      <c r="R198" t="str">
        <f t="shared" si="64"/>
        <v/>
      </c>
      <c r="S198" t="str">
        <f t="shared" si="65"/>
        <v/>
      </c>
      <c r="T198" t="str">
        <f t="shared" si="66"/>
        <v/>
      </c>
      <c r="U198" t="str">
        <f t="shared" si="67"/>
        <v/>
      </c>
      <c r="V198" t="str">
        <f t="shared" si="68"/>
        <v/>
      </c>
      <c r="W198" t="str">
        <f>IF($A198="","",Allocation!CD198)</f>
        <v/>
      </c>
      <c r="X198" t="str">
        <f>IF($A198="","",Allocation!CE198)</f>
        <v/>
      </c>
      <c r="Y198" t="str">
        <f>IF($A198="","",Allocation!CF198)</f>
        <v/>
      </c>
      <c r="Z198" t="str">
        <f>IF($A198="","",Allocation!CG198)</f>
        <v/>
      </c>
      <c r="AA198" t="str">
        <f>IF($A198="","",Allocation!CH198)</f>
        <v/>
      </c>
      <c r="AB198" t="str">
        <f>IF($A198="","",Allocation!CI198)</f>
        <v/>
      </c>
      <c r="AC198" t="str">
        <f>IF($A198="","",IF(Allocation!$N$4="VOL_EFF",$G198,IF(Allocation!$N$4="VOL_CLASS",$H198,$I198)))</f>
        <v/>
      </c>
      <c r="AD198" t="str">
        <f>IF($A198="","",IF(Allocation!$N$4="VOL_EFF",$L198,IF(Allocation!$N$4="VOL_CLASS",$M198,$N198)))</f>
        <v/>
      </c>
      <c r="AE198" t="str">
        <f>IF($A198="","",IF(Allocation!$N$3="VOL_EFF",$L198,IF(Allocation!$N$3="VOL_CLASS",$M198,$N198)))</f>
        <v/>
      </c>
      <c r="AF198" t="str">
        <f>IF($A198="","",IF(Allocation!$N$3="VOL_EFF",$Q198,IF(Allocation!$N$3="VOL_CLASS",$R198,$S198)))</f>
        <v/>
      </c>
      <c r="AG198" t="str">
        <f>IF($A198="","",IF(Allocation!$N$1="VOL_EFF",$Q198,IF(Allocation!$N$1="VOL_CLASS",$R198,$S198)))</f>
        <v/>
      </c>
      <c r="AH198" t="str">
        <f>IF($A198="","",IF(Allocation!$N$1="VOL_EFF",$T198,IF(Allocation!$N$1="VOL_CLASS",$U198,$V198)))</f>
        <v/>
      </c>
      <c r="AI198" t="str">
        <f t="shared" si="69"/>
        <v/>
      </c>
      <c r="AJ198" t="str">
        <f t="shared" si="70"/>
        <v/>
      </c>
      <c r="AK198" t="str">
        <f t="shared" si="71"/>
        <v/>
      </c>
      <c r="AL198" t="str">
        <f t="shared" si="72"/>
        <v/>
      </c>
      <c r="AM198" t="str">
        <f t="shared" si="73"/>
        <v/>
      </c>
      <c r="AN198" t="str">
        <f t="shared" si="74"/>
        <v/>
      </c>
      <c r="AO198" t="str">
        <f>IF($A198="","",Allocation!CJ198)</f>
        <v/>
      </c>
      <c r="AP198" t="str">
        <f>IF($A198="","",IF(Allocation!$N$2="VOL_EFF",$Q198,IF(Allocation!$N$2="VOL_CLASS",$R198,$S198)))</f>
        <v/>
      </c>
      <c r="AQ198" t="str">
        <f>IF($A198="","",IF(Allocation!$N$2="VOL_EFF",$T198,IF(Allocation!$N$2="VOL_CLASS",$U198,$V198)))</f>
        <v/>
      </c>
      <c r="AR198" t="str">
        <f t="shared" si="75"/>
        <v/>
      </c>
      <c r="AS198" t="str">
        <f>IF($A198="","",$A198&amp;"|"&amp;Allocation!BG198)</f>
        <v/>
      </c>
    </row>
    <row r="199" spans="1:45" x14ac:dyDescent="0.45">
      <c r="A199" t="str">
        <f>IF(Allocation!BI199="","",Allocation!BI199)</f>
        <v/>
      </c>
      <c r="B199" t="str">
        <f>IF(Allocation!BJ199="","",Allocation!BJ199)</f>
        <v/>
      </c>
      <c r="C199" t="str">
        <f>IF(Allocation!BK199="","",Allocation!BK199)</f>
        <v/>
      </c>
      <c r="D199" t="str">
        <f>IF(Allocation!BL199="","",Allocation!BL199)</f>
        <v/>
      </c>
      <c r="E199" t="str">
        <f>IF(Allocation!BM199="","",Allocation!BM199)</f>
        <v/>
      </c>
      <c r="F199" t="str">
        <f>IF(Allocation!BN199="","",Allocation!BN199)</f>
        <v/>
      </c>
      <c r="G199" t="str">
        <f>IF(Allocation!BO199="","",Allocation!BO199)</f>
        <v/>
      </c>
      <c r="H199" t="str">
        <f>IF(Allocation!BP199="","",Allocation!BP199)</f>
        <v/>
      </c>
      <c r="I199" t="str">
        <f>IF(Allocation!BQ199="","",Allocation!BQ199)</f>
        <v/>
      </c>
      <c r="J199" t="str">
        <f>IF(Allocation!CC199="","",Allocation!CC199)</f>
        <v/>
      </c>
      <c r="K199" t="str">
        <f t="shared" si="57"/>
        <v/>
      </c>
      <c r="L199" t="str">
        <f t="shared" si="58"/>
        <v/>
      </c>
      <c r="M199" t="str">
        <f t="shared" si="59"/>
        <v/>
      </c>
      <c r="N199" t="str">
        <f t="shared" si="60"/>
        <v/>
      </c>
      <c r="O199" t="str">
        <f t="shared" si="61"/>
        <v/>
      </c>
      <c r="P199" t="str">
        <f t="shared" si="62"/>
        <v/>
      </c>
      <c r="Q199" t="str">
        <f t="shared" si="63"/>
        <v/>
      </c>
      <c r="R199" t="str">
        <f t="shared" si="64"/>
        <v/>
      </c>
      <c r="S199" t="str">
        <f t="shared" si="65"/>
        <v/>
      </c>
      <c r="T199" t="str">
        <f t="shared" si="66"/>
        <v/>
      </c>
      <c r="U199" t="str">
        <f t="shared" si="67"/>
        <v/>
      </c>
      <c r="V199" t="str">
        <f t="shared" si="68"/>
        <v/>
      </c>
      <c r="W199" t="str">
        <f>IF($A199="","",Allocation!CD199)</f>
        <v/>
      </c>
      <c r="X199" t="str">
        <f>IF($A199="","",Allocation!CE199)</f>
        <v/>
      </c>
      <c r="Y199" t="str">
        <f>IF($A199="","",Allocation!CF199)</f>
        <v/>
      </c>
      <c r="Z199" t="str">
        <f>IF($A199="","",Allocation!CG199)</f>
        <v/>
      </c>
      <c r="AA199" t="str">
        <f>IF($A199="","",Allocation!CH199)</f>
        <v/>
      </c>
      <c r="AB199" t="str">
        <f>IF($A199="","",Allocation!CI199)</f>
        <v/>
      </c>
      <c r="AC199" t="str">
        <f>IF($A199="","",IF(Allocation!$N$4="VOL_EFF",$G199,IF(Allocation!$N$4="VOL_CLASS",$H199,$I199)))</f>
        <v/>
      </c>
      <c r="AD199" t="str">
        <f>IF($A199="","",IF(Allocation!$N$4="VOL_EFF",$L199,IF(Allocation!$N$4="VOL_CLASS",$M199,$N199)))</f>
        <v/>
      </c>
      <c r="AE199" t="str">
        <f>IF($A199="","",IF(Allocation!$N$3="VOL_EFF",$L199,IF(Allocation!$N$3="VOL_CLASS",$M199,$N199)))</f>
        <v/>
      </c>
      <c r="AF199" t="str">
        <f>IF($A199="","",IF(Allocation!$N$3="VOL_EFF",$Q199,IF(Allocation!$N$3="VOL_CLASS",$R199,$S199)))</f>
        <v/>
      </c>
      <c r="AG199" t="str">
        <f>IF($A199="","",IF(Allocation!$N$1="VOL_EFF",$Q199,IF(Allocation!$N$1="VOL_CLASS",$R199,$S199)))</f>
        <v/>
      </c>
      <c r="AH199" t="str">
        <f>IF($A199="","",IF(Allocation!$N$1="VOL_EFF",$T199,IF(Allocation!$N$1="VOL_CLASS",$U199,$V199)))</f>
        <v/>
      </c>
      <c r="AI199" t="str">
        <f t="shared" si="69"/>
        <v/>
      </c>
      <c r="AJ199" t="str">
        <f t="shared" si="70"/>
        <v/>
      </c>
      <c r="AK199" t="str">
        <f t="shared" si="71"/>
        <v/>
      </c>
      <c r="AL199" t="str">
        <f t="shared" si="72"/>
        <v/>
      </c>
      <c r="AM199" t="str">
        <f t="shared" si="73"/>
        <v/>
      </c>
      <c r="AN199" t="str">
        <f t="shared" si="74"/>
        <v/>
      </c>
      <c r="AO199" t="str">
        <f>IF($A199="","",Allocation!CJ199)</f>
        <v/>
      </c>
      <c r="AP199" t="str">
        <f>IF($A199="","",IF(Allocation!$N$2="VOL_EFF",$Q199,IF(Allocation!$N$2="VOL_CLASS",$R199,$S199)))</f>
        <v/>
      </c>
      <c r="AQ199" t="str">
        <f>IF($A199="","",IF(Allocation!$N$2="VOL_EFF",$T199,IF(Allocation!$N$2="VOL_CLASS",$U199,$V199)))</f>
        <v/>
      </c>
      <c r="AR199" t="str">
        <f t="shared" si="75"/>
        <v/>
      </c>
      <c r="AS199" t="str">
        <f>IF($A199="","",$A199&amp;"|"&amp;Allocation!BG199)</f>
        <v/>
      </c>
    </row>
    <row r="200" spans="1:45" x14ac:dyDescent="0.45">
      <c r="A200" t="str">
        <f>IF(Allocation!BI200="","",Allocation!BI200)</f>
        <v/>
      </c>
      <c r="B200" t="str">
        <f>IF(Allocation!BJ200="","",Allocation!BJ200)</f>
        <v/>
      </c>
      <c r="C200" t="str">
        <f>IF(Allocation!BK200="","",Allocation!BK200)</f>
        <v/>
      </c>
      <c r="D200" t="str">
        <f>IF(Allocation!BL200="","",Allocation!BL200)</f>
        <v/>
      </c>
      <c r="E200" t="str">
        <f>IF(Allocation!BM200="","",Allocation!BM200)</f>
        <v/>
      </c>
      <c r="F200" t="str">
        <f>IF(Allocation!BN200="","",Allocation!BN200)</f>
        <v/>
      </c>
      <c r="G200" t="str">
        <f>IF(Allocation!BO200="","",Allocation!BO200)</f>
        <v/>
      </c>
      <c r="H200" t="str">
        <f>IF(Allocation!BP200="","",Allocation!BP200)</f>
        <v/>
      </c>
      <c r="I200" t="str">
        <f>IF(Allocation!BQ200="","",Allocation!BQ200)</f>
        <v/>
      </c>
      <c r="J200" t="str">
        <f>IF(Allocation!CC200="","",Allocation!CC200)</f>
        <v/>
      </c>
      <c r="K200" t="str">
        <f t="shared" si="57"/>
        <v/>
      </c>
      <c r="L200" t="str">
        <f t="shared" si="58"/>
        <v/>
      </c>
      <c r="M200" t="str">
        <f t="shared" si="59"/>
        <v/>
      </c>
      <c r="N200" t="str">
        <f t="shared" si="60"/>
        <v/>
      </c>
      <c r="O200" t="str">
        <f t="shared" si="61"/>
        <v/>
      </c>
      <c r="P200" t="str">
        <f t="shared" si="62"/>
        <v/>
      </c>
      <c r="Q200" t="str">
        <f t="shared" si="63"/>
        <v/>
      </c>
      <c r="R200" t="str">
        <f t="shared" si="64"/>
        <v/>
      </c>
      <c r="S200" t="str">
        <f t="shared" si="65"/>
        <v/>
      </c>
      <c r="T200" t="str">
        <f t="shared" si="66"/>
        <v/>
      </c>
      <c r="U200" t="str">
        <f t="shared" si="67"/>
        <v/>
      </c>
      <c r="V200" t="str">
        <f t="shared" si="68"/>
        <v/>
      </c>
      <c r="W200" t="str">
        <f>IF($A200="","",Allocation!CD200)</f>
        <v/>
      </c>
      <c r="X200" t="str">
        <f>IF($A200="","",Allocation!CE200)</f>
        <v/>
      </c>
      <c r="Y200" t="str">
        <f>IF($A200="","",Allocation!CF200)</f>
        <v/>
      </c>
      <c r="Z200" t="str">
        <f>IF($A200="","",Allocation!CG200)</f>
        <v/>
      </c>
      <c r="AA200" t="str">
        <f>IF($A200="","",Allocation!CH200)</f>
        <v/>
      </c>
      <c r="AB200" t="str">
        <f>IF($A200="","",Allocation!CI200)</f>
        <v/>
      </c>
      <c r="AC200" t="str">
        <f>IF($A200="","",IF(Allocation!$N$4="VOL_EFF",$G200,IF(Allocation!$N$4="VOL_CLASS",$H200,$I200)))</f>
        <v/>
      </c>
      <c r="AD200" t="str">
        <f>IF($A200="","",IF(Allocation!$N$4="VOL_EFF",$L200,IF(Allocation!$N$4="VOL_CLASS",$M200,$N200)))</f>
        <v/>
      </c>
      <c r="AE200" t="str">
        <f>IF($A200="","",IF(Allocation!$N$3="VOL_EFF",$L200,IF(Allocation!$N$3="VOL_CLASS",$M200,$N200)))</f>
        <v/>
      </c>
      <c r="AF200" t="str">
        <f>IF($A200="","",IF(Allocation!$N$3="VOL_EFF",$Q200,IF(Allocation!$N$3="VOL_CLASS",$R200,$S200)))</f>
        <v/>
      </c>
      <c r="AG200" t="str">
        <f>IF($A200="","",IF(Allocation!$N$1="VOL_EFF",$Q200,IF(Allocation!$N$1="VOL_CLASS",$R200,$S200)))</f>
        <v/>
      </c>
      <c r="AH200" t="str">
        <f>IF($A200="","",IF(Allocation!$N$1="VOL_EFF",$T200,IF(Allocation!$N$1="VOL_CLASS",$U200,$V200)))</f>
        <v/>
      </c>
      <c r="AI200" t="str">
        <f t="shared" si="69"/>
        <v/>
      </c>
      <c r="AJ200" t="str">
        <f t="shared" si="70"/>
        <v/>
      </c>
      <c r="AK200" t="str">
        <f t="shared" si="71"/>
        <v/>
      </c>
      <c r="AL200" t="str">
        <f t="shared" si="72"/>
        <v/>
      </c>
      <c r="AM200" t="str">
        <f t="shared" si="73"/>
        <v/>
      </c>
      <c r="AN200" t="str">
        <f t="shared" si="74"/>
        <v/>
      </c>
      <c r="AO200" t="str">
        <f>IF($A200="","",Allocation!CJ200)</f>
        <v/>
      </c>
      <c r="AP200" t="str">
        <f>IF($A200="","",IF(Allocation!$N$2="VOL_EFF",$Q200,IF(Allocation!$N$2="VOL_CLASS",$R200,$S200)))</f>
        <v/>
      </c>
      <c r="AQ200" t="str">
        <f>IF($A200="","",IF(Allocation!$N$2="VOL_EFF",$T200,IF(Allocation!$N$2="VOL_CLASS",$U200,$V200)))</f>
        <v/>
      </c>
      <c r="AR200" t="str">
        <f t="shared" si="75"/>
        <v/>
      </c>
      <c r="AS200" t="str">
        <f>IF($A200="","",$A200&amp;"|"&amp;Allocation!BG200)</f>
        <v/>
      </c>
    </row>
    <row r="201" spans="1:45" x14ac:dyDescent="0.45">
      <c r="A201" t="str">
        <f>IF(Allocation!BI201="","",Allocation!BI201)</f>
        <v/>
      </c>
      <c r="B201" t="str">
        <f>IF(Allocation!BJ201="","",Allocation!BJ201)</f>
        <v/>
      </c>
      <c r="C201" t="str">
        <f>IF(Allocation!BK201="","",Allocation!BK201)</f>
        <v/>
      </c>
      <c r="D201" t="str">
        <f>IF(Allocation!BL201="","",Allocation!BL201)</f>
        <v/>
      </c>
      <c r="E201" t="str">
        <f>IF(Allocation!BM201="","",Allocation!BM201)</f>
        <v/>
      </c>
      <c r="F201" t="str">
        <f>IF(Allocation!BN201="","",Allocation!BN201)</f>
        <v/>
      </c>
      <c r="G201" t="str">
        <f>IF(Allocation!BO201="","",Allocation!BO201)</f>
        <v/>
      </c>
      <c r="H201" t="str">
        <f>IF(Allocation!BP201="","",Allocation!BP201)</f>
        <v/>
      </c>
      <c r="I201" t="str">
        <f>IF(Allocation!BQ201="","",Allocation!BQ201)</f>
        <v/>
      </c>
      <c r="J201" t="str">
        <f>IF(Allocation!CC201="","",Allocation!CC201)</f>
        <v/>
      </c>
      <c r="K201" t="str">
        <f t="shared" si="57"/>
        <v/>
      </c>
      <c r="L201" t="str">
        <f t="shared" si="58"/>
        <v/>
      </c>
      <c r="M201" t="str">
        <f t="shared" si="59"/>
        <v/>
      </c>
      <c r="N201" t="str">
        <f t="shared" si="60"/>
        <v/>
      </c>
      <c r="O201" t="str">
        <f t="shared" si="61"/>
        <v/>
      </c>
      <c r="P201" t="str">
        <f t="shared" si="62"/>
        <v/>
      </c>
      <c r="Q201" t="str">
        <f t="shared" si="63"/>
        <v/>
      </c>
      <c r="R201" t="str">
        <f t="shared" si="64"/>
        <v/>
      </c>
      <c r="S201" t="str">
        <f t="shared" si="65"/>
        <v/>
      </c>
      <c r="T201" t="str">
        <f t="shared" si="66"/>
        <v/>
      </c>
      <c r="U201" t="str">
        <f t="shared" si="67"/>
        <v/>
      </c>
      <c r="V201" t="str">
        <f t="shared" si="68"/>
        <v/>
      </c>
      <c r="W201" t="str">
        <f>IF($A201="","",Allocation!CD201)</f>
        <v/>
      </c>
      <c r="X201" t="str">
        <f>IF($A201="","",Allocation!CE201)</f>
        <v/>
      </c>
      <c r="Y201" t="str">
        <f>IF($A201="","",Allocation!CF201)</f>
        <v/>
      </c>
      <c r="Z201" t="str">
        <f>IF($A201="","",Allocation!CG201)</f>
        <v/>
      </c>
      <c r="AA201" t="str">
        <f>IF($A201="","",Allocation!CH201)</f>
        <v/>
      </c>
      <c r="AB201" t="str">
        <f>IF($A201="","",Allocation!CI201)</f>
        <v/>
      </c>
      <c r="AC201" t="str">
        <f>IF($A201="","",IF(Allocation!$N$4="VOL_EFF",$G201,IF(Allocation!$N$4="VOL_CLASS",$H201,$I201)))</f>
        <v/>
      </c>
      <c r="AD201" t="str">
        <f>IF($A201="","",IF(Allocation!$N$4="VOL_EFF",$L201,IF(Allocation!$N$4="VOL_CLASS",$M201,$N201)))</f>
        <v/>
      </c>
      <c r="AE201" t="str">
        <f>IF($A201="","",IF(Allocation!$N$3="VOL_EFF",$L201,IF(Allocation!$N$3="VOL_CLASS",$M201,$N201)))</f>
        <v/>
      </c>
      <c r="AF201" t="str">
        <f>IF($A201="","",IF(Allocation!$N$3="VOL_EFF",$Q201,IF(Allocation!$N$3="VOL_CLASS",$R201,$S201)))</f>
        <v/>
      </c>
      <c r="AG201" t="str">
        <f>IF($A201="","",IF(Allocation!$N$1="VOL_EFF",$Q201,IF(Allocation!$N$1="VOL_CLASS",$R201,$S201)))</f>
        <v/>
      </c>
      <c r="AH201" t="str">
        <f>IF($A201="","",IF(Allocation!$N$1="VOL_EFF",$T201,IF(Allocation!$N$1="VOL_CLASS",$U201,$V201)))</f>
        <v/>
      </c>
      <c r="AI201" t="str">
        <f t="shared" si="69"/>
        <v/>
      </c>
      <c r="AJ201" t="str">
        <f t="shared" si="70"/>
        <v/>
      </c>
      <c r="AK201" t="str">
        <f t="shared" si="71"/>
        <v/>
      </c>
      <c r="AL201" t="str">
        <f t="shared" si="72"/>
        <v/>
      </c>
      <c r="AM201" t="str">
        <f t="shared" si="73"/>
        <v/>
      </c>
      <c r="AN201" t="str">
        <f t="shared" si="74"/>
        <v/>
      </c>
      <c r="AO201" t="str">
        <f>IF($A201="","",Allocation!CJ201)</f>
        <v/>
      </c>
      <c r="AP201" t="str">
        <f>IF($A201="","",IF(Allocation!$N$2="VOL_EFF",$Q201,IF(Allocation!$N$2="VOL_CLASS",$R201,$S201)))</f>
        <v/>
      </c>
      <c r="AQ201" t="str">
        <f>IF($A201="","",IF(Allocation!$N$2="VOL_EFF",$T201,IF(Allocation!$N$2="VOL_CLASS",$U201,$V201)))</f>
        <v/>
      </c>
      <c r="AR201" t="str">
        <f t="shared" si="75"/>
        <v/>
      </c>
      <c r="AS201" t="str">
        <f>IF($A201="","",$A201&amp;"|"&amp;Allocation!BG201)</f>
        <v/>
      </c>
    </row>
    <row r="202" spans="1:45" x14ac:dyDescent="0.45">
      <c r="A202" t="str">
        <f>IF(Allocation!BI202="","",Allocation!BI202)</f>
        <v/>
      </c>
      <c r="B202" t="str">
        <f>IF(Allocation!BJ202="","",Allocation!BJ202)</f>
        <v/>
      </c>
      <c r="C202" t="str">
        <f>IF(Allocation!BK202="","",Allocation!BK202)</f>
        <v/>
      </c>
      <c r="D202" t="str">
        <f>IF(Allocation!BL202="","",Allocation!BL202)</f>
        <v/>
      </c>
      <c r="E202" t="str">
        <f>IF(Allocation!BM202="","",Allocation!BM202)</f>
        <v/>
      </c>
      <c r="F202" t="str">
        <f>IF(Allocation!BN202="","",Allocation!BN202)</f>
        <v/>
      </c>
      <c r="G202" t="str">
        <f>IF(Allocation!BO202="","",Allocation!BO202)</f>
        <v/>
      </c>
      <c r="H202" t="str">
        <f>IF(Allocation!BP202="","",Allocation!BP202)</f>
        <v/>
      </c>
      <c r="I202" t="str">
        <f>IF(Allocation!BQ202="","",Allocation!BQ202)</f>
        <v/>
      </c>
      <c r="J202" t="str">
        <f>IF(Allocation!CC202="","",Allocation!CC202)</f>
        <v/>
      </c>
      <c r="K202" t="str">
        <f t="shared" si="57"/>
        <v/>
      </c>
      <c r="L202" t="str">
        <f t="shared" si="58"/>
        <v/>
      </c>
      <c r="M202" t="str">
        <f t="shared" si="59"/>
        <v/>
      </c>
      <c r="N202" t="str">
        <f t="shared" si="60"/>
        <v/>
      </c>
      <c r="O202" t="str">
        <f t="shared" si="61"/>
        <v/>
      </c>
      <c r="P202" t="str">
        <f t="shared" si="62"/>
        <v/>
      </c>
      <c r="Q202" t="str">
        <f t="shared" si="63"/>
        <v/>
      </c>
      <c r="R202" t="str">
        <f t="shared" si="64"/>
        <v/>
      </c>
      <c r="S202" t="str">
        <f t="shared" si="65"/>
        <v/>
      </c>
      <c r="T202" t="str">
        <f t="shared" si="66"/>
        <v/>
      </c>
      <c r="U202" t="str">
        <f t="shared" si="67"/>
        <v/>
      </c>
      <c r="V202" t="str">
        <f t="shared" si="68"/>
        <v/>
      </c>
      <c r="W202" t="str">
        <f>IF($A202="","",Allocation!CD202)</f>
        <v/>
      </c>
      <c r="X202" t="str">
        <f>IF($A202="","",Allocation!CE202)</f>
        <v/>
      </c>
      <c r="Y202" t="str">
        <f>IF($A202="","",Allocation!CF202)</f>
        <v/>
      </c>
      <c r="Z202" t="str">
        <f>IF($A202="","",Allocation!CG202)</f>
        <v/>
      </c>
      <c r="AA202" t="str">
        <f>IF($A202="","",Allocation!CH202)</f>
        <v/>
      </c>
      <c r="AB202" t="str">
        <f>IF($A202="","",Allocation!CI202)</f>
        <v/>
      </c>
      <c r="AC202" t="str">
        <f>IF($A202="","",IF(Allocation!$N$4="VOL_EFF",$G202,IF(Allocation!$N$4="VOL_CLASS",$H202,$I202)))</f>
        <v/>
      </c>
      <c r="AD202" t="str">
        <f>IF($A202="","",IF(Allocation!$N$4="VOL_EFF",$L202,IF(Allocation!$N$4="VOL_CLASS",$M202,$N202)))</f>
        <v/>
      </c>
      <c r="AE202" t="str">
        <f>IF($A202="","",IF(Allocation!$N$3="VOL_EFF",$L202,IF(Allocation!$N$3="VOL_CLASS",$M202,$N202)))</f>
        <v/>
      </c>
      <c r="AF202" t="str">
        <f>IF($A202="","",IF(Allocation!$N$3="VOL_EFF",$Q202,IF(Allocation!$N$3="VOL_CLASS",$R202,$S202)))</f>
        <v/>
      </c>
      <c r="AG202" t="str">
        <f>IF($A202="","",IF(Allocation!$N$1="VOL_EFF",$Q202,IF(Allocation!$N$1="VOL_CLASS",$R202,$S202)))</f>
        <v/>
      </c>
      <c r="AH202" t="str">
        <f>IF($A202="","",IF(Allocation!$N$1="VOL_EFF",$T202,IF(Allocation!$N$1="VOL_CLASS",$U202,$V202)))</f>
        <v/>
      </c>
      <c r="AI202" t="str">
        <f t="shared" si="69"/>
        <v/>
      </c>
      <c r="AJ202" t="str">
        <f t="shared" si="70"/>
        <v/>
      </c>
      <c r="AK202" t="str">
        <f t="shared" si="71"/>
        <v/>
      </c>
      <c r="AL202" t="str">
        <f t="shared" si="72"/>
        <v/>
      </c>
      <c r="AM202" t="str">
        <f t="shared" si="73"/>
        <v/>
      </c>
      <c r="AN202" t="str">
        <f t="shared" si="74"/>
        <v/>
      </c>
      <c r="AO202" t="str">
        <f>IF($A202="","",Allocation!CJ202)</f>
        <v/>
      </c>
      <c r="AP202" t="str">
        <f>IF($A202="","",IF(Allocation!$N$2="VOL_EFF",$Q202,IF(Allocation!$N$2="VOL_CLASS",$R202,$S202)))</f>
        <v/>
      </c>
      <c r="AQ202" t="str">
        <f>IF($A202="","",IF(Allocation!$N$2="VOL_EFF",$T202,IF(Allocation!$N$2="VOL_CLASS",$U202,$V202)))</f>
        <v/>
      </c>
      <c r="AR202" t="str">
        <f t="shared" si="75"/>
        <v/>
      </c>
      <c r="AS202" t="str">
        <f>IF($A202="","",$A202&amp;"|"&amp;Allocation!BG202)</f>
        <v/>
      </c>
    </row>
    <row r="203" spans="1:45" x14ac:dyDescent="0.45">
      <c r="A203" t="str">
        <f>IF(Allocation!BI203="","",Allocation!BI203)</f>
        <v/>
      </c>
      <c r="B203" t="str">
        <f>IF(Allocation!BJ203="","",Allocation!BJ203)</f>
        <v/>
      </c>
      <c r="C203" t="str">
        <f>IF(Allocation!BK203="","",Allocation!BK203)</f>
        <v/>
      </c>
      <c r="D203" t="str">
        <f>IF(Allocation!BL203="","",Allocation!BL203)</f>
        <v/>
      </c>
      <c r="E203" t="str">
        <f>IF(Allocation!BM203="","",Allocation!BM203)</f>
        <v/>
      </c>
      <c r="F203" t="str">
        <f>IF(Allocation!BN203="","",Allocation!BN203)</f>
        <v/>
      </c>
      <c r="G203" t="str">
        <f>IF(Allocation!BO203="","",Allocation!BO203)</f>
        <v/>
      </c>
      <c r="H203" t="str">
        <f>IF(Allocation!BP203="","",Allocation!BP203)</f>
        <v/>
      </c>
      <c r="I203" t="str">
        <f>IF(Allocation!BQ203="","",Allocation!BQ203)</f>
        <v/>
      </c>
      <c r="J203" t="str">
        <f>IF(Allocation!CC203="","",Allocation!CC203)</f>
        <v/>
      </c>
      <c r="K203" t="str">
        <f t="shared" si="57"/>
        <v/>
      </c>
      <c r="L203" t="str">
        <f t="shared" si="58"/>
        <v/>
      </c>
      <c r="M203" t="str">
        <f t="shared" si="59"/>
        <v/>
      </c>
      <c r="N203" t="str">
        <f t="shared" si="60"/>
        <v/>
      </c>
      <c r="O203" t="str">
        <f t="shared" si="61"/>
        <v/>
      </c>
      <c r="P203" t="str">
        <f t="shared" si="62"/>
        <v/>
      </c>
      <c r="Q203" t="str">
        <f t="shared" si="63"/>
        <v/>
      </c>
      <c r="R203" t="str">
        <f t="shared" si="64"/>
        <v/>
      </c>
      <c r="S203" t="str">
        <f t="shared" si="65"/>
        <v/>
      </c>
      <c r="T203" t="str">
        <f t="shared" si="66"/>
        <v/>
      </c>
      <c r="U203" t="str">
        <f t="shared" si="67"/>
        <v/>
      </c>
      <c r="V203" t="str">
        <f t="shared" si="68"/>
        <v/>
      </c>
      <c r="W203" t="str">
        <f>IF($A203="","",Allocation!CD203)</f>
        <v/>
      </c>
      <c r="X203" t="str">
        <f>IF($A203="","",Allocation!CE203)</f>
        <v/>
      </c>
      <c r="Y203" t="str">
        <f>IF($A203="","",Allocation!CF203)</f>
        <v/>
      </c>
      <c r="Z203" t="str">
        <f>IF($A203="","",Allocation!CG203)</f>
        <v/>
      </c>
      <c r="AA203" t="str">
        <f>IF($A203="","",Allocation!CH203)</f>
        <v/>
      </c>
      <c r="AB203" t="str">
        <f>IF($A203="","",Allocation!CI203)</f>
        <v/>
      </c>
      <c r="AC203" t="str">
        <f>IF($A203="","",IF(Allocation!$N$4="VOL_EFF",$G203,IF(Allocation!$N$4="VOL_CLASS",$H203,$I203)))</f>
        <v/>
      </c>
      <c r="AD203" t="str">
        <f>IF($A203="","",IF(Allocation!$N$4="VOL_EFF",$L203,IF(Allocation!$N$4="VOL_CLASS",$M203,$N203)))</f>
        <v/>
      </c>
      <c r="AE203" t="str">
        <f>IF($A203="","",IF(Allocation!$N$3="VOL_EFF",$L203,IF(Allocation!$N$3="VOL_CLASS",$M203,$N203)))</f>
        <v/>
      </c>
      <c r="AF203" t="str">
        <f>IF($A203="","",IF(Allocation!$N$3="VOL_EFF",$Q203,IF(Allocation!$N$3="VOL_CLASS",$R203,$S203)))</f>
        <v/>
      </c>
      <c r="AG203" t="str">
        <f>IF($A203="","",IF(Allocation!$N$1="VOL_EFF",$Q203,IF(Allocation!$N$1="VOL_CLASS",$R203,$S203)))</f>
        <v/>
      </c>
      <c r="AH203" t="str">
        <f>IF($A203="","",IF(Allocation!$N$1="VOL_EFF",$T203,IF(Allocation!$N$1="VOL_CLASS",$U203,$V203)))</f>
        <v/>
      </c>
      <c r="AI203" t="str">
        <f t="shared" si="69"/>
        <v/>
      </c>
      <c r="AJ203" t="str">
        <f t="shared" si="70"/>
        <v/>
      </c>
      <c r="AK203" t="str">
        <f t="shared" si="71"/>
        <v/>
      </c>
      <c r="AL203" t="str">
        <f t="shared" si="72"/>
        <v/>
      </c>
      <c r="AM203" t="str">
        <f t="shared" si="73"/>
        <v/>
      </c>
      <c r="AN203" t="str">
        <f t="shared" si="74"/>
        <v/>
      </c>
      <c r="AO203" t="str">
        <f>IF($A203="","",Allocation!CJ203)</f>
        <v/>
      </c>
      <c r="AP203" t="str">
        <f>IF($A203="","",IF(Allocation!$N$2="VOL_EFF",$Q203,IF(Allocation!$N$2="VOL_CLASS",$R203,$S203)))</f>
        <v/>
      </c>
      <c r="AQ203" t="str">
        <f>IF($A203="","",IF(Allocation!$N$2="VOL_EFF",$T203,IF(Allocation!$N$2="VOL_CLASS",$U203,$V203)))</f>
        <v/>
      </c>
      <c r="AR203" t="str">
        <f t="shared" si="75"/>
        <v/>
      </c>
      <c r="AS203" t="str">
        <f>IF($A203="","",$A203&amp;"|"&amp;Allocation!BG203)</f>
        <v/>
      </c>
    </row>
    <row r="204" spans="1:45" x14ac:dyDescent="0.45">
      <c r="A204" t="str">
        <f>IF(Allocation!BI204="","",Allocation!BI204)</f>
        <v/>
      </c>
      <c r="B204" t="str">
        <f>IF(Allocation!BJ204="","",Allocation!BJ204)</f>
        <v/>
      </c>
      <c r="C204" t="str">
        <f>IF(Allocation!BK204="","",Allocation!BK204)</f>
        <v/>
      </c>
      <c r="D204" t="str">
        <f>IF(Allocation!BL204="","",Allocation!BL204)</f>
        <v/>
      </c>
      <c r="E204" t="str">
        <f>IF(Allocation!BM204="","",Allocation!BM204)</f>
        <v/>
      </c>
      <c r="F204" t="str">
        <f>IF(Allocation!BN204="","",Allocation!BN204)</f>
        <v/>
      </c>
      <c r="G204" t="str">
        <f>IF(Allocation!BO204="","",Allocation!BO204)</f>
        <v/>
      </c>
      <c r="H204" t="str">
        <f>IF(Allocation!BP204="","",Allocation!BP204)</f>
        <v/>
      </c>
      <c r="I204" t="str">
        <f>IF(Allocation!BQ204="","",Allocation!BQ204)</f>
        <v/>
      </c>
      <c r="J204" t="str">
        <f>IF(Allocation!CC204="","",Allocation!CC204)</f>
        <v/>
      </c>
      <c r="K204" t="str">
        <f t="shared" si="57"/>
        <v/>
      </c>
      <c r="L204" t="str">
        <f t="shared" si="58"/>
        <v/>
      </c>
      <c r="M204" t="str">
        <f t="shared" si="59"/>
        <v/>
      </c>
      <c r="N204" t="str">
        <f t="shared" si="60"/>
        <v/>
      </c>
      <c r="O204" t="str">
        <f t="shared" si="61"/>
        <v/>
      </c>
      <c r="P204" t="str">
        <f t="shared" si="62"/>
        <v/>
      </c>
      <c r="Q204" t="str">
        <f t="shared" si="63"/>
        <v/>
      </c>
      <c r="R204" t="str">
        <f t="shared" si="64"/>
        <v/>
      </c>
      <c r="S204" t="str">
        <f t="shared" si="65"/>
        <v/>
      </c>
      <c r="T204" t="str">
        <f t="shared" si="66"/>
        <v/>
      </c>
      <c r="U204" t="str">
        <f t="shared" si="67"/>
        <v/>
      </c>
      <c r="V204" t="str">
        <f t="shared" si="68"/>
        <v/>
      </c>
      <c r="W204" t="str">
        <f>IF($A204="","",Allocation!CD204)</f>
        <v/>
      </c>
      <c r="X204" t="str">
        <f>IF($A204="","",Allocation!CE204)</f>
        <v/>
      </c>
      <c r="Y204" t="str">
        <f>IF($A204="","",Allocation!CF204)</f>
        <v/>
      </c>
      <c r="Z204" t="str">
        <f>IF($A204="","",Allocation!CG204)</f>
        <v/>
      </c>
      <c r="AA204" t="str">
        <f>IF($A204="","",Allocation!CH204)</f>
        <v/>
      </c>
      <c r="AB204" t="str">
        <f>IF($A204="","",Allocation!CI204)</f>
        <v/>
      </c>
      <c r="AC204" t="str">
        <f>IF($A204="","",IF(Allocation!$N$4="VOL_EFF",$G204,IF(Allocation!$N$4="VOL_CLASS",$H204,$I204)))</f>
        <v/>
      </c>
      <c r="AD204" t="str">
        <f>IF($A204="","",IF(Allocation!$N$4="VOL_EFF",$L204,IF(Allocation!$N$4="VOL_CLASS",$M204,$N204)))</f>
        <v/>
      </c>
      <c r="AE204" t="str">
        <f>IF($A204="","",IF(Allocation!$N$3="VOL_EFF",$L204,IF(Allocation!$N$3="VOL_CLASS",$M204,$N204)))</f>
        <v/>
      </c>
      <c r="AF204" t="str">
        <f>IF($A204="","",IF(Allocation!$N$3="VOL_EFF",$Q204,IF(Allocation!$N$3="VOL_CLASS",$R204,$S204)))</f>
        <v/>
      </c>
      <c r="AG204" t="str">
        <f>IF($A204="","",IF(Allocation!$N$1="VOL_EFF",$Q204,IF(Allocation!$N$1="VOL_CLASS",$R204,$S204)))</f>
        <v/>
      </c>
      <c r="AH204" t="str">
        <f>IF($A204="","",IF(Allocation!$N$1="VOL_EFF",$T204,IF(Allocation!$N$1="VOL_CLASS",$U204,$V204)))</f>
        <v/>
      </c>
      <c r="AI204" t="str">
        <f t="shared" si="69"/>
        <v/>
      </c>
      <c r="AJ204" t="str">
        <f t="shared" si="70"/>
        <v/>
      </c>
      <c r="AK204" t="str">
        <f t="shared" si="71"/>
        <v/>
      </c>
      <c r="AL204" t="str">
        <f t="shared" si="72"/>
        <v/>
      </c>
      <c r="AM204" t="str">
        <f t="shared" si="73"/>
        <v/>
      </c>
      <c r="AN204" t="str">
        <f t="shared" si="74"/>
        <v/>
      </c>
      <c r="AO204" t="str">
        <f>IF($A204="","",Allocation!CJ204)</f>
        <v/>
      </c>
      <c r="AP204" t="str">
        <f>IF($A204="","",IF(Allocation!$N$2="VOL_EFF",$Q204,IF(Allocation!$N$2="VOL_CLASS",$R204,$S204)))</f>
        <v/>
      </c>
      <c r="AQ204" t="str">
        <f>IF($A204="","",IF(Allocation!$N$2="VOL_EFF",$T204,IF(Allocation!$N$2="VOL_CLASS",$U204,$V204)))</f>
        <v/>
      </c>
      <c r="AR204" t="str">
        <f t="shared" si="75"/>
        <v/>
      </c>
      <c r="AS204" t="str">
        <f>IF($A204="","",$A204&amp;"|"&amp;Allocation!BG204)</f>
        <v/>
      </c>
    </row>
    <row r="205" spans="1:45" x14ac:dyDescent="0.45">
      <c r="A205" t="str">
        <f>IF(Allocation!BI205="","",Allocation!BI205)</f>
        <v/>
      </c>
      <c r="B205" t="str">
        <f>IF(Allocation!BJ205="","",Allocation!BJ205)</f>
        <v/>
      </c>
      <c r="C205" t="str">
        <f>IF(Allocation!BK205="","",Allocation!BK205)</f>
        <v/>
      </c>
      <c r="D205" t="str">
        <f>IF(Allocation!BL205="","",Allocation!BL205)</f>
        <v/>
      </c>
      <c r="E205" t="str">
        <f>IF(Allocation!BM205="","",Allocation!BM205)</f>
        <v/>
      </c>
      <c r="F205" t="str">
        <f>IF(Allocation!BN205="","",Allocation!BN205)</f>
        <v/>
      </c>
      <c r="G205" t="str">
        <f>IF(Allocation!BO205="","",Allocation!BO205)</f>
        <v/>
      </c>
      <c r="H205" t="str">
        <f>IF(Allocation!BP205="","",Allocation!BP205)</f>
        <v/>
      </c>
      <c r="I205" t="str">
        <f>IF(Allocation!BQ205="","",Allocation!BQ205)</f>
        <v/>
      </c>
      <c r="J205" t="str">
        <f>IF(Allocation!CC205="","",Allocation!CC205)</f>
        <v/>
      </c>
      <c r="K205" t="str">
        <f t="shared" si="57"/>
        <v/>
      </c>
      <c r="L205" t="str">
        <f t="shared" si="58"/>
        <v/>
      </c>
      <c r="M205" t="str">
        <f t="shared" si="59"/>
        <v/>
      </c>
      <c r="N205" t="str">
        <f t="shared" si="60"/>
        <v/>
      </c>
      <c r="O205" t="str">
        <f t="shared" si="61"/>
        <v/>
      </c>
      <c r="P205" t="str">
        <f t="shared" si="62"/>
        <v/>
      </c>
      <c r="Q205" t="str">
        <f t="shared" si="63"/>
        <v/>
      </c>
      <c r="R205" t="str">
        <f t="shared" si="64"/>
        <v/>
      </c>
      <c r="S205" t="str">
        <f t="shared" si="65"/>
        <v/>
      </c>
      <c r="T205" t="str">
        <f t="shared" si="66"/>
        <v/>
      </c>
      <c r="U205" t="str">
        <f t="shared" si="67"/>
        <v/>
      </c>
      <c r="V205" t="str">
        <f t="shared" si="68"/>
        <v/>
      </c>
      <c r="W205" t="str">
        <f>IF($A205="","",Allocation!CD205)</f>
        <v/>
      </c>
      <c r="X205" t="str">
        <f>IF($A205="","",Allocation!CE205)</f>
        <v/>
      </c>
      <c r="Y205" t="str">
        <f>IF($A205="","",Allocation!CF205)</f>
        <v/>
      </c>
      <c r="Z205" t="str">
        <f>IF($A205="","",Allocation!CG205)</f>
        <v/>
      </c>
      <c r="AA205" t="str">
        <f>IF($A205="","",Allocation!CH205)</f>
        <v/>
      </c>
      <c r="AB205" t="str">
        <f>IF($A205="","",Allocation!CI205)</f>
        <v/>
      </c>
      <c r="AC205" t="str">
        <f>IF($A205="","",IF(Allocation!$N$4="VOL_EFF",$G205,IF(Allocation!$N$4="VOL_CLASS",$H205,$I205)))</f>
        <v/>
      </c>
      <c r="AD205" t="str">
        <f>IF($A205="","",IF(Allocation!$N$4="VOL_EFF",$L205,IF(Allocation!$N$4="VOL_CLASS",$M205,$N205)))</f>
        <v/>
      </c>
      <c r="AE205" t="str">
        <f>IF($A205="","",IF(Allocation!$N$3="VOL_EFF",$L205,IF(Allocation!$N$3="VOL_CLASS",$M205,$N205)))</f>
        <v/>
      </c>
      <c r="AF205" t="str">
        <f>IF($A205="","",IF(Allocation!$N$3="VOL_EFF",$Q205,IF(Allocation!$N$3="VOL_CLASS",$R205,$S205)))</f>
        <v/>
      </c>
      <c r="AG205" t="str">
        <f>IF($A205="","",IF(Allocation!$N$1="VOL_EFF",$Q205,IF(Allocation!$N$1="VOL_CLASS",$R205,$S205)))</f>
        <v/>
      </c>
      <c r="AH205" t="str">
        <f>IF($A205="","",IF(Allocation!$N$1="VOL_EFF",$T205,IF(Allocation!$N$1="VOL_CLASS",$U205,$V205)))</f>
        <v/>
      </c>
      <c r="AI205" t="str">
        <f t="shared" si="69"/>
        <v/>
      </c>
      <c r="AJ205" t="str">
        <f t="shared" si="70"/>
        <v/>
      </c>
      <c r="AK205" t="str">
        <f t="shared" si="71"/>
        <v/>
      </c>
      <c r="AL205" t="str">
        <f t="shared" si="72"/>
        <v/>
      </c>
      <c r="AM205" t="str">
        <f t="shared" si="73"/>
        <v/>
      </c>
      <c r="AN205" t="str">
        <f t="shared" si="74"/>
        <v/>
      </c>
      <c r="AO205" t="str">
        <f>IF($A205="","",Allocation!CJ205)</f>
        <v/>
      </c>
      <c r="AP205" t="str">
        <f>IF($A205="","",IF(Allocation!$N$2="VOL_EFF",$Q205,IF(Allocation!$N$2="VOL_CLASS",$R205,$S205)))</f>
        <v/>
      </c>
      <c r="AQ205" t="str">
        <f>IF($A205="","",IF(Allocation!$N$2="VOL_EFF",$T205,IF(Allocation!$N$2="VOL_CLASS",$U205,$V205)))</f>
        <v/>
      </c>
      <c r="AR205" t="str">
        <f t="shared" si="75"/>
        <v/>
      </c>
      <c r="AS205" t="str">
        <f>IF($A205="","",$A205&amp;"|"&amp;Allocation!BG205)</f>
        <v/>
      </c>
    </row>
    <row r="206" spans="1:45" x14ac:dyDescent="0.45">
      <c r="A206" t="str">
        <f>IF(Allocation!BI206="","",Allocation!BI206)</f>
        <v/>
      </c>
      <c r="B206" t="str">
        <f>IF(Allocation!BJ206="","",Allocation!BJ206)</f>
        <v/>
      </c>
      <c r="C206" t="str">
        <f>IF(Allocation!BK206="","",Allocation!BK206)</f>
        <v/>
      </c>
      <c r="D206" t="str">
        <f>IF(Allocation!BL206="","",Allocation!BL206)</f>
        <v/>
      </c>
      <c r="E206" t="str">
        <f>IF(Allocation!BM206="","",Allocation!BM206)</f>
        <v/>
      </c>
      <c r="F206" t="str">
        <f>IF(Allocation!BN206="","",Allocation!BN206)</f>
        <v/>
      </c>
      <c r="G206" t="str">
        <f>IF(Allocation!BO206="","",Allocation!BO206)</f>
        <v/>
      </c>
      <c r="H206" t="str">
        <f>IF(Allocation!BP206="","",Allocation!BP206)</f>
        <v/>
      </c>
      <c r="I206" t="str">
        <f>IF(Allocation!BQ206="","",Allocation!BQ206)</f>
        <v/>
      </c>
      <c r="J206" t="str">
        <f>IF(Allocation!CC206="","",Allocation!CC206)</f>
        <v/>
      </c>
      <c r="K206" t="str">
        <f t="shared" si="57"/>
        <v/>
      </c>
      <c r="L206" t="str">
        <f t="shared" si="58"/>
        <v/>
      </c>
      <c r="M206" t="str">
        <f t="shared" si="59"/>
        <v/>
      </c>
      <c r="N206" t="str">
        <f t="shared" si="60"/>
        <v/>
      </c>
      <c r="O206" t="str">
        <f t="shared" si="61"/>
        <v/>
      </c>
      <c r="P206" t="str">
        <f t="shared" si="62"/>
        <v/>
      </c>
      <c r="Q206" t="str">
        <f t="shared" si="63"/>
        <v/>
      </c>
      <c r="R206" t="str">
        <f t="shared" si="64"/>
        <v/>
      </c>
      <c r="S206" t="str">
        <f t="shared" si="65"/>
        <v/>
      </c>
      <c r="T206" t="str">
        <f t="shared" si="66"/>
        <v/>
      </c>
      <c r="U206" t="str">
        <f t="shared" si="67"/>
        <v/>
      </c>
      <c r="V206" t="str">
        <f t="shared" si="68"/>
        <v/>
      </c>
      <c r="W206" t="str">
        <f>IF($A206="","",Allocation!CD206)</f>
        <v/>
      </c>
      <c r="X206" t="str">
        <f>IF($A206="","",Allocation!CE206)</f>
        <v/>
      </c>
      <c r="Y206" t="str">
        <f>IF($A206="","",Allocation!CF206)</f>
        <v/>
      </c>
      <c r="Z206" t="str">
        <f>IF($A206="","",Allocation!CG206)</f>
        <v/>
      </c>
      <c r="AA206" t="str">
        <f>IF($A206="","",Allocation!CH206)</f>
        <v/>
      </c>
      <c r="AB206" t="str">
        <f>IF($A206="","",Allocation!CI206)</f>
        <v/>
      </c>
      <c r="AC206" t="str">
        <f>IF($A206="","",IF(Allocation!$N$4="VOL_EFF",$G206,IF(Allocation!$N$4="VOL_CLASS",$H206,$I206)))</f>
        <v/>
      </c>
      <c r="AD206" t="str">
        <f>IF($A206="","",IF(Allocation!$N$4="VOL_EFF",$L206,IF(Allocation!$N$4="VOL_CLASS",$M206,$N206)))</f>
        <v/>
      </c>
      <c r="AE206" t="str">
        <f>IF($A206="","",IF(Allocation!$N$3="VOL_EFF",$L206,IF(Allocation!$N$3="VOL_CLASS",$M206,$N206)))</f>
        <v/>
      </c>
      <c r="AF206" t="str">
        <f>IF($A206="","",IF(Allocation!$N$3="VOL_EFF",$Q206,IF(Allocation!$N$3="VOL_CLASS",$R206,$S206)))</f>
        <v/>
      </c>
      <c r="AG206" t="str">
        <f>IF($A206="","",IF(Allocation!$N$1="VOL_EFF",$Q206,IF(Allocation!$N$1="VOL_CLASS",$R206,$S206)))</f>
        <v/>
      </c>
      <c r="AH206" t="str">
        <f>IF($A206="","",IF(Allocation!$N$1="VOL_EFF",$T206,IF(Allocation!$N$1="VOL_CLASS",$U206,$V206)))</f>
        <v/>
      </c>
      <c r="AI206" t="str">
        <f t="shared" si="69"/>
        <v/>
      </c>
      <c r="AJ206" t="str">
        <f t="shared" si="70"/>
        <v/>
      </c>
      <c r="AK206" t="str">
        <f t="shared" si="71"/>
        <v/>
      </c>
      <c r="AL206" t="str">
        <f t="shared" si="72"/>
        <v/>
      </c>
      <c r="AM206" t="str">
        <f t="shared" si="73"/>
        <v/>
      </c>
      <c r="AN206" t="str">
        <f t="shared" si="74"/>
        <v/>
      </c>
      <c r="AO206" t="str">
        <f>IF($A206="","",Allocation!CJ206)</f>
        <v/>
      </c>
      <c r="AP206" t="str">
        <f>IF($A206="","",IF(Allocation!$N$2="VOL_EFF",$Q206,IF(Allocation!$N$2="VOL_CLASS",$R206,$S206)))</f>
        <v/>
      </c>
      <c r="AQ206" t="str">
        <f>IF($A206="","",IF(Allocation!$N$2="VOL_EFF",$T206,IF(Allocation!$N$2="VOL_CLASS",$U206,$V206)))</f>
        <v/>
      </c>
      <c r="AR206" t="str">
        <f t="shared" si="75"/>
        <v/>
      </c>
      <c r="AS206" t="str">
        <f>IF($A206="","",$A206&amp;"|"&amp;Allocation!BG206)</f>
        <v/>
      </c>
    </row>
    <row r="207" spans="1:45" x14ac:dyDescent="0.45">
      <c r="A207" t="str">
        <f>IF(Allocation!BI207="","",Allocation!BI207)</f>
        <v/>
      </c>
      <c r="B207" t="str">
        <f>IF(Allocation!BJ207="","",Allocation!BJ207)</f>
        <v/>
      </c>
      <c r="C207" t="str">
        <f>IF(Allocation!BK207="","",Allocation!BK207)</f>
        <v/>
      </c>
      <c r="D207" t="str">
        <f>IF(Allocation!BL207="","",Allocation!BL207)</f>
        <v/>
      </c>
      <c r="E207" t="str">
        <f>IF(Allocation!BM207="","",Allocation!BM207)</f>
        <v/>
      </c>
      <c r="F207" t="str">
        <f>IF(Allocation!BN207="","",Allocation!BN207)</f>
        <v/>
      </c>
      <c r="G207" t="str">
        <f>IF(Allocation!BO207="","",Allocation!BO207)</f>
        <v/>
      </c>
      <c r="H207" t="str">
        <f>IF(Allocation!BP207="","",Allocation!BP207)</f>
        <v/>
      </c>
      <c r="I207" t="str">
        <f>IF(Allocation!BQ207="","",Allocation!BQ207)</f>
        <v/>
      </c>
      <c r="J207" t="str">
        <f>IF(Allocation!CC207="","",Allocation!CC207)</f>
        <v/>
      </c>
      <c r="K207" t="str">
        <f t="shared" si="57"/>
        <v/>
      </c>
      <c r="L207" t="str">
        <f t="shared" si="58"/>
        <v/>
      </c>
      <c r="M207" t="str">
        <f t="shared" si="59"/>
        <v/>
      </c>
      <c r="N207" t="str">
        <f t="shared" si="60"/>
        <v/>
      </c>
      <c r="O207" t="str">
        <f t="shared" si="61"/>
        <v/>
      </c>
      <c r="P207" t="str">
        <f t="shared" si="62"/>
        <v/>
      </c>
      <c r="Q207" t="str">
        <f t="shared" si="63"/>
        <v/>
      </c>
      <c r="R207" t="str">
        <f t="shared" si="64"/>
        <v/>
      </c>
      <c r="S207" t="str">
        <f t="shared" si="65"/>
        <v/>
      </c>
      <c r="T207" t="str">
        <f t="shared" si="66"/>
        <v/>
      </c>
      <c r="U207" t="str">
        <f t="shared" si="67"/>
        <v/>
      </c>
      <c r="V207" t="str">
        <f t="shared" si="68"/>
        <v/>
      </c>
      <c r="W207" t="str">
        <f>IF($A207="","",Allocation!CD207)</f>
        <v/>
      </c>
      <c r="X207" t="str">
        <f>IF($A207="","",Allocation!CE207)</f>
        <v/>
      </c>
      <c r="Y207" t="str">
        <f>IF($A207="","",Allocation!CF207)</f>
        <v/>
      </c>
      <c r="Z207" t="str">
        <f>IF($A207="","",Allocation!CG207)</f>
        <v/>
      </c>
      <c r="AA207" t="str">
        <f>IF($A207="","",Allocation!CH207)</f>
        <v/>
      </c>
      <c r="AB207" t="str">
        <f>IF($A207="","",Allocation!CI207)</f>
        <v/>
      </c>
      <c r="AC207" t="str">
        <f>IF($A207="","",IF(Allocation!$N$4="VOL_EFF",$G207,IF(Allocation!$N$4="VOL_CLASS",$H207,$I207)))</f>
        <v/>
      </c>
      <c r="AD207" t="str">
        <f>IF($A207="","",IF(Allocation!$N$4="VOL_EFF",$L207,IF(Allocation!$N$4="VOL_CLASS",$M207,$N207)))</f>
        <v/>
      </c>
      <c r="AE207" t="str">
        <f>IF($A207="","",IF(Allocation!$N$3="VOL_EFF",$L207,IF(Allocation!$N$3="VOL_CLASS",$M207,$N207)))</f>
        <v/>
      </c>
      <c r="AF207" t="str">
        <f>IF($A207="","",IF(Allocation!$N$3="VOL_EFF",$Q207,IF(Allocation!$N$3="VOL_CLASS",$R207,$S207)))</f>
        <v/>
      </c>
      <c r="AG207" t="str">
        <f>IF($A207="","",IF(Allocation!$N$1="VOL_EFF",$Q207,IF(Allocation!$N$1="VOL_CLASS",$R207,$S207)))</f>
        <v/>
      </c>
      <c r="AH207" t="str">
        <f>IF($A207="","",IF(Allocation!$N$1="VOL_EFF",$T207,IF(Allocation!$N$1="VOL_CLASS",$U207,$V207)))</f>
        <v/>
      </c>
      <c r="AI207" t="str">
        <f t="shared" si="69"/>
        <v/>
      </c>
      <c r="AJ207" t="str">
        <f t="shared" si="70"/>
        <v/>
      </c>
      <c r="AK207" t="str">
        <f t="shared" si="71"/>
        <v/>
      </c>
      <c r="AL207" t="str">
        <f t="shared" si="72"/>
        <v/>
      </c>
      <c r="AM207" t="str">
        <f t="shared" si="73"/>
        <v/>
      </c>
      <c r="AN207" t="str">
        <f t="shared" si="74"/>
        <v/>
      </c>
      <c r="AO207" t="str">
        <f>IF($A207="","",Allocation!CJ207)</f>
        <v/>
      </c>
      <c r="AP207" t="str">
        <f>IF($A207="","",IF(Allocation!$N$2="VOL_EFF",$Q207,IF(Allocation!$N$2="VOL_CLASS",$R207,$S207)))</f>
        <v/>
      </c>
      <c r="AQ207" t="str">
        <f>IF($A207="","",IF(Allocation!$N$2="VOL_EFF",$T207,IF(Allocation!$N$2="VOL_CLASS",$U207,$V207)))</f>
        <v/>
      </c>
      <c r="AR207" t="str">
        <f t="shared" si="75"/>
        <v/>
      </c>
      <c r="AS207" t="str">
        <f>IF($A207="","",$A207&amp;"|"&amp;Allocation!BG207)</f>
        <v/>
      </c>
    </row>
    <row r="208" spans="1:45" x14ac:dyDescent="0.45">
      <c r="A208" t="str">
        <f>IF(Allocation!BI208="","",Allocation!BI208)</f>
        <v/>
      </c>
      <c r="B208" t="str">
        <f>IF(Allocation!BJ208="","",Allocation!BJ208)</f>
        <v/>
      </c>
      <c r="C208" t="str">
        <f>IF(Allocation!BK208="","",Allocation!BK208)</f>
        <v/>
      </c>
      <c r="D208" t="str">
        <f>IF(Allocation!BL208="","",Allocation!BL208)</f>
        <v/>
      </c>
      <c r="E208" t="str">
        <f>IF(Allocation!BM208="","",Allocation!BM208)</f>
        <v/>
      </c>
      <c r="F208" t="str">
        <f>IF(Allocation!BN208="","",Allocation!BN208)</f>
        <v/>
      </c>
      <c r="G208" t="str">
        <f>IF(Allocation!BO208="","",Allocation!BO208)</f>
        <v/>
      </c>
      <c r="H208" t="str">
        <f>IF(Allocation!BP208="","",Allocation!BP208)</f>
        <v/>
      </c>
      <c r="I208" t="str">
        <f>IF(Allocation!BQ208="","",Allocation!BQ208)</f>
        <v/>
      </c>
      <c r="J208" t="str">
        <f>IF(Allocation!CC208="","",Allocation!CC208)</f>
        <v/>
      </c>
      <c r="K208" t="str">
        <f t="shared" si="57"/>
        <v/>
      </c>
      <c r="L208" t="str">
        <f t="shared" si="58"/>
        <v/>
      </c>
      <c r="M208" t="str">
        <f t="shared" si="59"/>
        <v/>
      </c>
      <c r="N208" t="str">
        <f t="shared" si="60"/>
        <v/>
      </c>
      <c r="O208" t="str">
        <f t="shared" si="61"/>
        <v/>
      </c>
      <c r="P208" t="str">
        <f t="shared" si="62"/>
        <v/>
      </c>
      <c r="Q208" t="str">
        <f t="shared" si="63"/>
        <v/>
      </c>
      <c r="R208" t="str">
        <f t="shared" si="64"/>
        <v/>
      </c>
      <c r="S208" t="str">
        <f t="shared" si="65"/>
        <v/>
      </c>
      <c r="T208" t="str">
        <f t="shared" si="66"/>
        <v/>
      </c>
      <c r="U208" t="str">
        <f t="shared" si="67"/>
        <v/>
      </c>
      <c r="V208" t="str">
        <f t="shared" si="68"/>
        <v/>
      </c>
      <c r="W208" t="str">
        <f>IF($A208="","",Allocation!CD208)</f>
        <v/>
      </c>
      <c r="X208" t="str">
        <f>IF($A208="","",Allocation!CE208)</f>
        <v/>
      </c>
      <c r="Y208" t="str">
        <f>IF($A208="","",Allocation!CF208)</f>
        <v/>
      </c>
      <c r="Z208" t="str">
        <f>IF($A208="","",Allocation!CG208)</f>
        <v/>
      </c>
      <c r="AA208" t="str">
        <f>IF($A208="","",Allocation!CH208)</f>
        <v/>
      </c>
      <c r="AB208" t="str">
        <f>IF($A208="","",Allocation!CI208)</f>
        <v/>
      </c>
      <c r="AC208" t="str">
        <f>IF($A208="","",IF(Allocation!$N$4="VOL_EFF",$G208,IF(Allocation!$N$4="VOL_CLASS",$H208,$I208)))</f>
        <v/>
      </c>
      <c r="AD208" t="str">
        <f>IF($A208="","",IF(Allocation!$N$4="VOL_EFF",$L208,IF(Allocation!$N$4="VOL_CLASS",$M208,$N208)))</f>
        <v/>
      </c>
      <c r="AE208" t="str">
        <f>IF($A208="","",IF(Allocation!$N$3="VOL_EFF",$L208,IF(Allocation!$N$3="VOL_CLASS",$M208,$N208)))</f>
        <v/>
      </c>
      <c r="AF208" t="str">
        <f>IF($A208="","",IF(Allocation!$N$3="VOL_EFF",$Q208,IF(Allocation!$N$3="VOL_CLASS",$R208,$S208)))</f>
        <v/>
      </c>
      <c r="AG208" t="str">
        <f>IF($A208="","",IF(Allocation!$N$1="VOL_EFF",$Q208,IF(Allocation!$N$1="VOL_CLASS",$R208,$S208)))</f>
        <v/>
      </c>
      <c r="AH208" t="str">
        <f>IF($A208="","",IF(Allocation!$N$1="VOL_EFF",$T208,IF(Allocation!$N$1="VOL_CLASS",$U208,$V208)))</f>
        <v/>
      </c>
      <c r="AI208" t="str">
        <f t="shared" si="69"/>
        <v/>
      </c>
      <c r="AJ208" t="str">
        <f t="shared" si="70"/>
        <v/>
      </c>
      <c r="AK208" t="str">
        <f t="shared" si="71"/>
        <v/>
      </c>
      <c r="AL208" t="str">
        <f t="shared" si="72"/>
        <v/>
      </c>
      <c r="AM208" t="str">
        <f t="shared" si="73"/>
        <v/>
      </c>
      <c r="AN208" t="str">
        <f t="shared" si="74"/>
        <v/>
      </c>
      <c r="AO208" t="str">
        <f>IF($A208="","",Allocation!CJ208)</f>
        <v/>
      </c>
      <c r="AP208" t="str">
        <f>IF($A208="","",IF(Allocation!$N$2="VOL_EFF",$Q208,IF(Allocation!$N$2="VOL_CLASS",$R208,$S208)))</f>
        <v/>
      </c>
      <c r="AQ208" t="str">
        <f>IF($A208="","",IF(Allocation!$N$2="VOL_EFF",$T208,IF(Allocation!$N$2="VOL_CLASS",$U208,$V208)))</f>
        <v/>
      </c>
      <c r="AR208" t="str">
        <f t="shared" si="75"/>
        <v/>
      </c>
      <c r="AS208" t="str">
        <f>IF($A208="","",$A208&amp;"|"&amp;Allocation!BG208)</f>
        <v/>
      </c>
    </row>
    <row r="209" spans="1:45" x14ac:dyDescent="0.45">
      <c r="A209" t="str">
        <f>IF(Allocation!BI209="","",Allocation!BI209)</f>
        <v/>
      </c>
      <c r="B209" t="str">
        <f>IF(Allocation!BJ209="","",Allocation!BJ209)</f>
        <v/>
      </c>
      <c r="C209" t="str">
        <f>IF(Allocation!BK209="","",Allocation!BK209)</f>
        <v/>
      </c>
      <c r="D209" t="str">
        <f>IF(Allocation!BL209="","",Allocation!BL209)</f>
        <v/>
      </c>
      <c r="E209" t="str">
        <f>IF(Allocation!BM209="","",Allocation!BM209)</f>
        <v/>
      </c>
      <c r="F209" t="str">
        <f>IF(Allocation!BN209="","",Allocation!BN209)</f>
        <v/>
      </c>
      <c r="G209" t="str">
        <f>IF(Allocation!BO209="","",Allocation!BO209)</f>
        <v/>
      </c>
      <c r="H209" t="str">
        <f>IF(Allocation!BP209="","",Allocation!BP209)</f>
        <v/>
      </c>
      <c r="I209" t="str">
        <f>IF(Allocation!BQ209="","",Allocation!BQ209)</f>
        <v/>
      </c>
      <c r="J209" t="str">
        <f>IF(Allocation!CC209="","",Allocation!CC209)</f>
        <v/>
      </c>
      <c r="K209" t="str">
        <f t="shared" si="57"/>
        <v/>
      </c>
      <c r="L209" t="str">
        <f t="shared" si="58"/>
        <v/>
      </c>
      <c r="M209" t="str">
        <f t="shared" si="59"/>
        <v/>
      </c>
      <c r="N209" t="str">
        <f t="shared" si="60"/>
        <v/>
      </c>
      <c r="O209" t="str">
        <f t="shared" si="61"/>
        <v/>
      </c>
      <c r="P209" t="str">
        <f t="shared" si="62"/>
        <v/>
      </c>
      <c r="Q209" t="str">
        <f t="shared" si="63"/>
        <v/>
      </c>
      <c r="R209" t="str">
        <f t="shared" si="64"/>
        <v/>
      </c>
      <c r="S209" t="str">
        <f t="shared" si="65"/>
        <v/>
      </c>
      <c r="T209" t="str">
        <f t="shared" si="66"/>
        <v/>
      </c>
      <c r="U209" t="str">
        <f t="shared" si="67"/>
        <v/>
      </c>
      <c r="V209" t="str">
        <f t="shared" si="68"/>
        <v/>
      </c>
      <c r="W209" t="str">
        <f>IF($A209="","",Allocation!CD209)</f>
        <v/>
      </c>
      <c r="X209" t="str">
        <f>IF($A209="","",Allocation!CE209)</f>
        <v/>
      </c>
      <c r="Y209" t="str">
        <f>IF($A209="","",Allocation!CF209)</f>
        <v/>
      </c>
      <c r="Z209" t="str">
        <f>IF($A209="","",Allocation!CG209)</f>
        <v/>
      </c>
      <c r="AA209" t="str">
        <f>IF($A209="","",Allocation!CH209)</f>
        <v/>
      </c>
      <c r="AB209" t="str">
        <f>IF($A209="","",Allocation!CI209)</f>
        <v/>
      </c>
      <c r="AC209" t="str">
        <f>IF($A209="","",IF(Allocation!$N$4="VOL_EFF",$G209,IF(Allocation!$N$4="VOL_CLASS",$H209,$I209)))</f>
        <v/>
      </c>
      <c r="AD209" t="str">
        <f>IF($A209="","",IF(Allocation!$N$4="VOL_EFF",$L209,IF(Allocation!$N$4="VOL_CLASS",$M209,$N209)))</f>
        <v/>
      </c>
      <c r="AE209" t="str">
        <f>IF($A209="","",IF(Allocation!$N$3="VOL_EFF",$L209,IF(Allocation!$N$3="VOL_CLASS",$M209,$N209)))</f>
        <v/>
      </c>
      <c r="AF209" t="str">
        <f>IF($A209="","",IF(Allocation!$N$3="VOL_EFF",$Q209,IF(Allocation!$N$3="VOL_CLASS",$R209,$S209)))</f>
        <v/>
      </c>
      <c r="AG209" t="str">
        <f>IF($A209="","",IF(Allocation!$N$1="VOL_EFF",$Q209,IF(Allocation!$N$1="VOL_CLASS",$R209,$S209)))</f>
        <v/>
      </c>
      <c r="AH209" t="str">
        <f>IF($A209="","",IF(Allocation!$N$1="VOL_EFF",$T209,IF(Allocation!$N$1="VOL_CLASS",$U209,$V209)))</f>
        <v/>
      </c>
      <c r="AI209" t="str">
        <f t="shared" si="69"/>
        <v/>
      </c>
      <c r="AJ209" t="str">
        <f t="shared" si="70"/>
        <v/>
      </c>
      <c r="AK209" t="str">
        <f t="shared" si="71"/>
        <v/>
      </c>
      <c r="AL209" t="str">
        <f t="shared" si="72"/>
        <v/>
      </c>
      <c r="AM209" t="str">
        <f t="shared" si="73"/>
        <v/>
      </c>
      <c r="AN209" t="str">
        <f t="shared" si="74"/>
        <v/>
      </c>
      <c r="AO209" t="str">
        <f>IF($A209="","",Allocation!CJ209)</f>
        <v/>
      </c>
      <c r="AP209" t="str">
        <f>IF($A209="","",IF(Allocation!$N$2="VOL_EFF",$Q209,IF(Allocation!$N$2="VOL_CLASS",$R209,$S209)))</f>
        <v/>
      </c>
      <c r="AQ209" t="str">
        <f>IF($A209="","",IF(Allocation!$N$2="VOL_EFF",$T209,IF(Allocation!$N$2="VOL_CLASS",$U209,$V209)))</f>
        <v/>
      </c>
      <c r="AR209" t="str">
        <f t="shared" si="75"/>
        <v/>
      </c>
      <c r="AS209" t="str">
        <f>IF($A209="","",$A209&amp;"|"&amp;Allocation!BG209)</f>
        <v/>
      </c>
    </row>
    <row r="210" spans="1:45" x14ac:dyDescent="0.45">
      <c r="A210" t="str">
        <f>IF(Allocation!BI210="","",Allocation!BI210)</f>
        <v/>
      </c>
      <c r="B210" t="str">
        <f>IF(Allocation!BJ210="","",Allocation!BJ210)</f>
        <v/>
      </c>
      <c r="C210" t="str">
        <f>IF(Allocation!BK210="","",Allocation!BK210)</f>
        <v/>
      </c>
      <c r="D210" t="str">
        <f>IF(Allocation!BL210="","",Allocation!BL210)</f>
        <v/>
      </c>
      <c r="E210" t="str">
        <f>IF(Allocation!BM210="","",Allocation!BM210)</f>
        <v/>
      </c>
      <c r="F210" t="str">
        <f>IF(Allocation!BN210="","",Allocation!BN210)</f>
        <v/>
      </c>
      <c r="G210" t="str">
        <f>IF(Allocation!BO210="","",Allocation!BO210)</f>
        <v/>
      </c>
      <c r="H210" t="str">
        <f>IF(Allocation!BP210="","",Allocation!BP210)</f>
        <v/>
      </c>
      <c r="I210" t="str">
        <f>IF(Allocation!BQ210="","",Allocation!BQ210)</f>
        <v/>
      </c>
      <c r="J210" t="str">
        <f>IF(Allocation!CC210="","",Allocation!CC210)</f>
        <v/>
      </c>
      <c r="K210" t="str">
        <f t="shared" si="57"/>
        <v/>
      </c>
      <c r="L210" t="str">
        <f t="shared" si="58"/>
        <v/>
      </c>
      <c r="M210" t="str">
        <f t="shared" si="59"/>
        <v/>
      </c>
      <c r="N210" t="str">
        <f t="shared" si="60"/>
        <v/>
      </c>
      <c r="O210" t="str">
        <f t="shared" si="61"/>
        <v/>
      </c>
      <c r="P210" t="str">
        <f t="shared" si="62"/>
        <v/>
      </c>
      <c r="Q210" t="str">
        <f t="shared" si="63"/>
        <v/>
      </c>
      <c r="R210" t="str">
        <f t="shared" si="64"/>
        <v/>
      </c>
      <c r="S210" t="str">
        <f t="shared" si="65"/>
        <v/>
      </c>
      <c r="T210" t="str">
        <f t="shared" si="66"/>
        <v/>
      </c>
      <c r="U210" t="str">
        <f t="shared" si="67"/>
        <v/>
      </c>
      <c r="V210" t="str">
        <f t="shared" si="68"/>
        <v/>
      </c>
      <c r="W210" t="str">
        <f>IF($A210="","",Allocation!CD210)</f>
        <v/>
      </c>
      <c r="X210" t="str">
        <f>IF($A210="","",Allocation!CE210)</f>
        <v/>
      </c>
      <c r="Y210" t="str">
        <f>IF($A210="","",Allocation!CF210)</f>
        <v/>
      </c>
      <c r="Z210" t="str">
        <f>IF($A210="","",Allocation!CG210)</f>
        <v/>
      </c>
      <c r="AA210" t="str">
        <f>IF($A210="","",Allocation!CH210)</f>
        <v/>
      </c>
      <c r="AB210" t="str">
        <f>IF($A210="","",Allocation!CI210)</f>
        <v/>
      </c>
      <c r="AC210" t="str">
        <f>IF($A210="","",IF(Allocation!$N$4="VOL_EFF",$G210,IF(Allocation!$N$4="VOL_CLASS",$H210,$I210)))</f>
        <v/>
      </c>
      <c r="AD210" t="str">
        <f>IF($A210="","",IF(Allocation!$N$4="VOL_EFF",$L210,IF(Allocation!$N$4="VOL_CLASS",$M210,$N210)))</f>
        <v/>
      </c>
      <c r="AE210" t="str">
        <f>IF($A210="","",IF(Allocation!$N$3="VOL_EFF",$L210,IF(Allocation!$N$3="VOL_CLASS",$M210,$N210)))</f>
        <v/>
      </c>
      <c r="AF210" t="str">
        <f>IF($A210="","",IF(Allocation!$N$3="VOL_EFF",$Q210,IF(Allocation!$N$3="VOL_CLASS",$R210,$S210)))</f>
        <v/>
      </c>
      <c r="AG210" t="str">
        <f>IF($A210="","",IF(Allocation!$N$1="VOL_EFF",$Q210,IF(Allocation!$N$1="VOL_CLASS",$R210,$S210)))</f>
        <v/>
      </c>
      <c r="AH210" t="str">
        <f>IF($A210="","",IF(Allocation!$N$1="VOL_EFF",$T210,IF(Allocation!$N$1="VOL_CLASS",$U210,$V210)))</f>
        <v/>
      </c>
      <c r="AI210" t="str">
        <f t="shared" si="69"/>
        <v/>
      </c>
      <c r="AJ210" t="str">
        <f t="shared" si="70"/>
        <v/>
      </c>
      <c r="AK210" t="str">
        <f t="shared" si="71"/>
        <v/>
      </c>
      <c r="AL210" t="str">
        <f t="shared" si="72"/>
        <v/>
      </c>
      <c r="AM210" t="str">
        <f t="shared" si="73"/>
        <v/>
      </c>
      <c r="AN210" t="str">
        <f t="shared" si="74"/>
        <v/>
      </c>
      <c r="AO210" t="str">
        <f>IF($A210="","",Allocation!CJ210)</f>
        <v/>
      </c>
      <c r="AP210" t="str">
        <f>IF($A210="","",IF(Allocation!$N$2="VOL_EFF",$Q210,IF(Allocation!$N$2="VOL_CLASS",$R210,$S210)))</f>
        <v/>
      </c>
      <c r="AQ210" t="str">
        <f>IF($A210="","",IF(Allocation!$N$2="VOL_EFF",$T210,IF(Allocation!$N$2="VOL_CLASS",$U210,$V210)))</f>
        <v/>
      </c>
      <c r="AR210" t="str">
        <f t="shared" si="75"/>
        <v/>
      </c>
      <c r="AS210" t="str">
        <f>IF($A210="","",$A210&amp;"|"&amp;Allocation!BG210)</f>
        <v/>
      </c>
    </row>
    <row r="211" spans="1:45" x14ac:dyDescent="0.45">
      <c r="A211" t="str">
        <f>IF(Allocation!BI211="","",Allocation!BI211)</f>
        <v/>
      </c>
      <c r="B211" t="str">
        <f>IF(Allocation!BJ211="","",Allocation!BJ211)</f>
        <v/>
      </c>
      <c r="C211" t="str">
        <f>IF(Allocation!BK211="","",Allocation!BK211)</f>
        <v/>
      </c>
      <c r="D211" t="str">
        <f>IF(Allocation!BL211="","",Allocation!BL211)</f>
        <v/>
      </c>
      <c r="E211" t="str">
        <f>IF(Allocation!BM211="","",Allocation!BM211)</f>
        <v/>
      </c>
      <c r="F211" t="str">
        <f>IF(Allocation!BN211="","",Allocation!BN211)</f>
        <v/>
      </c>
      <c r="G211" t="str">
        <f>IF(Allocation!BO211="","",Allocation!BO211)</f>
        <v/>
      </c>
      <c r="H211" t="str">
        <f>IF(Allocation!BP211="","",Allocation!BP211)</f>
        <v/>
      </c>
      <c r="I211" t="str">
        <f>IF(Allocation!BQ211="","",Allocation!BQ211)</f>
        <v/>
      </c>
      <c r="J211" t="str">
        <f>IF(Allocation!CC211="","",Allocation!CC211)</f>
        <v/>
      </c>
      <c r="K211" t="str">
        <f t="shared" si="57"/>
        <v/>
      </c>
      <c r="L211" t="str">
        <f t="shared" si="58"/>
        <v/>
      </c>
      <c r="M211" t="str">
        <f t="shared" si="59"/>
        <v/>
      </c>
      <c r="N211" t="str">
        <f t="shared" si="60"/>
        <v/>
      </c>
      <c r="O211" t="str">
        <f t="shared" si="61"/>
        <v/>
      </c>
      <c r="P211" t="str">
        <f t="shared" si="62"/>
        <v/>
      </c>
      <c r="Q211" t="str">
        <f t="shared" si="63"/>
        <v/>
      </c>
      <c r="R211" t="str">
        <f t="shared" si="64"/>
        <v/>
      </c>
      <c r="S211" t="str">
        <f t="shared" si="65"/>
        <v/>
      </c>
      <c r="T211" t="str">
        <f t="shared" si="66"/>
        <v/>
      </c>
      <c r="U211" t="str">
        <f t="shared" si="67"/>
        <v/>
      </c>
      <c r="V211" t="str">
        <f t="shared" si="68"/>
        <v/>
      </c>
      <c r="W211" t="str">
        <f>IF($A211="","",Allocation!CD211)</f>
        <v/>
      </c>
      <c r="X211" t="str">
        <f>IF($A211="","",Allocation!CE211)</f>
        <v/>
      </c>
      <c r="Y211" t="str">
        <f>IF($A211="","",Allocation!CF211)</f>
        <v/>
      </c>
      <c r="Z211" t="str">
        <f>IF($A211="","",Allocation!CG211)</f>
        <v/>
      </c>
      <c r="AA211" t="str">
        <f>IF($A211="","",Allocation!CH211)</f>
        <v/>
      </c>
      <c r="AB211" t="str">
        <f>IF($A211="","",Allocation!CI211)</f>
        <v/>
      </c>
      <c r="AC211" t="str">
        <f>IF($A211="","",IF(Allocation!$N$4="VOL_EFF",$G211,IF(Allocation!$N$4="VOL_CLASS",$H211,$I211)))</f>
        <v/>
      </c>
      <c r="AD211" t="str">
        <f>IF($A211="","",IF(Allocation!$N$4="VOL_EFF",$L211,IF(Allocation!$N$4="VOL_CLASS",$M211,$N211)))</f>
        <v/>
      </c>
      <c r="AE211" t="str">
        <f>IF($A211="","",IF(Allocation!$N$3="VOL_EFF",$L211,IF(Allocation!$N$3="VOL_CLASS",$M211,$N211)))</f>
        <v/>
      </c>
      <c r="AF211" t="str">
        <f>IF($A211="","",IF(Allocation!$N$3="VOL_EFF",$Q211,IF(Allocation!$N$3="VOL_CLASS",$R211,$S211)))</f>
        <v/>
      </c>
      <c r="AG211" t="str">
        <f>IF($A211="","",IF(Allocation!$N$1="VOL_EFF",$Q211,IF(Allocation!$N$1="VOL_CLASS",$R211,$S211)))</f>
        <v/>
      </c>
      <c r="AH211" t="str">
        <f>IF($A211="","",IF(Allocation!$N$1="VOL_EFF",$T211,IF(Allocation!$N$1="VOL_CLASS",$U211,$V211)))</f>
        <v/>
      </c>
      <c r="AI211" t="str">
        <f t="shared" si="69"/>
        <v/>
      </c>
      <c r="AJ211" t="str">
        <f t="shared" si="70"/>
        <v/>
      </c>
      <c r="AK211" t="str">
        <f t="shared" si="71"/>
        <v/>
      </c>
      <c r="AL211" t="str">
        <f t="shared" si="72"/>
        <v/>
      </c>
      <c r="AM211" t="str">
        <f t="shared" si="73"/>
        <v/>
      </c>
      <c r="AN211" t="str">
        <f t="shared" si="74"/>
        <v/>
      </c>
      <c r="AO211" t="str">
        <f>IF($A211="","",Allocation!CJ211)</f>
        <v/>
      </c>
      <c r="AP211" t="str">
        <f>IF($A211="","",IF(Allocation!$N$2="VOL_EFF",$Q211,IF(Allocation!$N$2="VOL_CLASS",$R211,$S211)))</f>
        <v/>
      </c>
      <c r="AQ211" t="str">
        <f>IF($A211="","",IF(Allocation!$N$2="VOL_EFF",$T211,IF(Allocation!$N$2="VOL_CLASS",$U211,$V211)))</f>
        <v/>
      </c>
      <c r="AR211" t="str">
        <f t="shared" si="75"/>
        <v/>
      </c>
      <c r="AS211" t="str">
        <f>IF($A211="","",$A211&amp;"|"&amp;Allocation!BG211)</f>
        <v/>
      </c>
    </row>
    <row r="212" spans="1:45" x14ac:dyDescent="0.45">
      <c r="A212" t="str">
        <f>IF(Allocation!BI212="","",Allocation!BI212)</f>
        <v/>
      </c>
      <c r="B212" t="str">
        <f>IF(Allocation!BJ212="","",Allocation!BJ212)</f>
        <v/>
      </c>
      <c r="C212" t="str">
        <f>IF(Allocation!BK212="","",Allocation!BK212)</f>
        <v/>
      </c>
      <c r="D212" t="str">
        <f>IF(Allocation!BL212="","",Allocation!BL212)</f>
        <v/>
      </c>
      <c r="E212" t="str">
        <f>IF(Allocation!BM212="","",Allocation!BM212)</f>
        <v/>
      </c>
      <c r="F212" t="str">
        <f>IF(Allocation!BN212="","",Allocation!BN212)</f>
        <v/>
      </c>
      <c r="G212" t="str">
        <f>IF(Allocation!BO212="","",Allocation!BO212)</f>
        <v/>
      </c>
      <c r="H212" t="str">
        <f>IF(Allocation!BP212="","",Allocation!BP212)</f>
        <v/>
      </c>
      <c r="I212" t="str">
        <f>IF(Allocation!BQ212="","",Allocation!BQ212)</f>
        <v/>
      </c>
      <c r="J212" t="str">
        <f>IF(Allocation!CC212="","",Allocation!CC212)</f>
        <v/>
      </c>
      <c r="K212" t="str">
        <f t="shared" si="57"/>
        <v/>
      </c>
      <c r="L212" t="str">
        <f t="shared" si="58"/>
        <v/>
      </c>
      <c r="M212" t="str">
        <f t="shared" si="59"/>
        <v/>
      </c>
      <c r="N212" t="str">
        <f t="shared" si="60"/>
        <v/>
      </c>
      <c r="O212" t="str">
        <f t="shared" si="61"/>
        <v/>
      </c>
      <c r="P212" t="str">
        <f t="shared" si="62"/>
        <v/>
      </c>
      <c r="Q212" t="str">
        <f t="shared" si="63"/>
        <v/>
      </c>
      <c r="R212" t="str">
        <f t="shared" si="64"/>
        <v/>
      </c>
      <c r="S212" t="str">
        <f t="shared" si="65"/>
        <v/>
      </c>
      <c r="T212" t="str">
        <f t="shared" si="66"/>
        <v/>
      </c>
      <c r="U212" t="str">
        <f t="shared" si="67"/>
        <v/>
      </c>
      <c r="V212" t="str">
        <f t="shared" si="68"/>
        <v/>
      </c>
      <c r="W212" t="str">
        <f>IF($A212="","",Allocation!CD212)</f>
        <v/>
      </c>
      <c r="X212" t="str">
        <f>IF($A212="","",Allocation!CE212)</f>
        <v/>
      </c>
      <c r="Y212" t="str">
        <f>IF($A212="","",Allocation!CF212)</f>
        <v/>
      </c>
      <c r="Z212" t="str">
        <f>IF($A212="","",Allocation!CG212)</f>
        <v/>
      </c>
      <c r="AA212" t="str">
        <f>IF($A212="","",Allocation!CH212)</f>
        <v/>
      </c>
      <c r="AB212" t="str">
        <f>IF($A212="","",Allocation!CI212)</f>
        <v/>
      </c>
      <c r="AC212" t="str">
        <f>IF($A212="","",IF(Allocation!$N$4="VOL_EFF",$G212,IF(Allocation!$N$4="VOL_CLASS",$H212,$I212)))</f>
        <v/>
      </c>
      <c r="AD212" t="str">
        <f>IF($A212="","",IF(Allocation!$N$4="VOL_EFF",$L212,IF(Allocation!$N$4="VOL_CLASS",$M212,$N212)))</f>
        <v/>
      </c>
      <c r="AE212" t="str">
        <f>IF($A212="","",IF(Allocation!$N$3="VOL_EFF",$L212,IF(Allocation!$N$3="VOL_CLASS",$M212,$N212)))</f>
        <v/>
      </c>
      <c r="AF212" t="str">
        <f>IF($A212="","",IF(Allocation!$N$3="VOL_EFF",$Q212,IF(Allocation!$N$3="VOL_CLASS",$R212,$S212)))</f>
        <v/>
      </c>
      <c r="AG212" t="str">
        <f>IF($A212="","",IF(Allocation!$N$1="VOL_EFF",$Q212,IF(Allocation!$N$1="VOL_CLASS",$R212,$S212)))</f>
        <v/>
      </c>
      <c r="AH212" t="str">
        <f>IF($A212="","",IF(Allocation!$N$1="VOL_EFF",$T212,IF(Allocation!$N$1="VOL_CLASS",$U212,$V212)))</f>
        <v/>
      </c>
      <c r="AI212" t="str">
        <f t="shared" si="69"/>
        <v/>
      </c>
      <c r="AJ212" t="str">
        <f t="shared" si="70"/>
        <v/>
      </c>
      <c r="AK212" t="str">
        <f t="shared" si="71"/>
        <v/>
      </c>
      <c r="AL212" t="str">
        <f t="shared" si="72"/>
        <v/>
      </c>
      <c r="AM212" t="str">
        <f t="shared" si="73"/>
        <v/>
      </c>
      <c r="AN212" t="str">
        <f t="shared" si="74"/>
        <v/>
      </c>
      <c r="AO212" t="str">
        <f>IF($A212="","",Allocation!CJ212)</f>
        <v/>
      </c>
      <c r="AP212" t="str">
        <f>IF($A212="","",IF(Allocation!$N$2="VOL_EFF",$Q212,IF(Allocation!$N$2="VOL_CLASS",$R212,$S212)))</f>
        <v/>
      </c>
      <c r="AQ212" t="str">
        <f>IF($A212="","",IF(Allocation!$N$2="VOL_EFF",$T212,IF(Allocation!$N$2="VOL_CLASS",$U212,$V212)))</f>
        <v/>
      </c>
      <c r="AR212" t="str">
        <f t="shared" si="75"/>
        <v/>
      </c>
      <c r="AS212" t="str">
        <f>IF($A212="","",$A212&amp;"|"&amp;Allocation!BG212)</f>
        <v/>
      </c>
    </row>
    <row r="213" spans="1:45" x14ac:dyDescent="0.45">
      <c r="A213" t="str">
        <f>IF(Allocation!BI213="","",Allocation!BI213)</f>
        <v/>
      </c>
      <c r="B213" t="str">
        <f>IF(Allocation!BJ213="","",Allocation!BJ213)</f>
        <v/>
      </c>
      <c r="C213" t="str">
        <f>IF(Allocation!BK213="","",Allocation!BK213)</f>
        <v/>
      </c>
      <c r="D213" t="str">
        <f>IF(Allocation!BL213="","",Allocation!BL213)</f>
        <v/>
      </c>
      <c r="E213" t="str">
        <f>IF(Allocation!BM213="","",Allocation!BM213)</f>
        <v/>
      </c>
      <c r="F213" t="str">
        <f>IF(Allocation!BN213="","",Allocation!BN213)</f>
        <v/>
      </c>
      <c r="G213" t="str">
        <f>IF(Allocation!BO213="","",Allocation!BO213)</f>
        <v/>
      </c>
      <c r="H213" t="str">
        <f>IF(Allocation!BP213="","",Allocation!BP213)</f>
        <v/>
      </c>
      <c r="I213" t="str">
        <f>IF(Allocation!BQ213="","",Allocation!BQ213)</f>
        <v/>
      </c>
      <c r="J213" t="str">
        <f>IF(Allocation!CC213="","",Allocation!CC213)</f>
        <v/>
      </c>
      <c r="K213" t="str">
        <f t="shared" si="57"/>
        <v/>
      </c>
      <c r="L213" t="str">
        <f t="shared" si="58"/>
        <v/>
      </c>
      <c r="M213" t="str">
        <f t="shared" si="59"/>
        <v/>
      </c>
      <c r="N213" t="str">
        <f t="shared" si="60"/>
        <v/>
      </c>
      <c r="O213" t="str">
        <f t="shared" si="61"/>
        <v/>
      </c>
      <c r="P213" t="str">
        <f t="shared" si="62"/>
        <v/>
      </c>
      <c r="Q213" t="str">
        <f t="shared" si="63"/>
        <v/>
      </c>
      <c r="R213" t="str">
        <f t="shared" si="64"/>
        <v/>
      </c>
      <c r="S213" t="str">
        <f t="shared" si="65"/>
        <v/>
      </c>
      <c r="T213" t="str">
        <f t="shared" si="66"/>
        <v/>
      </c>
      <c r="U213" t="str">
        <f t="shared" si="67"/>
        <v/>
      </c>
      <c r="V213" t="str">
        <f t="shared" si="68"/>
        <v/>
      </c>
      <c r="W213" t="str">
        <f>IF($A213="","",Allocation!CD213)</f>
        <v/>
      </c>
      <c r="X213" t="str">
        <f>IF($A213="","",Allocation!CE213)</f>
        <v/>
      </c>
      <c r="Y213" t="str">
        <f>IF($A213="","",Allocation!CF213)</f>
        <v/>
      </c>
      <c r="Z213" t="str">
        <f>IF($A213="","",Allocation!CG213)</f>
        <v/>
      </c>
      <c r="AA213" t="str">
        <f>IF($A213="","",Allocation!CH213)</f>
        <v/>
      </c>
      <c r="AB213" t="str">
        <f>IF($A213="","",Allocation!CI213)</f>
        <v/>
      </c>
      <c r="AC213" t="str">
        <f>IF($A213="","",IF(Allocation!$N$4="VOL_EFF",$G213,IF(Allocation!$N$4="VOL_CLASS",$H213,$I213)))</f>
        <v/>
      </c>
      <c r="AD213" t="str">
        <f>IF($A213="","",IF(Allocation!$N$4="VOL_EFF",$L213,IF(Allocation!$N$4="VOL_CLASS",$M213,$N213)))</f>
        <v/>
      </c>
      <c r="AE213" t="str">
        <f>IF($A213="","",IF(Allocation!$N$3="VOL_EFF",$L213,IF(Allocation!$N$3="VOL_CLASS",$M213,$N213)))</f>
        <v/>
      </c>
      <c r="AF213" t="str">
        <f>IF($A213="","",IF(Allocation!$N$3="VOL_EFF",$Q213,IF(Allocation!$N$3="VOL_CLASS",$R213,$S213)))</f>
        <v/>
      </c>
      <c r="AG213" t="str">
        <f>IF($A213="","",IF(Allocation!$N$1="VOL_EFF",$Q213,IF(Allocation!$N$1="VOL_CLASS",$R213,$S213)))</f>
        <v/>
      </c>
      <c r="AH213" t="str">
        <f>IF($A213="","",IF(Allocation!$N$1="VOL_EFF",$T213,IF(Allocation!$N$1="VOL_CLASS",$U213,$V213)))</f>
        <v/>
      </c>
      <c r="AI213" t="str">
        <f t="shared" si="69"/>
        <v/>
      </c>
      <c r="AJ213" t="str">
        <f t="shared" si="70"/>
        <v/>
      </c>
      <c r="AK213" t="str">
        <f t="shared" si="71"/>
        <v/>
      </c>
      <c r="AL213" t="str">
        <f t="shared" si="72"/>
        <v/>
      </c>
      <c r="AM213" t="str">
        <f t="shared" si="73"/>
        <v/>
      </c>
      <c r="AN213" t="str">
        <f t="shared" si="74"/>
        <v/>
      </c>
      <c r="AO213" t="str">
        <f>IF($A213="","",Allocation!CJ213)</f>
        <v/>
      </c>
      <c r="AP213" t="str">
        <f>IF($A213="","",IF(Allocation!$N$2="VOL_EFF",$Q213,IF(Allocation!$N$2="VOL_CLASS",$R213,$S213)))</f>
        <v/>
      </c>
      <c r="AQ213" t="str">
        <f>IF($A213="","",IF(Allocation!$N$2="VOL_EFF",$T213,IF(Allocation!$N$2="VOL_CLASS",$U213,$V213)))</f>
        <v/>
      </c>
      <c r="AR213" t="str">
        <f t="shared" si="75"/>
        <v/>
      </c>
      <c r="AS213" t="str">
        <f>IF($A213="","",$A213&amp;"|"&amp;Allocation!BG213)</f>
        <v/>
      </c>
    </row>
    <row r="214" spans="1:45" x14ac:dyDescent="0.45">
      <c r="A214" t="str">
        <f>IF(Allocation!BI214="","",Allocation!BI214)</f>
        <v/>
      </c>
      <c r="B214" t="str">
        <f>IF(Allocation!BJ214="","",Allocation!BJ214)</f>
        <v/>
      </c>
      <c r="C214" t="str">
        <f>IF(Allocation!BK214="","",Allocation!BK214)</f>
        <v/>
      </c>
      <c r="D214" t="str">
        <f>IF(Allocation!BL214="","",Allocation!BL214)</f>
        <v/>
      </c>
      <c r="E214" t="str">
        <f>IF(Allocation!BM214="","",Allocation!BM214)</f>
        <v/>
      </c>
      <c r="F214" t="str">
        <f>IF(Allocation!BN214="","",Allocation!BN214)</f>
        <v/>
      </c>
      <c r="G214" t="str">
        <f>IF(Allocation!BO214="","",Allocation!BO214)</f>
        <v/>
      </c>
      <c r="H214" t="str">
        <f>IF(Allocation!BP214="","",Allocation!BP214)</f>
        <v/>
      </c>
      <c r="I214" t="str">
        <f>IF(Allocation!BQ214="","",Allocation!BQ214)</f>
        <v/>
      </c>
      <c r="J214" t="str">
        <f>IF(Allocation!CC214="","",Allocation!CC214)</f>
        <v/>
      </c>
      <c r="K214" t="str">
        <f t="shared" si="57"/>
        <v/>
      </c>
      <c r="L214" t="str">
        <f t="shared" si="58"/>
        <v/>
      </c>
      <c r="M214" t="str">
        <f t="shared" si="59"/>
        <v/>
      </c>
      <c r="N214" t="str">
        <f t="shared" si="60"/>
        <v/>
      </c>
      <c r="O214" t="str">
        <f t="shared" si="61"/>
        <v/>
      </c>
      <c r="P214" t="str">
        <f t="shared" si="62"/>
        <v/>
      </c>
      <c r="Q214" t="str">
        <f t="shared" si="63"/>
        <v/>
      </c>
      <c r="R214" t="str">
        <f t="shared" si="64"/>
        <v/>
      </c>
      <c r="S214" t="str">
        <f t="shared" si="65"/>
        <v/>
      </c>
      <c r="T214" t="str">
        <f t="shared" si="66"/>
        <v/>
      </c>
      <c r="U214" t="str">
        <f t="shared" si="67"/>
        <v/>
      </c>
      <c r="V214" t="str">
        <f t="shared" si="68"/>
        <v/>
      </c>
      <c r="W214" t="str">
        <f>IF($A214="","",Allocation!CD214)</f>
        <v/>
      </c>
      <c r="X214" t="str">
        <f>IF($A214="","",Allocation!CE214)</f>
        <v/>
      </c>
      <c r="Y214" t="str">
        <f>IF($A214="","",Allocation!CF214)</f>
        <v/>
      </c>
      <c r="Z214" t="str">
        <f>IF($A214="","",Allocation!CG214)</f>
        <v/>
      </c>
      <c r="AA214" t="str">
        <f>IF($A214="","",Allocation!CH214)</f>
        <v/>
      </c>
      <c r="AB214" t="str">
        <f>IF($A214="","",Allocation!CI214)</f>
        <v/>
      </c>
      <c r="AC214" t="str">
        <f>IF($A214="","",IF(Allocation!$N$4="VOL_EFF",$G214,IF(Allocation!$N$4="VOL_CLASS",$H214,$I214)))</f>
        <v/>
      </c>
      <c r="AD214" t="str">
        <f>IF($A214="","",IF(Allocation!$N$4="VOL_EFF",$L214,IF(Allocation!$N$4="VOL_CLASS",$M214,$N214)))</f>
        <v/>
      </c>
      <c r="AE214" t="str">
        <f>IF($A214="","",IF(Allocation!$N$3="VOL_EFF",$L214,IF(Allocation!$N$3="VOL_CLASS",$M214,$N214)))</f>
        <v/>
      </c>
      <c r="AF214" t="str">
        <f>IF($A214="","",IF(Allocation!$N$3="VOL_EFF",$Q214,IF(Allocation!$N$3="VOL_CLASS",$R214,$S214)))</f>
        <v/>
      </c>
      <c r="AG214" t="str">
        <f>IF($A214="","",IF(Allocation!$N$1="VOL_EFF",$Q214,IF(Allocation!$N$1="VOL_CLASS",$R214,$S214)))</f>
        <v/>
      </c>
      <c r="AH214" t="str">
        <f>IF($A214="","",IF(Allocation!$N$1="VOL_EFF",$T214,IF(Allocation!$N$1="VOL_CLASS",$U214,$V214)))</f>
        <v/>
      </c>
      <c r="AI214" t="str">
        <f t="shared" si="69"/>
        <v/>
      </c>
      <c r="AJ214" t="str">
        <f t="shared" si="70"/>
        <v/>
      </c>
      <c r="AK214" t="str">
        <f t="shared" si="71"/>
        <v/>
      </c>
      <c r="AL214" t="str">
        <f t="shared" si="72"/>
        <v/>
      </c>
      <c r="AM214" t="str">
        <f t="shared" si="73"/>
        <v/>
      </c>
      <c r="AN214" t="str">
        <f t="shared" si="74"/>
        <v/>
      </c>
      <c r="AO214" t="str">
        <f>IF($A214="","",Allocation!CJ214)</f>
        <v/>
      </c>
      <c r="AP214" t="str">
        <f>IF($A214="","",IF(Allocation!$N$2="VOL_EFF",$Q214,IF(Allocation!$N$2="VOL_CLASS",$R214,$S214)))</f>
        <v/>
      </c>
      <c r="AQ214" t="str">
        <f>IF($A214="","",IF(Allocation!$N$2="VOL_EFF",$T214,IF(Allocation!$N$2="VOL_CLASS",$U214,$V214)))</f>
        <v/>
      </c>
      <c r="AR214" t="str">
        <f t="shared" si="75"/>
        <v/>
      </c>
      <c r="AS214" t="str">
        <f>IF($A214="","",$A214&amp;"|"&amp;Allocation!BG214)</f>
        <v/>
      </c>
    </row>
    <row r="215" spans="1:45" x14ac:dyDescent="0.45">
      <c r="A215" t="str">
        <f>IF(Allocation!BI215="","",Allocation!BI215)</f>
        <v/>
      </c>
      <c r="B215" t="str">
        <f>IF(Allocation!BJ215="","",Allocation!BJ215)</f>
        <v/>
      </c>
      <c r="C215" t="str">
        <f>IF(Allocation!BK215="","",Allocation!BK215)</f>
        <v/>
      </c>
      <c r="D215" t="str">
        <f>IF(Allocation!BL215="","",Allocation!BL215)</f>
        <v/>
      </c>
      <c r="E215" t="str">
        <f>IF(Allocation!BM215="","",Allocation!BM215)</f>
        <v/>
      </c>
      <c r="F215" t="str">
        <f>IF(Allocation!BN215="","",Allocation!BN215)</f>
        <v/>
      </c>
      <c r="G215" t="str">
        <f>IF(Allocation!BO215="","",Allocation!BO215)</f>
        <v/>
      </c>
      <c r="H215" t="str">
        <f>IF(Allocation!BP215="","",Allocation!BP215)</f>
        <v/>
      </c>
      <c r="I215" t="str">
        <f>IF(Allocation!BQ215="","",Allocation!BQ215)</f>
        <v/>
      </c>
      <c r="J215" t="str">
        <f>IF(Allocation!CC215="","",Allocation!CC215)</f>
        <v/>
      </c>
      <c r="K215" t="str">
        <f t="shared" si="57"/>
        <v/>
      </c>
      <c r="L215" t="str">
        <f t="shared" si="58"/>
        <v/>
      </c>
      <c r="M215" t="str">
        <f t="shared" si="59"/>
        <v/>
      </c>
      <c r="N215" t="str">
        <f t="shared" si="60"/>
        <v/>
      </c>
      <c r="O215" t="str">
        <f t="shared" si="61"/>
        <v/>
      </c>
      <c r="P215" t="str">
        <f t="shared" si="62"/>
        <v/>
      </c>
      <c r="Q215" t="str">
        <f t="shared" si="63"/>
        <v/>
      </c>
      <c r="R215" t="str">
        <f t="shared" si="64"/>
        <v/>
      </c>
      <c r="S215" t="str">
        <f t="shared" si="65"/>
        <v/>
      </c>
      <c r="T215" t="str">
        <f t="shared" si="66"/>
        <v/>
      </c>
      <c r="U215" t="str">
        <f t="shared" si="67"/>
        <v/>
      </c>
      <c r="V215" t="str">
        <f t="shared" si="68"/>
        <v/>
      </c>
      <c r="W215" t="str">
        <f>IF($A215="","",Allocation!CD215)</f>
        <v/>
      </c>
      <c r="X215" t="str">
        <f>IF($A215="","",Allocation!CE215)</f>
        <v/>
      </c>
      <c r="Y215" t="str">
        <f>IF($A215="","",Allocation!CF215)</f>
        <v/>
      </c>
      <c r="Z215" t="str">
        <f>IF($A215="","",Allocation!CG215)</f>
        <v/>
      </c>
      <c r="AA215" t="str">
        <f>IF($A215="","",Allocation!CH215)</f>
        <v/>
      </c>
      <c r="AB215" t="str">
        <f>IF($A215="","",Allocation!CI215)</f>
        <v/>
      </c>
      <c r="AC215" t="str">
        <f>IF($A215="","",IF(Allocation!$N$4="VOL_EFF",$G215,IF(Allocation!$N$4="VOL_CLASS",$H215,$I215)))</f>
        <v/>
      </c>
      <c r="AD215" t="str">
        <f>IF($A215="","",IF(Allocation!$N$4="VOL_EFF",$L215,IF(Allocation!$N$4="VOL_CLASS",$M215,$N215)))</f>
        <v/>
      </c>
      <c r="AE215" t="str">
        <f>IF($A215="","",IF(Allocation!$N$3="VOL_EFF",$L215,IF(Allocation!$N$3="VOL_CLASS",$M215,$N215)))</f>
        <v/>
      </c>
      <c r="AF215" t="str">
        <f>IF($A215="","",IF(Allocation!$N$3="VOL_EFF",$Q215,IF(Allocation!$N$3="VOL_CLASS",$R215,$S215)))</f>
        <v/>
      </c>
      <c r="AG215" t="str">
        <f>IF($A215="","",IF(Allocation!$N$1="VOL_EFF",$Q215,IF(Allocation!$N$1="VOL_CLASS",$R215,$S215)))</f>
        <v/>
      </c>
      <c r="AH215" t="str">
        <f>IF($A215="","",IF(Allocation!$N$1="VOL_EFF",$T215,IF(Allocation!$N$1="VOL_CLASS",$U215,$V215)))</f>
        <v/>
      </c>
      <c r="AI215" t="str">
        <f t="shared" si="69"/>
        <v/>
      </c>
      <c r="AJ215" t="str">
        <f t="shared" si="70"/>
        <v/>
      </c>
      <c r="AK215" t="str">
        <f t="shared" si="71"/>
        <v/>
      </c>
      <c r="AL215" t="str">
        <f t="shared" si="72"/>
        <v/>
      </c>
      <c r="AM215" t="str">
        <f t="shared" si="73"/>
        <v/>
      </c>
      <c r="AN215" t="str">
        <f t="shared" si="74"/>
        <v/>
      </c>
      <c r="AO215" t="str">
        <f>IF($A215="","",Allocation!CJ215)</f>
        <v/>
      </c>
      <c r="AP215" t="str">
        <f>IF($A215="","",IF(Allocation!$N$2="VOL_EFF",$Q215,IF(Allocation!$N$2="VOL_CLASS",$R215,$S215)))</f>
        <v/>
      </c>
      <c r="AQ215" t="str">
        <f>IF($A215="","",IF(Allocation!$N$2="VOL_EFF",$T215,IF(Allocation!$N$2="VOL_CLASS",$U215,$V215)))</f>
        <v/>
      </c>
      <c r="AR215" t="str">
        <f t="shared" si="75"/>
        <v/>
      </c>
      <c r="AS215" t="str">
        <f>IF($A215="","",$A215&amp;"|"&amp;Allocation!BG215)</f>
        <v/>
      </c>
    </row>
    <row r="216" spans="1:45" x14ac:dyDescent="0.45">
      <c r="A216" t="str">
        <f>IF(Allocation!BI216="","",Allocation!BI216)</f>
        <v/>
      </c>
      <c r="B216" t="str">
        <f>IF(Allocation!BJ216="","",Allocation!BJ216)</f>
        <v/>
      </c>
      <c r="C216" t="str">
        <f>IF(Allocation!BK216="","",Allocation!BK216)</f>
        <v/>
      </c>
      <c r="D216" t="str">
        <f>IF(Allocation!BL216="","",Allocation!BL216)</f>
        <v/>
      </c>
      <c r="E216" t="str">
        <f>IF(Allocation!BM216="","",Allocation!BM216)</f>
        <v/>
      </c>
      <c r="F216" t="str">
        <f>IF(Allocation!BN216="","",Allocation!BN216)</f>
        <v/>
      </c>
      <c r="G216" t="str">
        <f>IF(Allocation!BO216="","",Allocation!BO216)</f>
        <v/>
      </c>
      <c r="H216" t="str">
        <f>IF(Allocation!BP216="","",Allocation!BP216)</f>
        <v/>
      </c>
      <c r="I216" t="str">
        <f>IF(Allocation!BQ216="","",Allocation!BQ216)</f>
        <v/>
      </c>
      <c r="J216" t="str">
        <f>IF(Allocation!CC216="","",Allocation!CC216)</f>
        <v/>
      </c>
      <c r="K216" t="str">
        <f t="shared" si="57"/>
        <v/>
      </c>
      <c r="L216" t="str">
        <f t="shared" si="58"/>
        <v/>
      </c>
      <c r="M216" t="str">
        <f t="shared" si="59"/>
        <v/>
      </c>
      <c r="N216" t="str">
        <f t="shared" si="60"/>
        <v/>
      </c>
      <c r="O216" t="str">
        <f t="shared" si="61"/>
        <v/>
      </c>
      <c r="P216" t="str">
        <f t="shared" si="62"/>
        <v/>
      </c>
      <c r="Q216" t="str">
        <f t="shared" si="63"/>
        <v/>
      </c>
      <c r="R216" t="str">
        <f t="shared" si="64"/>
        <v/>
      </c>
      <c r="S216" t="str">
        <f t="shared" si="65"/>
        <v/>
      </c>
      <c r="T216" t="str">
        <f t="shared" si="66"/>
        <v/>
      </c>
      <c r="U216" t="str">
        <f t="shared" si="67"/>
        <v/>
      </c>
      <c r="V216" t="str">
        <f t="shared" si="68"/>
        <v/>
      </c>
      <c r="W216" t="str">
        <f>IF($A216="","",Allocation!CD216)</f>
        <v/>
      </c>
      <c r="X216" t="str">
        <f>IF($A216="","",Allocation!CE216)</f>
        <v/>
      </c>
      <c r="Y216" t="str">
        <f>IF($A216="","",Allocation!CF216)</f>
        <v/>
      </c>
      <c r="Z216" t="str">
        <f>IF($A216="","",Allocation!CG216)</f>
        <v/>
      </c>
      <c r="AA216" t="str">
        <f>IF($A216="","",Allocation!CH216)</f>
        <v/>
      </c>
      <c r="AB216" t="str">
        <f>IF($A216="","",Allocation!CI216)</f>
        <v/>
      </c>
      <c r="AC216" t="str">
        <f>IF($A216="","",IF(Allocation!$N$4="VOL_EFF",$G216,IF(Allocation!$N$4="VOL_CLASS",$H216,$I216)))</f>
        <v/>
      </c>
      <c r="AD216" t="str">
        <f>IF($A216="","",IF(Allocation!$N$4="VOL_EFF",$L216,IF(Allocation!$N$4="VOL_CLASS",$M216,$N216)))</f>
        <v/>
      </c>
      <c r="AE216" t="str">
        <f>IF($A216="","",IF(Allocation!$N$3="VOL_EFF",$L216,IF(Allocation!$N$3="VOL_CLASS",$M216,$N216)))</f>
        <v/>
      </c>
      <c r="AF216" t="str">
        <f>IF($A216="","",IF(Allocation!$N$3="VOL_EFF",$Q216,IF(Allocation!$N$3="VOL_CLASS",$R216,$S216)))</f>
        <v/>
      </c>
      <c r="AG216" t="str">
        <f>IF($A216="","",IF(Allocation!$N$1="VOL_EFF",$Q216,IF(Allocation!$N$1="VOL_CLASS",$R216,$S216)))</f>
        <v/>
      </c>
      <c r="AH216" t="str">
        <f>IF($A216="","",IF(Allocation!$N$1="VOL_EFF",$T216,IF(Allocation!$N$1="VOL_CLASS",$U216,$V216)))</f>
        <v/>
      </c>
      <c r="AI216" t="str">
        <f t="shared" si="69"/>
        <v/>
      </c>
      <c r="AJ216" t="str">
        <f t="shared" si="70"/>
        <v/>
      </c>
      <c r="AK216" t="str">
        <f t="shared" si="71"/>
        <v/>
      </c>
      <c r="AL216" t="str">
        <f t="shared" si="72"/>
        <v/>
      </c>
      <c r="AM216" t="str">
        <f t="shared" si="73"/>
        <v/>
      </c>
      <c r="AN216" t="str">
        <f t="shared" si="74"/>
        <v/>
      </c>
      <c r="AO216" t="str">
        <f>IF($A216="","",Allocation!CJ216)</f>
        <v/>
      </c>
      <c r="AP216" t="str">
        <f>IF($A216="","",IF(Allocation!$N$2="VOL_EFF",$Q216,IF(Allocation!$N$2="VOL_CLASS",$R216,$S216)))</f>
        <v/>
      </c>
      <c r="AQ216" t="str">
        <f>IF($A216="","",IF(Allocation!$N$2="VOL_EFF",$T216,IF(Allocation!$N$2="VOL_CLASS",$U216,$V216)))</f>
        <v/>
      </c>
      <c r="AR216" t="str">
        <f t="shared" si="75"/>
        <v/>
      </c>
      <c r="AS216" t="str">
        <f>IF($A216="","",$A216&amp;"|"&amp;Allocation!BG216)</f>
        <v/>
      </c>
    </row>
    <row r="217" spans="1:45" x14ac:dyDescent="0.45">
      <c r="A217" t="str">
        <f>IF(Allocation!BI217="","",Allocation!BI217)</f>
        <v/>
      </c>
      <c r="B217" t="str">
        <f>IF(Allocation!BJ217="","",Allocation!BJ217)</f>
        <v/>
      </c>
      <c r="C217" t="str">
        <f>IF(Allocation!BK217="","",Allocation!BK217)</f>
        <v/>
      </c>
      <c r="D217" t="str">
        <f>IF(Allocation!BL217="","",Allocation!BL217)</f>
        <v/>
      </c>
      <c r="E217" t="str">
        <f>IF(Allocation!BM217="","",Allocation!BM217)</f>
        <v/>
      </c>
      <c r="F217" t="str">
        <f>IF(Allocation!BN217="","",Allocation!BN217)</f>
        <v/>
      </c>
      <c r="G217" t="str">
        <f>IF(Allocation!BO217="","",Allocation!BO217)</f>
        <v/>
      </c>
      <c r="H217" t="str">
        <f>IF(Allocation!BP217="","",Allocation!BP217)</f>
        <v/>
      </c>
      <c r="I217" t="str">
        <f>IF(Allocation!BQ217="","",Allocation!BQ217)</f>
        <v/>
      </c>
      <c r="J217" t="str">
        <f>IF(Allocation!CC217="","",Allocation!CC217)</f>
        <v/>
      </c>
      <c r="K217" t="str">
        <f t="shared" si="57"/>
        <v/>
      </c>
      <c r="L217" t="str">
        <f t="shared" si="58"/>
        <v/>
      </c>
      <c r="M217" t="str">
        <f t="shared" si="59"/>
        <v/>
      </c>
      <c r="N217" t="str">
        <f t="shared" si="60"/>
        <v/>
      </c>
      <c r="O217" t="str">
        <f t="shared" si="61"/>
        <v/>
      </c>
      <c r="P217" t="str">
        <f t="shared" si="62"/>
        <v/>
      </c>
      <c r="Q217" t="str">
        <f t="shared" si="63"/>
        <v/>
      </c>
      <c r="R217" t="str">
        <f t="shared" si="64"/>
        <v/>
      </c>
      <c r="S217" t="str">
        <f t="shared" si="65"/>
        <v/>
      </c>
      <c r="T217" t="str">
        <f t="shared" si="66"/>
        <v/>
      </c>
      <c r="U217" t="str">
        <f t="shared" si="67"/>
        <v/>
      </c>
      <c r="V217" t="str">
        <f t="shared" si="68"/>
        <v/>
      </c>
      <c r="W217" t="str">
        <f>IF($A217="","",Allocation!CD217)</f>
        <v/>
      </c>
      <c r="X217" t="str">
        <f>IF($A217="","",Allocation!CE217)</f>
        <v/>
      </c>
      <c r="Y217" t="str">
        <f>IF($A217="","",Allocation!CF217)</f>
        <v/>
      </c>
      <c r="Z217" t="str">
        <f>IF($A217="","",Allocation!CG217)</f>
        <v/>
      </c>
      <c r="AA217" t="str">
        <f>IF($A217="","",Allocation!CH217)</f>
        <v/>
      </c>
      <c r="AB217" t="str">
        <f>IF($A217="","",Allocation!CI217)</f>
        <v/>
      </c>
      <c r="AC217" t="str">
        <f>IF($A217="","",IF(Allocation!$N$4="VOL_EFF",$G217,IF(Allocation!$N$4="VOL_CLASS",$H217,$I217)))</f>
        <v/>
      </c>
      <c r="AD217" t="str">
        <f>IF($A217="","",IF(Allocation!$N$4="VOL_EFF",$L217,IF(Allocation!$N$4="VOL_CLASS",$M217,$N217)))</f>
        <v/>
      </c>
      <c r="AE217" t="str">
        <f>IF($A217="","",IF(Allocation!$N$3="VOL_EFF",$L217,IF(Allocation!$N$3="VOL_CLASS",$M217,$N217)))</f>
        <v/>
      </c>
      <c r="AF217" t="str">
        <f>IF($A217="","",IF(Allocation!$N$3="VOL_EFF",$Q217,IF(Allocation!$N$3="VOL_CLASS",$R217,$S217)))</f>
        <v/>
      </c>
      <c r="AG217" t="str">
        <f>IF($A217="","",IF(Allocation!$N$1="VOL_EFF",$Q217,IF(Allocation!$N$1="VOL_CLASS",$R217,$S217)))</f>
        <v/>
      </c>
      <c r="AH217" t="str">
        <f>IF($A217="","",IF(Allocation!$N$1="VOL_EFF",$T217,IF(Allocation!$N$1="VOL_CLASS",$U217,$V217)))</f>
        <v/>
      </c>
      <c r="AI217" t="str">
        <f t="shared" si="69"/>
        <v/>
      </c>
      <c r="AJ217" t="str">
        <f t="shared" si="70"/>
        <v/>
      </c>
      <c r="AK217" t="str">
        <f t="shared" si="71"/>
        <v/>
      </c>
      <c r="AL217" t="str">
        <f t="shared" si="72"/>
        <v/>
      </c>
      <c r="AM217" t="str">
        <f t="shared" si="73"/>
        <v/>
      </c>
      <c r="AN217" t="str">
        <f t="shared" si="74"/>
        <v/>
      </c>
      <c r="AO217" t="str">
        <f>IF($A217="","",Allocation!CJ217)</f>
        <v/>
      </c>
      <c r="AP217" t="str">
        <f>IF($A217="","",IF(Allocation!$N$2="VOL_EFF",$Q217,IF(Allocation!$N$2="VOL_CLASS",$R217,$S217)))</f>
        <v/>
      </c>
      <c r="AQ217" t="str">
        <f>IF($A217="","",IF(Allocation!$N$2="VOL_EFF",$T217,IF(Allocation!$N$2="VOL_CLASS",$U217,$V217)))</f>
        <v/>
      </c>
      <c r="AR217" t="str">
        <f t="shared" si="75"/>
        <v/>
      </c>
      <c r="AS217" t="str">
        <f>IF($A217="","",$A217&amp;"|"&amp;Allocation!BG217)</f>
        <v/>
      </c>
    </row>
    <row r="218" spans="1:45" x14ac:dyDescent="0.45">
      <c r="A218" t="str">
        <f>IF(Allocation!BI218="","",Allocation!BI218)</f>
        <v/>
      </c>
      <c r="B218" t="str">
        <f>IF(Allocation!BJ218="","",Allocation!BJ218)</f>
        <v/>
      </c>
      <c r="C218" t="str">
        <f>IF(Allocation!BK218="","",Allocation!BK218)</f>
        <v/>
      </c>
      <c r="D218" t="str">
        <f>IF(Allocation!BL218="","",Allocation!BL218)</f>
        <v/>
      </c>
      <c r="E218" t="str">
        <f>IF(Allocation!BM218="","",Allocation!BM218)</f>
        <v/>
      </c>
      <c r="F218" t="str">
        <f>IF(Allocation!BN218="","",Allocation!BN218)</f>
        <v/>
      </c>
      <c r="G218" t="str">
        <f>IF(Allocation!BO218="","",Allocation!BO218)</f>
        <v/>
      </c>
      <c r="H218" t="str">
        <f>IF(Allocation!BP218="","",Allocation!BP218)</f>
        <v/>
      </c>
      <c r="I218" t="str">
        <f>IF(Allocation!BQ218="","",Allocation!BQ218)</f>
        <v/>
      </c>
      <c r="J218" t="str">
        <f>IF(Allocation!CC218="","",Allocation!CC218)</f>
        <v/>
      </c>
      <c r="K218" t="str">
        <f t="shared" si="57"/>
        <v/>
      </c>
      <c r="L218" t="str">
        <f t="shared" si="58"/>
        <v/>
      </c>
      <c r="M218" t="str">
        <f t="shared" si="59"/>
        <v/>
      </c>
      <c r="N218" t="str">
        <f t="shared" si="60"/>
        <v/>
      </c>
      <c r="O218" t="str">
        <f t="shared" si="61"/>
        <v/>
      </c>
      <c r="P218" t="str">
        <f t="shared" si="62"/>
        <v/>
      </c>
      <c r="Q218" t="str">
        <f t="shared" si="63"/>
        <v/>
      </c>
      <c r="R218" t="str">
        <f t="shared" si="64"/>
        <v/>
      </c>
      <c r="S218" t="str">
        <f t="shared" si="65"/>
        <v/>
      </c>
      <c r="T218" t="str">
        <f t="shared" si="66"/>
        <v/>
      </c>
      <c r="U218" t="str">
        <f t="shared" si="67"/>
        <v/>
      </c>
      <c r="V218" t="str">
        <f t="shared" si="68"/>
        <v/>
      </c>
      <c r="W218" t="str">
        <f>IF($A218="","",Allocation!CD218)</f>
        <v/>
      </c>
      <c r="X218" t="str">
        <f>IF($A218="","",Allocation!CE218)</f>
        <v/>
      </c>
      <c r="Y218" t="str">
        <f>IF($A218="","",Allocation!CF218)</f>
        <v/>
      </c>
      <c r="Z218" t="str">
        <f>IF($A218="","",Allocation!CG218)</f>
        <v/>
      </c>
      <c r="AA218" t="str">
        <f>IF($A218="","",Allocation!CH218)</f>
        <v/>
      </c>
      <c r="AB218" t="str">
        <f>IF($A218="","",Allocation!CI218)</f>
        <v/>
      </c>
      <c r="AC218" t="str">
        <f>IF($A218="","",IF(Allocation!$N$4="VOL_EFF",$G218,IF(Allocation!$N$4="VOL_CLASS",$H218,$I218)))</f>
        <v/>
      </c>
      <c r="AD218" t="str">
        <f>IF($A218="","",IF(Allocation!$N$4="VOL_EFF",$L218,IF(Allocation!$N$4="VOL_CLASS",$M218,$N218)))</f>
        <v/>
      </c>
      <c r="AE218" t="str">
        <f>IF($A218="","",IF(Allocation!$N$3="VOL_EFF",$L218,IF(Allocation!$N$3="VOL_CLASS",$M218,$N218)))</f>
        <v/>
      </c>
      <c r="AF218" t="str">
        <f>IF($A218="","",IF(Allocation!$N$3="VOL_EFF",$Q218,IF(Allocation!$N$3="VOL_CLASS",$R218,$S218)))</f>
        <v/>
      </c>
      <c r="AG218" t="str">
        <f>IF($A218="","",IF(Allocation!$N$1="VOL_EFF",$Q218,IF(Allocation!$N$1="VOL_CLASS",$R218,$S218)))</f>
        <v/>
      </c>
      <c r="AH218" t="str">
        <f>IF($A218="","",IF(Allocation!$N$1="VOL_EFF",$T218,IF(Allocation!$N$1="VOL_CLASS",$U218,$V218)))</f>
        <v/>
      </c>
      <c r="AI218" t="str">
        <f t="shared" si="69"/>
        <v/>
      </c>
      <c r="AJ218" t="str">
        <f t="shared" si="70"/>
        <v/>
      </c>
      <c r="AK218" t="str">
        <f t="shared" si="71"/>
        <v/>
      </c>
      <c r="AL218" t="str">
        <f t="shared" si="72"/>
        <v/>
      </c>
      <c r="AM218" t="str">
        <f t="shared" si="73"/>
        <v/>
      </c>
      <c r="AN218" t="str">
        <f t="shared" si="74"/>
        <v/>
      </c>
      <c r="AO218" t="str">
        <f>IF($A218="","",Allocation!CJ218)</f>
        <v/>
      </c>
      <c r="AP218" t="str">
        <f>IF($A218="","",IF(Allocation!$N$2="VOL_EFF",$Q218,IF(Allocation!$N$2="VOL_CLASS",$R218,$S218)))</f>
        <v/>
      </c>
      <c r="AQ218" t="str">
        <f>IF($A218="","",IF(Allocation!$N$2="VOL_EFF",$T218,IF(Allocation!$N$2="VOL_CLASS",$U218,$V218)))</f>
        <v/>
      </c>
      <c r="AR218" t="str">
        <f t="shared" si="75"/>
        <v/>
      </c>
      <c r="AS218" t="str">
        <f>IF($A218="","",$A218&amp;"|"&amp;Allocation!BG218)</f>
        <v/>
      </c>
    </row>
    <row r="219" spans="1:45" x14ac:dyDescent="0.45">
      <c r="A219" t="str">
        <f>IF(Allocation!BI219="","",Allocation!BI219)</f>
        <v/>
      </c>
      <c r="B219" t="str">
        <f>IF(Allocation!BJ219="","",Allocation!BJ219)</f>
        <v/>
      </c>
      <c r="C219" t="str">
        <f>IF(Allocation!BK219="","",Allocation!BK219)</f>
        <v/>
      </c>
      <c r="D219" t="str">
        <f>IF(Allocation!BL219="","",Allocation!BL219)</f>
        <v/>
      </c>
      <c r="E219" t="str">
        <f>IF(Allocation!BM219="","",Allocation!BM219)</f>
        <v/>
      </c>
      <c r="F219" t="str">
        <f>IF(Allocation!BN219="","",Allocation!BN219)</f>
        <v/>
      </c>
      <c r="G219" t="str">
        <f>IF(Allocation!BO219="","",Allocation!BO219)</f>
        <v/>
      </c>
      <c r="H219" t="str">
        <f>IF(Allocation!BP219="","",Allocation!BP219)</f>
        <v/>
      </c>
      <c r="I219" t="str">
        <f>IF(Allocation!BQ219="","",Allocation!BQ219)</f>
        <v/>
      </c>
      <c r="J219" t="str">
        <f>IF(Allocation!CC219="","",Allocation!CC219)</f>
        <v/>
      </c>
      <c r="K219" t="str">
        <f t="shared" si="57"/>
        <v/>
      </c>
      <c r="L219" t="str">
        <f t="shared" si="58"/>
        <v/>
      </c>
      <c r="M219" t="str">
        <f t="shared" si="59"/>
        <v/>
      </c>
      <c r="N219" t="str">
        <f t="shared" si="60"/>
        <v/>
      </c>
      <c r="O219" t="str">
        <f t="shared" si="61"/>
        <v/>
      </c>
      <c r="P219" t="str">
        <f t="shared" si="62"/>
        <v/>
      </c>
      <c r="Q219" t="str">
        <f t="shared" si="63"/>
        <v/>
      </c>
      <c r="R219" t="str">
        <f t="shared" si="64"/>
        <v/>
      </c>
      <c r="S219" t="str">
        <f t="shared" si="65"/>
        <v/>
      </c>
      <c r="T219" t="str">
        <f t="shared" si="66"/>
        <v/>
      </c>
      <c r="U219" t="str">
        <f t="shared" si="67"/>
        <v/>
      </c>
      <c r="V219" t="str">
        <f t="shared" si="68"/>
        <v/>
      </c>
      <c r="W219" t="str">
        <f>IF($A219="","",Allocation!CD219)</f>
        <v/>
      </c>
      <c r="X219" t="str">
        <f>IF($A219="","",Allocation!CE219)</f>
        <v/>
      </c>
      <c r="Y219" t="str">
        <f>IF($A219="","",Allocation!CF219)</f>
        <v/>
      </c>
      <c r="Z219" t="str">
        <f>IF($A219="","",Allocation!CG219)</f>
        <v/>
      </c>
      <c r="AA219" t="str">
        <f>IF($A219="","",Allocation!CH219)</f>
        <v/>
      </c>
      <c r="AB219" t="str">
        <f>IF($A219="","",Allocation!CI219)</f>
        <v/>
      </c>
      <c r="AC219" t="str">
        <f>IF($A219="","",IF(Allocation!$N$4="VOL_EFF",$G219,IF(Allocation!$N$4="VOL_CLASS",$H219,$I219)))</f>
        <v/>
      </c>
      <c r="AD219" t="str">
        <f>IF($A219="","",IF(Allocation!$N$4="VOL_EFF",$L219,IF(Allocation!$N$4="VOL_CLASS",$M219,$N219)))</f>
        <v/>
      </c>
      <c r="AE219" t="str">
        <f>IF($A219="","",IF(Allocation!$N$3="VOL_EFF",$L219,IF(Allocation!$N$3="VOL_CLASS",$M219,$N219)))</f>
        <v/>
      </c>
      <c r="AF219" t="str">
        <f>IF($A219="","",IF(Allocation!$N$3="VOL_EFF",$Q219,IF(Allocation!$N$3="VOL_CLASS",$R219,$S219)))</f>
        <v/>
      </c>
      <c r="AG219" t="str">
        <f>IF($A219="","",IF(Allocation!$N$1="VOL_EFF",$Q219,IF(Allocation!$N$1="VOL_CLASS",$R219,$S219)))</f>
        <v/>
      </c>
      <c r="AH219" t="str">
        <f>IF($A219="","",IF(Allocation!$N$1="VOL_EFF",$T219,IF(Allocation!$N$1="VOL_CLASS",$U219,$V219)))</f>
        <v/>
      </c>
      <c r="AI219" t="str">
        <f t="shared" si="69"/>
        <v/>
      </c>
      <c r="AJ219" t="str">
        <f t="shared" si="70"/>
        <v/>
      </c>
      <c r="AK219" t="str">
        <f t="shared" si="71"/>
        <v/>
      </c>
      <c r="AL219" t="str">
        <f t="shared" si="72"/>
        <v/>
      </c>
      <c r="AM219" t="str">
        <f t="shared" si="73"/>
        <v/>
      </c>
      <c r="AN219" t="str">
        <f t="shared" si="74"/>
        <v/>
      </c>
      <c r="AO219" t="str">
        <f>IF($A219="","",Allocation!CJ219)</f>
        <v/>
      </c>
      <c r="AP219" t="str">
        <f>IF($A219="","",IF(Allocation!$N$2="VOL_EFF",$Q219,IF(Allocation!$N$2="VOL_CLASS",$R219,$S219)))</f>
        <v/>
      </c>
      <c r="AQ219" t="str">
        <f>IF($A219="","",IF(Allocation!$N$2="VOL_EFF",$T219,IF(Allocation!$N$2="VOL_CLASS",$U219,$V219)))</f>
        <v/>
      </c>
      <c r="AR219" t="str">
        <f t="shared" si="75"/>
        <v/>
      </c>
      <c r="AS219" t="str">
        <f>IF($A219="","",$A219&amp;"|"&amp;Allocation!BG219)</f>
        <v/>
      </c>
    </row>
    <row r="220" spans="1:45" x14ac:dyDescent="0.45">
      <c r="A220" t="str">
        <f>IF(Allocation!BI220="","",Allocation!BI220)</f>
        <v/>
      </c>
      <c r="B220" t="str">
        <f>IF(Allocation!BJ220="","",Allocation!BJ220)</f>
        <v/>
      </c>
      <c r="C220" t="str">
        <f>IF(Allocation!BK220="","",Allocation!BK220)</f>
        <v/>
      </c>
      <c r="D220" t="str">
        <f>IF(Allocation!BL220="","",Allocation!BL220)</f>
        <v/>
      </c>
      <c r="E220" t="str">
        <f>IF(Allocation!BM220="","",Allocation!BM220)</f>
        <v/>
      </c>
      <c r="F220" t="str">
        <f>IF(Allocation!BN220="","",Allocation!BN220)</f>
        <v/>
      </c>
      <c r="G220" t="str">
        <f>IF(Allocation!BO220="","",Allocation!BO220)</f>
        <v/>
      </c>
      <c r="H220" t="str">
        <f>IF(Allocation!BP220="","",Allocation!BP220)</f>
        <v/>
      </c>
      <c r="I220" t="str">
        <f>IF(Allocation!BQ220="","",Allocation!BQ220)</f>
        <v/>
      </c>
      <c r="J220" t="str">
        <f>IF(Allocation!CC220="","",Allocation!CC220)</f>
        <v/>
      </c>
      <c r="K220" t="str">
        <f t="shared" si="57"/>
        <v/>
      </c>
      <c r="L220" t="str">
        <f t="shared" si="58"/>
        <v/>
      </c>
      <c r="M220" t="str">
        <f t="shared" si="59"/>
        <v/>
      </c>
      <c r="N220" t="str">
        <f t="shared" si="60"/>
        <v/>
      </c>
      <c r="O220" t="str">
        <f t="shared" si="61"/>
        <v/>
      </c>
      <c r="P220" t="str">
        <f t="shared" si="62"/>
        <v/>
      </c>
      <c r="Q220" t="str">
        <f t="shared" si="63"/>
        <v/>
      </c>
      <c r="R220" t="str">
        <f t="shared" si="64"/>
        <v/>
      </c>
      <c r="S220" t="str">
        <f t="shared" si="65"/>
        <v/>
      </c>
      <c r="T220" t="str">
        <f t="shared" si="66"/>
        <v/>
      </c>
      <c r="U220" t="str">
        <f t="shared" si="67"/>
        <v/>
      </c>
      <c r="V220" t="str">
        <f t="shared" si="68"/>
        <v/>
      </c>
      <c r="W220" t="str">
        <f>IF($A220="","",Allocation!CD220)</f>
        <v/>
      </c>
      <c r="X220" t="str">
        <f>IF($A220="","",Allocation!CE220)</f>
        <v/>
      </c>
      <c r="Y220" t="str">
        <f>IF($A220="","",Allocation!CF220)</f>
        <v/>
      </c>
      <c r="Z220" t="str">
        <f>IF($A220="","",Allocation!CG220)</f>
        <v/>
      </c>
      <c r="AA220" t="str">
        <f>IF($A220="","",Allocation!CH220)</f>
        <v/>
      </c>
      <c r="AB220" t="str">
        <f>IF($A220="","",Allocation!CI220)</f>
        <v/>
      </c>
      <c r="AC220" t="str">
        <f>IF($A220="","",IF(Allocation!$N$4="VOL_EFF",$G220,IF(Allocation!$N$4="VOL_CLASS",$H220,$I220)))</f>
        <v/>
      </c>
      <c r="AD220" t="str">
        <f>IF($A220="","",IF(Allocation!$N$4="VOL_EFF",$L220,IF(Allocation!$N$4="VOL_CLASS",$M220,$N220)))</f>
        <v/>
      </c>
      <c r="AE220" t="str">
        <f>IF($A220="","",IF(Allocation!$N$3="VOL_EFF",$L220,IF(Allocation!$N$3="VOL_CLASS",$M220,$N220)))</f>
        <v/>
      </c>
      <c r="AF220" t="str">
        <f>IF($A220="","",IF(Allocation!$N$3="VOL_EFF",$Q220,IF(Allocation!$N$3="VOL_CLASS",$R220,$S220)))</f>
        <v/>
      </c>
      <c r="AG220" t="str">
        <f>IF($A220="","",IF(Allocation!$N$1="VOL_EFF",$Q220,IF(Allocation!$N$1="VOL_CLASS",$R220,$S220)))</f>
        <v/>
      </c>
      <c r="AH220" t="str">
        <f>IF($A220="","",IF(Allocation!$N$1="VOL_EFF",$T220,IF(Allocation!$N$1="VOL_CLASS",$U220,$V220)))</f>
        <v/>
      </c>
      <c r="AI220" t="str">
        <f t="shared" si="69"/>
        <v/>
      </c>
      <c r="AJ220" t="str">
        <f t="shared" si="70"/>
        <v/>
      </c>
      <c r="AK220" t="str">
        <f t="shared" si="71"/>
        <v/>
      </c>
      <c r="AL220" t="str">
        <f t="shared" si="72"/>
        <v/>
      </c>
      <c r="AM220" t="str">
        <f t="shared" si="73"/>
        <v/>
      </c>
      <c r="AN220" t="str">
        <f t="shared" si="74"/>
        <v/>
      </c>
      <c r="AO220" t="str">
        <f>IF($A220="","",Allocation!CJ220)</f>
        <v/>
      </c>
      <c r="AP220" t="str">
        <f>IF($A220="","",IF(Allocation!$N$2="VOL_EFF",$Q220,IF(Allocation!$N$2="VOL_CLASS",$R220,$S220)))</f>
        <v/>
      </c>
      <c r="AQ220" t="str">
        <f>IF($A220="","",IF(Allocation!$N$2="VOL_EFF",$T220,IF(Allocation!$N$2="VOL_CLASS",$U220,$V220)))</f>
        <v/>
      </c>
      <c r="AR220" t="str">
        <f t="shared" si="75"/>
        <v/>
      </c>
      <c r="AS220" t="str">
        <f>IF($A220="","",$A220&amp;"|"&amp;Allocation!BG220)</f>
        <v/>
      </c>
    </row>
    <row r="221" spans="1:45" x14ac:dyDescent="0.45">
      <c r="A221" t="str">
        <f>IF(Allocation!BI221="","",Allocation!BI221)</f>
        <v/>
      </c>
      <c r="B221" t="str">
        <f>IF(Allocation!BJ221="","",Allocation!BJ221)</f>
        <v/>
      </c>
      <c r="C221" t="str">
        <f>IF(Allocation!BK221="","",Allocation!BK221)</f>
        <v/>
      </c>
      <c r="D221" t="str">
        <f>IF(Allocation!BL221="","",Allocation!BL221)</f>
        <v/>
      </c>
      <c r="E221" t="str">
        <f>IF(Allocation!BM221="","",Allocation!BM221)</f>
        <v/>
      </c>
      <c r="F221" t="str">
        <f>IF(Allocation!BN221="","",Allocation!BN221)</f>
        <v/>
      </c>
      <c r="G221" t="str">
        <f>IF(Allocation!BO221="","",Allocation!BO221)</f>
        <v/>
      </c>
      <c r="H221" t="str">
        <f>IF(Allocation!BP221="","",Allocation!BP221)</f>
        <v/>
      </c>
      <c r="I221" t="str">
        <f>IF(Allocation!BQ221="","",Allocation!BQ221)</f>
        <v/>
      </c>
      <c r="J221" t="str">
        <f>IF(Allocation!CC221="","",Allocation!CC221)</f>
        <v/>
      </c>
      <c r="K221" t="str">
        <f t="shared" si="57"/>
        <v/>
      </c>
      <c r="L221" t="str">
        <f t="shared" si="58"/>
        <v/>
      </c>
      <c r="M221" t="str">
        <f t="shared" si="59"/>
        <v/>
      </c>
      <c r="N221" t="str">
        <f t="shared" si="60"/>
        <v/>
      </c>
      <c r="O221" t="str">
        <f t="shared" si="61"/>
        <v/>
      </c>
      <c r="P221" t="str">
        <f t="shared" si="62"/>
        <v/>
      </c>
      <c r="Q221" t="str">
        <f t="shared" si="63"/>
        <v/>
      </c>
      <c r="R221" t="str">
        <f t="shared" si="64"/>
        <v/>
      </c>
      <c r="S221" t="str">
        <f t="shared" si="65"/>
        <v/>
      </c>
      <c r="T221" t="str">
        <f t="shared" si="66"/>
        <v/>
      </c>
      <c r="U221" t="str">
        <f t="shared" si="67"/>
        <v/>
      </c>
      <c r="V221" t="str">
        <f t="shared" si="68"/>
        <v/>
      </c>
      <c r="W221" t="str">
        <f>IF($A221="","",Allocation!CD221)</f>
        <v/>
      </c>
      <c r="X221" t="str">
        <f>IF($A221="","",Allocation!CE221)</f>
        <v/>
      </c>
      <c r="Y221" t="str">
        <f>IF($A221="","",Allocation!CF221)</f>
        <v/>
      </c>
      <c r="Z221" t="str">
        <f>IF($A221="","",Allocation!CG221)</f>
        <v/>
      </c>
      <c r="AA221" t="str">
        <f>IF($A221="","",Allocation!CH221)</f>
        <v/>
      </c>
      <c r="AB221" t="str">
        <f>IF($A221="","",Allocation!CI221)</f>
        <v/>
      </c>
      <c r="AC221" t="str">
        <f>IF($A221="","",IF(Allocation!$N$4="VOL_EFF",$G221,IF(Allocation!$N$4="VOL_CLASS",$H221,$I221)))</f>
        <v/>
      </c>
      <c r="AD221" t="str">
        <f>IF($A221="","",IF(Allocation!$N$4="VOL_EFF",$L221,IF(Allocation!$N$4="VOL_CLASS",$M221,$N221)))</f>
        <v/>
      </c>
      <c r="AE221" t="str">
        <f>IF($A221="","",IF(Allocation!$N$3="VOL_EFF",$L221,IF(Allocation!$N$3="VOL_CLASS",$M221,$N221)))</f>
        <v/>
      </c>
      <c r="AF221" t="str">
        <f>IF($A221="","",IF(Allocation!$N$3="VOL_EFF",$Q221,IF(Allocation!$N$3="VOL_CLASS",$R221,$S221)))</f>
        <v/>
      </c>
      <c r="AG221" t="str">
        <f>IF($A221="","",IF(Allocation!$N$1="VOL_EFF",$Q221,IF(Allocation!$N$1="VOL_CLASS",$R221,$S221)))</f>
        <v/>
      </c>
      <c r="AH221" t="str">
        <f>IF($A221="","",IF(Allocation!$N$1="VOL_EFF",$T221,IF(Allocation!$N$1="VOL_CLASS",$U221,$V221)))</f>
        <v/>
      </c>
      <c r="AI221" t="str">
        <f t="shared" si="69"/>
        <v/>
      </c>
      <c r="AJ221" t="str">
        <f t="shared" si="70"/>
        <v/>
      </c>
      <c r="AK221" t="str">
        <f t="shared" si="71"/>
        <v/>
      </c>
      <c r="AL221" t="str">
        <f t="shared" si="72"/>
        <v/>
      </c>
      <c r="AM221" t="str">
        <f t="shared" si="73"/>
        <v/>
      </c>
      <c r="AN221" t="str">
        <f t="shared" si="74"/>
        <v/>
      </c>
      <c r="AO221" t="str">
        <f>IF($A221="","",Allocation!CJ221)</f>
        <v/>
      </c>
      <c r="AP221" t="str">
        <f>IF($A221="","",IF(Allocation!$N$2="VOL_EFF",$Q221,IF(Allocation!$N$2="VOL_CLASS",$R221,$S221)))</f>
        <v/>
      </c>
      <c r="AQ221" t="str">
        <f>IF($A221="","",IF(Allocation!$N$2="VOL_EFF",$T221,IF(Allocation!$N$2="VOL_CLASS",$U221,$V221)))</f>
        <v/>
      </c>
      <c r="AR221" t="str">
        <f t="shared" si="75"/>
        <v/>
      </c>
      <c r="AS221" t="str">
        <f>IF($A221="","",$A221&amp;"|"&amp;Allocation!BG221)</f>
        <v/>
      </c>
    </row>
    <row r="222" spans="1:45" x14ac:dyDescent="0.45">
      <c r="A222" t="str">
        <f>IF(Allocation!BI222="","",Allocation!BI222)</f>
        <v/>
      </c>
      <c r="B222" t="str">
        <f>IF(Allocation!BJ222="","",Allocation!BJ222)</f>
        <v/>
      </c>
      <c r="C222" t="str">
        <f>IF(Allocation!BK222="","",Allocation!BK222)</f>
        <v/>
      </c>
      <c r="D222" t="str">
        <f>IF(Allocation!BL222="","",Allocation!BL222)</f>
        <v/>
      </c>
      <c r="E222" t="str">
        <f>IF(Allocation!BM222="","",Allocation!BM222)</f>
        <v/>
      </c>
      <c r="F222" t="str">
        <f>IF(Allocation!BN222="","",Allocation!BN222)</f>
        <v/>
      </c>
      <c r="G222" t="str">
        <f>IF(Allocation!BO222="","",Allocation!BO222)</f>
        <v/>
      </c>
      <c r="H222" t="str">
        <f>IF(Allocation!BP222="","",Allocation!BP222)</f>
        <v/>
      </c>
      <c r="I222" t="str">
        <f>IF(Allocation!BQ222="","",Allocation!BQ222)</f>
        <v/>
      </c>
      <c r="J222" t="str">
        <f>IF(Allocation!CC222="","",Allocation!CC222)</f>
        <v/>
      </c>
      <c r="K222" t="str">
        <f t="shared" si="57"/>
        <v/>
      </c>
      <c r="L222" t="str">
        <f t="shared" si="58"/>
        <v/>
      </c>
      <c r="M222" t="str">
        <f t="shared" si="59"/>
        <v/>
      </c>
      <c r="N222" t="str">
        <f t="shared" si="60"/>
        <v/>
      </c>
      <c r="O222" t="str">
        <f t="shared" si="61"/>
        <v/>
      </c>
      <c r="P222" t="str">
        <f t="shared" si="62"/>
        <v/>
      </c>
      <c r="Q222" t="str">
        <f t="shared" si="63"/>
        <v/>
      </c>
      <c r="R222" t="str">
        <f t="shared" si="64"/>
        <v/>
      </c>
      <c r="S222" t="str">
        <f t="shared" si="65"/>
        <v/>
      </c>
      <c r="T222" t="str">
        <f t="shared" si="66"/>
        <v/>
      </c>
      <c r="U222" t="str">
        <f t="shared" si="67"/>
        <v/>
      </c>
      <c r="V222" t="str">
        <f t="shared" si="68"/>
        <v/>
      </c>
      <c r="W222" t="str">
        <f>IF($A222="","",Allocation!CD222)</f>
        <v/>
      </c>
      <c r="X222" t="str">
        <f>IF($A222="","",Allocation!CE222)</f>
        <v/>
      </c>
      <c r="Y222" t="str">
        <f>IF($A222="","",Allocation!CF222)</f>
        <v/>
      </c>
      <c r="Z222" t="str">
        <f>IF($A222="","",Allocation!CG222)</f>
        <v/>
      </c>
      <c r="AA222" t="str">
        <f>IF($A222="","",Allocation!CH222)</f>
        <v/>
      </c>
      <c r="AB222" t="str">
        <f>IF($A222="","",Allocation!CI222)</f>
        <v/>
      </c>
      <c r="AC222" t="str">
        <f>IF($A222="","",IF(Allocation!$N$4="VOL_EFF",$G222,IF(Allocation!$N$4="VOL_CLASS",$H222,$I222)))</f>
        <v/>
      </c>
      <c r="AD222" t="str">
        <f>IF($A222="","",IF(Allocation!$N$4="VOL_EFF",$L222,IF(Allocation!$N$4="VOL_CLASS",$M222,$N222)))</f>
        <v/>
      </c>
      <c r="AE222" t="str">
        <f>IF($A222="","",IF(Allocation!$N$3="VOL_EFF",$L222,IF(Allocation!$N$3="VOL_CLASS",$M222,$N222)))</f>
        <v/>
      </c>
      <c r="AF222" t="str">
        <f>IF($A222="","",IF(Allocation!$N$3="VOL_EFF",$Q222,IF(Allocation!$N$3="VOL_CLASS",$R222,$S222)))</f>
        <v/>
      </c>
      <c r="AG222" t="str">
        <f>IF($A222="","",IF(Allocation!$N$1="VOL_EFF",$Q222,IF(Allocation!$N$1="VOL_CLASS",$R222,$S222)))</f>
        <v/>
      </c>
      <c r="AH222" t="str">
        <f>IF($A222="","",IF(Allocation!$N$1="VOL_EFF",$T222,IF(Allocation!$N$1="VOL_CLASS",$U222,$V222)))</f>
        <v/>
      </c>
      <c r="AI222" t="str">
        <f t="shared" si="69"/>
        <v/>
      </c>
      <c r="AJ222" t="str">
        <f t="shared" si="70"/>
        <v/>
      </c>
      <c r="AK222" t="str">
        <f t="shared" si="71"/>
        <v/>
      </c>
      <c r="AL222" t="str">
        <f t="shared" si="72"/>
        <v/>
      </c>
      <c r="AM222" t="str">
        <f t="shared" si="73"/>
        <v/>
      </c>
      <c r="AN222" t="str">
        <f t="shared" si="74"/>
        <v/>
      </c>
      <c r="AO222" t="str">
        <f>IF($A222="","",Allocation!CJ222)</f>
        <v/>
      </c>
      <c r="AP222" t="str">
        <f>IF($A222="","",IF(Allocation!$N$2="VOL_EFF",$Q222,IF(Allocation!$N$2="VOL_CLASS",$R222,$S222)))</f>
        <v/>
      </c>
      <c r="AQ222" t="str">
        <f>IF($A222="","",IF(Allocation!$N$2="VOL_EFF",$T222,IF(Allocation!$N$2="VOL_CLASS",$U222,$V222)))</f>
        <v/>
      </c>
      <c r="AR222" t="str">
        <f t="shared" si="75"/>
        <v/>
      </c>
      <c r="AS222" t="str">
        <f>IF($A222="","",$A222&amp;"|"&amp;Allocation!BG222)</f>
        <v/>
      </c>
    </row>
    <row r="223" spans="1:45" x14ac:dyDescent="0.45">
      <c r="A223" t="str">
        <f>IF(Allocation!BI223="","",Allocation!BI223)</f>
        <v/>
      </c>
      <c r="B223" t="str">
        <f>IF(Allocation!BJ223="","",Allocation!BJ223)</f>
        <v/>
      </c>
      <c r="C223" t="str">
        <f>IF(Allocation!BK223="","",Allocation!BK223)</f>
        <v/>
      </c>
      <c r="D223" t="str">
        <f>IF(Allocation!BL223="","",Allocation!BL223)</f>
        <v/>
      </c>
      <c r="E223" t="str">
        <f>IF(Allocation!BM223="","",Allocation!BM223)</f>
        <v/>
      </c>
      <c r="F223" t="str">
        <f>IF(Allocation!BN223="","",Allocation!BN223)</f>
        <v/>
      </c>
      <c r="G223" t="str">
        <f>IF(Allocation!BO223="","",Allocation!BO223)</f>
        <v/>
      </c>
      <c r="H223" t="str">
        <f>IF(Allocation!BP223="","",Allocation!BP223)</f>
        <v/>
      </c>
      <c r="I223" t="str">
        <f>IF(Allocation!BQ223="","",Allocation!BQ223)</f>
        <v/>
      </c>
      <c r="J223" t="str">
        <f>IF(Allocation!CC223="","",Allocation!CC223)</f>
        <v/>
      </c>
      <c r="K223" t="str">
        <f t="shared" si="57"/>
        <v/>
      </c>
      <c r="L223" t="str">
        <f t="shared" si="58"/>
        <v/>
      </c>
      <c r="M223" t="str">
        <f t="shared" si="59"/>
        <v/>
      </c>
      <c r="N223" t="str">
        <f t="shared" si="60"/>
        <v/>
      </c>
      <c r="O223" t="str">
        <f t="shared" si="61"/>
        <v/>
      </c>
      <c r="P223" t="str">
        <f t="shared" si="62"/>
        <v/>
      </c>
      <c r="Q223" t="str">
        <f t="shared" si="63"/>
        <v/>
      </c>
      <c r="R223" t="str">
        <f t="shared" si="64"/>
        <v/>
      </c>
      <c r="S223" t="str">
        <f t="shared" si="65"/>
        <v/>
      </c>
      <c r="T223" t="str">
        <f t="shared" si="66"/>
        <v/>
      </c>
      <c r="U223" t="str">
        <f t="shared" si="67"/>
        <v/>
      </c>
      <c r="V223" t="str">
        <f t="shared" si="68"/>
        <v/>
      </c>
      <c r="W223" t="str">
        <f>IF($A223="","",Allocation!CD223)</f>
        <v/>
      </c>
      <c r="X223" t="str">
        <f>IF($A223="","",Allocation!CE223)</f>
        <v/>
      </c>
      <c r="Y223" t="str">
        <f>IF($A223="","",Allocation!CF223)</f>
        <v/>
      </c>
      <c r="Z223" t="str">
        <f>IF($A223="","",Allocation!CG223)</f>
        <v/>
      </c>
      <c r="AA223" t="str">
        <f>IF($A223="","",Allocation!CH223)</f>
        <v/>
      </c>
      <c r="AB223" t="str">
        <f>IF($A223="","",Allocation!CI223)</f>
        <v/>
      </c>
      <c r="AC223" t="str">
        <f>IF($A223="","",IF(Allocation!$N$4="VOL_EFF",$G223,IF(Allocation!$N$4="VOL_CLASS",$H223,$I223)))</f>
        <v/>
      </c>
      <c r="AD223" t="str">
        <f>IF($A223="","",IF(Allocation!$N$4="VOL_EFF",$L223,IF(Allocation!$N$4="VOL_CLASS",$M223,$N223)))</f>
        <v/>
      </c>
      <c r="AE223" t="str">
        <f>IF($A223="","",IF(Allocation!$N$3="VOL_EFF",$L223,IF(Allocation!$N$3="VOL_CLASS",$M223,$N223)))</f>
        <v/>
      </c>
      <c r="AF223" t="str">
        <f>IF($A223="","",IF(Allocation!$N$3="VOL_EFF",$Q223,IF(Allocation!$N$3="VOL_CLASS",$R223,$S223)))</f>
        <v/>
      </c>
      <c r="AG223" t="str">
        <f>IF($A223="","",IF(Allocation!$N$1="VOL_EFF",$Q223,IF(Allocation!$N$1="VOL_CLASS",$R223,$S223)))</f>
        <v/>
      </c>
      <c r="AH223" t="str">
        <f>IF($A223="","",IF(Allocation!$N$1="VOL_EFF",$T223,IF(Allocation!$N$1="VOL_CLASS",$U223,$V223)))</f>
        <v/>
      </c>
      <c r="AI223" t="str">
        <f t="shared" si="69"/>
        <v/>
      </c>
      <c r="AJ223" t="str">
        <f t="shared" si="70"/>
        <v/>
      </c>
      <c r="AK223" t="str">
        <f t="shared" si="71"/>
        <v/>
      </c>
      <c r="AL223" t="str">
        <f t="shared" si="72"/>
        <v/>
      </c>
      <c r="AM223" t="str">
        <f t="shared" si="73"/>
        <v/>
      </c>
      <c r="AN223" t="str">
        <f t="shared" si="74"/>
        <v/>
      </c>
      <c r="AO223" t="str">
        <f>IF($A223="","",Allocation!CJ223)</f>
        <v/>
      </c>
      <c r="AP223" t="str">
        <f>IF($A223="","",IF(Allocation!$N$2="VOL_EFF",$Q223,IF(Allocation!$N$2="VOL_CLASS",$R223,$S223)))</f>
        <v/>
      </c>
      <c r="AQ223" t="str">
        <f>IF($A223="","",IF(Allocation!$N$2="VOL_EFF",$T223,IF(Allocation!$N$2="VOL_CLASS",$U223,$V223)))</f>
        <v/>
      </c>
      <c r="AR223" t="str">
        <f t="shared" si="75"/>
        <v/>
      </c>
      <c r="AS223" t="str">
        <f>IF($A223="","",$A223&amp;"|"&amp;Allocation!BG223)</f>
        <v/>
      </c>
    </row>
    <row r="224" spans="1:45" x14ac:dyDescent="0.45">
      <c r="A224" t="str">
        <f>IF(Allocation!BI224="","",Allocation!BI224)</f>
        <v/>
      </c>
      <c r="B224" t="str">
        <f>IF(Allocation!BJ224="","",Allocation!BJ224)</f>
        <v/>
      </c>
      <c r="C224" t="str">
        <f>IF(Allocation!BK224="","",Allocation!BK224)</f>
        <v/>
      </c>
      <c r="D224" t="str">
        <f>IF(Allocation!BL224="","",Allocation!BL224)</f>
        <v/>
      </c>
      <c r="E224" t="str">
        <f>IF(Allocation!BM224="","",Allocation!BM224)</f>
        <v/>
      </c>
      <c r="F224" t="str">
        <f>IF(Allocation!BN224="","",Allocation!BN224)</f>
        <v/>
      </c>
      <c r="G224" t="str">
        <f>IF(Allocation!BO224="","",Allocation!BO224)</f>
        <v/>
      </c>
      <c r="H224" t="str">
        <f>IF(Allocation!BP224="","",Allocation!BP224)</f>
        <v/>
      </c>
      <c r="I224" t="str">
        <f>IF(Allocation!BQ224="","",Allocation!BQ224)</f>
        <v/>
      </c>
      <c r="J224" t="str">
        <f>IF(Allocation!CC224="","",Allocation!CC224)</f>
        <v/>
      </c>
      <c r="K224" t="str">
        <f t="shared" si="57"/>
        <v/>
      </c>
      <c r="L224" t="str">
        <f t="shared" si="58"/>
        <v/>
      </c>
      <c r="M224" t="str">
        <f t="shared" si="59"/>
        <v/>
      </c>
      <c r="N224" t="str">
        <f t="shared" si="60"/>
        <v/>
      </c>
      <c r="O224" t="str">
        <f t="shared" si="61"/>
        <v/>
      </c>
      <c r="P224" t="str">
        <f t="shared" si="62"/>
        <v/>
      </c>
      <c r="Q224" t="str">
        <f t="shared" si="63"/>
        <v/>
      </c>
      <c r="R224" t="str">
        <f t="shared" si="64"/>
        <v/>
      </c>
      <c r="S224" t="str">
        <f t="shared" si="65"/>
        <v/>
      </c>
      <c r="T224" t="str">
        <f t="shared" si="66"/>
        <v/>
      </c>
      <c r="U224" t="str">
        <f t="shared" si="67"/>
        <v/>
      </c>
      <c r="V224" t="str">
        <f t="shared" si="68"/>
        <v/>
      </c>
      <c r="W224" t="str">
        <f>IF($A224="","",Allocation!CD224)</f>
        <v/>
      </c>
      <c r="X224" t="str">
        <f>IF($A224="","",Allocation!CE224)</f>
        <v/>
      </c>
      <c r="Y224" t="str">
        <f>IF($A224="","",Allocation!CF224)</f>
        <v/>
      </c>
      <c r="Z224" t="str">
        <f>IF($A224="","",Allocation!CG224)</f>
        <v/>
      </c>
      <c r="AA224" t="str">
        <f>IF($A224="","",Allocation!CH224)</f>
        <v/>
      </c>
      <c r="AB224" t="str">
        <f>IF($A224="","",Allocation!CI224)</f>
        <v/>
      </c>
      <c r="AC224" t="str">
        <f>IF($A224="","",IF(Allocation!$N$4="VOL_EFF",$G224,IF(Allocation!$N$4="VOL_CLASS",$H224,$I224)))</f>
        <v/>
      </c>
      <c r="AD224" t="str">
        <f>IF($A224="","",IF(Allocation!$N$4="VOL_EFF",$L224,IF(Allocation!$N$4="VOL_CLASS",$M224,$N224)))</f>
        <v/>
      </c>
      <c r="AE224" t="str">
        <f>IF($A224="","",IF(Allocation!$N$3="VOL_EFF",$L224,IF(Allocation!$N$3="VOL_CLASS",$M224,$N224)))</f>
        <v/>
      </c>
      <c r="AF224" t="str">
        <f>IF($A224="","",IF(Allocation!$N$3="VOL_EFF",$Q224,IF(Allocation!$N$3="VOL_CLASS",$R224,$S224)))</f>
        <v/>
      </c>
      <c r="AG224" t="str">
        <f>IF($A224="","",IF(Allocation!$N$1="VOL_EFF",$Q224,IF(Allocation!$N$1="VOL_CLASS",$R224,$S224)))</f>
        <v/>
      </c>
      <c r="AH224" t="str">
        <f>IF($A224="","",IF(Allocation!$N$1="VOL_EFF",$T224,IF(Allocation!$N$1="VOL_CLASS",$U224,$V224)))</f>
        <v/>
      </c>
      <c r="AI224" t="str">
        <f t="shared" si="69"/>
        <v/>
      </c>
      <c r="AJ224" t="str">
        <f t="shared" si="70"/>
        <v/>
      </c>
      <c r="AK224" t="str">
        <f t="shared" si="71"/>
        <v/>
      </c>
      <c r="AL224" t="str">
        <f t="shared" si="72"/>
        <v/>
      </c>
      <c r="AM224" t="str">
        <f t="shared" si="73"/>
        <v/>
      </c>
      <c r="AN224" t="str">
        <f t="shared" si="74"/>
        <v/>
      </c>
      <c r="AO224" t="str">
        <f>IF($A224="","",Allocation!CJ224)</f>
        <v/>
      </c>
      <c r="AP224" t="str">
        <f>IF($A224="","",IF(Allocation!$N$2="VOL_EFF",$Q224,IF(Allocation!$N$2="VOL_CLASS",$R224,$S224)))</f>
        <v/>
      </c>
      <c r="AQ224" t="str">
        <f>IF($A224="","",IF(Allocation!$N$2="VOL_EFF",$T224,IF(Allocation!$N$2="VOL_CLASS",$U224,$V224)))</f>
        <v/>
      </c>
      <c r="AR224" t="str">
        <f t="shared" si="75"/>
        <v/>
      </c>
      <c r="AS224" t="str">
        <f>IF($A224="","",$A224&amp;"|"&amp;Allocation!BG224)</f>
        <v/>
      </c>
    </row>
    <row r="225" spans="1:45" x14ac:dyDescent="0.45">
      <c r="A225" t="str">
        <f>IF(Allocation!BI225="","",Allocation!BI225)</f>
        <v/>
      </c>
      <c r="B225" t="str">
        <f>IF(Allocation!BJ225="","",Allocation!BJ225)</f>
        <v/>
      </c>
      <c r="C225" t="str">
        <f>IF(Allocation!BK225="","",Allocation!BK225)</f>
        <v/>
      </c>
      <c r="D225" t="str">
        <f>IF(Allocation!BL225="","",Allocation!BL225)</f>
        <v/>
      </c>
      <c r="E225" t="str">
        <f>IF(Allocation!BM225="","",Allocation!BM225)</f>
        <v/>
      </c>
      <c r="F225" t="str">
        <f>IF(Allocation!BN225="","",Allocation!BN225)</f>
        <v/>
      </c>
      <c r="G225" t="str">
        <f>IF(Allocation!BO225="","",Allocation!BO225)</f>
        <v/>
      </c>
      <c r="H225" t="str">
        <f>IF(Allocation!BP225="","",Allocation!BP225)</f>
        <v/>
      </c>
      <c r="I225" t="str">
        <f>IF(Allocation!BQ225="","",Allocation!BQ225)</f>
        <v/>
      </c>
      <c r="J225" t="str">
        <f>IF(Allocation!CC225="","",Allocation!CC225)</f>
        <v/>
      </c>
      <c r="K225" t="str">
        <f t="shared" si="57"/>
        <v/>
      </c>
      <c r="L225" t="str">
        <f t="shared" si="58"/>
        <v/>
      </c>
      <c r="M225" t="str">
        <f t="shared" si="59"/>
        <v/>
      </c>
      <c r="N225" t="str">
        <f t="shared" si="60"/>
        <v/>
      </c>
      <c r="O225" t="str">
        <f t="shared" si="61"/>
        <v/>
      </c>
      <c r="P225" t="str">
        <f t="shared" si="62"/>
        <v/>
      </c>
      <c r="Q225" t="str">
        <f t="shared" si="63"/>
        <v/>
      </c>
      <c r="R225" t="str">
        <f t="shared" si="64"/>
        <v/>
      </c>
      <c r="S225" t="str">
        <f t="shared" si="65"/>
        <v/>
      </c>
      <c r="T225" t="str">
        <f t="shared" si="66"/>
        <v/>
      </c>
      <c r="U225" t="str">
        <f t="shared" si="67"/>
        <v/>
      </c>
      <c r="V225" t="str">
        <f t="shared" si="68"/>
        <v/>
      </c>
      <c r="W225" t="str">
        <f>IF($A225="","",Allocation!CD225)</f>
        <v/>
      </c>
      <c r="X225" t="str">
        <f>IF($A225="","",Allocation!CE225)</f>
        <v/>
      </c>
      <c r="Y225" t="str">
        <f>IF($A225="","",Allocation!CF225)</f>
        <v/>
      </c>
      <c r="Z225" t="str">
        <f>IF($A225="","",Allocation!CG225)</f>
        <v/>
      </c>
      <c r="AA225" t="str">
        <f>IF($A225="","",Allocation!CH225)</f>
        <v/>
      </c>
      <c r="AB225" t="str">
        <f>IF($A225="","",Allocation!CI225)</f>
        <v/>
      </c>
      <c r="AC225" t="str">
        <f>IF($A225="","",IF(Allocation!$N$4="VOL_EFF",$G225,IF(Allocation!$N$4="VOL_CLASS",$H225,$I225)))</f>
        <v/>
      </c>
      <c r="AD225" t="str">
        <f>IF($A225="","",IF(Allocation!$N$4="VOL_EFF",$L225,IF(Allocation!$N$4="VOL_CLASS",$M225,$N225)))</f>
        <v/>
      </c>
      <c r="AE225" t="str">
        <f>IF($A225="","",IF(Allocation!$N$3="VOL_EFF",$L225,IF(Allocation!$N$3="VOL_CLASS",$M225,$N225)))</f>
        <v/>
      </c>
      <c r="AF225" t="str">
        <f>IF($A225="","",IF(Allocation!$N$3="VOL_EFF",$Q225,IF(Allocation!$N$3="VOL_CLASS",$R225,$S225)))</f>
        <v/>
      </c>
      <c r="AG225" t="str">
        <f>IF($A225="","",IF(Allocation!$N$1="VOL_EFF",$Q225,IF(Allocation!$N$1="VOL_CLASS",$R225,$S225)))</f>
        <v/>
      </c>
      <c r="AH225" t="str">
        <f>IF($A225="","",IF(Allocation!$N$1="VOL_EFF",$T225,IF(Allocation!$N$1="VOL_CLASS",$U225,$V225)))</f>
        <v/>
      </c>
      <c r="AI225" t="str">
        <f t="shared" si="69"/>
        <v/>
      </c>
      <c r="AJ225" t="str">
        <f t="shared" si="70"/>
        <v/>
      </c>
      <c r="AK225" t="str">
        <f t="shared" si="71"/>
        <v/>
      </c>
      <c r="AL225" t="str">
        <f t="shared" si="72"/>
        <v/>
      </c>
      <c r="AM225" t="str">
        <f t="shared" si="73"/>
        <v/>
      </c>
      <c r="AN225" t="str">
        <f t="shared" si="74"/>
        <v/>
      </c>
      <c r="AO225" t="str">
        <f>IF($A225="","",Allocation!CJ225)</f>
        <v/>
      </c>
      <c r="AP225" t="str">
        <f>IF($A225="","",IF(Allocation!$N$2="VOL_EFF",$Q225,IF(Allocation!$N$2="VOL_CLASS",$R225,$S225)))</f>
        <v/>
      </c>
      <c r="AQ225" t="str">
        <f>IF($A225="","",IF(Allocation!$N$2="VOL_EFF",$T225,IF(Allocation!$N$2="VOL_CLASS",$U225,$V225)))</f>
        <v/>
      </c>
      <c r="AR225" t="str">
        <f t="shared" si="75"/>
        <v/>
      </c>
      <c r="AS225" t="str">
        <f>IF($A225="","",$A225&amp;"|"&amp;Allocation!BG225)</f>
        <v/>
      </c>
    </row>
    <row r="226" spans="1:45" x14ac:dyDescent="0.45">
      <c r="A226" t="str">
        <f>IF(Allocation!BI226="","",Allocation!BI226)</f>
        <v/>
      </c>
      <c r="B226" t="str">
        <f>IF(Allocation!BJ226="","",Allocation!BJ226)</f>
        <v/>
      </c>
      <c r="C226" t="str">
        <f>IF(Allocation!BK226="","",Allocation!BK226)</f>
        <v/>
      </c>
      <c r="D226" t="str">
        <f>IF(Allocation!BL226="","",Allocation!BL226)</f>
        <v/>
      </c>
      <c r="E226" t="str">
        <f>IF(Allocation!BM226="","",Allocation!BM226)</f>
        <v/>
      </c>
      <c r="F226" t="str">
        <f>IF(Allocation!BN226="","",Allocation!BN226)</f>
        <v/>
      </c>
      <c r="G226" t="str">
        <f>IF(Allocation!BO226="","",Allocation!BO226)</f>
        <v/>
      </c>
      <c r="H226" t="str">
        <f>IF(Allocation!BP226="","",Allocation!BP226)</f>
        <v/>
      </c>
      <c r="I226" t="str">
        <f>IF(Allocation!BQ226="","",Allocation!BQ226)</f>
        <v/>
      </c>
      <c r="J226" t="str">
        <f>IF(Allocation!CC226="","",Allocation!CC226)</f>
        <v/>
      </c>
      <c r="K226" t="str">
        <f t="shared" si="57"/>
        <v/>
      </c>
      <c r="L226" t="str">
        <f t="shared" si="58"/>
        <v/>
      </c>
      <c r="M226" t="str">
        <f t="shared" si="59"/>
        <v/>
      </c>
      <c r="N226" t="str">
        <f t="shared" si="60"/>
        <v/>
      </c>
      <c r="O226" t="str">
        <f t="shared" si="61"/>
        <v/>
      </c>
      <c r="P226" t="str">
        <f t="shared" si="62"/>
        <v/>
      </c>
      <c r="Q226" t="str">
        <f t="shared" si="63"/>
        <v/>
      </c>
      <c r="R226" t="str">
        <f t="shared" si="64"/>
        <v/>
      </c>
      <c r="S226" t="str">
        <f t="shared" si="65"/>
        <v/>
      </c>
      <c r="T226" t="str">
        <f t="shared" si="66"/>
        <v/>
      </c>
      <c r="U226" t="str">
        <f t="shared" si="67"/>
        <v/>
      </c>
      <c r="V226" t="str">
        <f t="shared" si="68"/>
        <v/>
      </c>
      <c r="W226" t="str">
        <f>IF($A226="","",Allocation!CD226)</f>
        <v/>
      </c>
      <c r="X226" t="str">
        <f>IF($A226="","",Allocation!CE226)</f>
        <v/>
      </c>
      <c r="Y226" t="str">
        <f>IF($A226="","",Allocation!CF226)</f>
        <v/>
      </c>
      <c r="Z226" t="str">
        <f>IF($A226="","",Allocation!CG226)</f>
        <v/>
      </c>
      <c r="AA226" t="str">
        <f>IF($A226="","",Allocation!CH226)</f>
        <v/>
      </c>
      <c r="AB226" t="str">
        <f>IF($A226="","",Allocation!CI226)</f>
        <v/>
      </c>
      <c r="AC226" t="str">
        <f>IF($A226="","",IF(Allocation!$N$4="VOL_EFF",$G226,IF(Allocation!$N$4="VOL_CLASS",$H226,$I226)))</f>
        <v/>
      </c>
      <c r="AD226" t="str">
        <f>IF($A226="","",IF(Allocation!$N$4="VOL_EFF",$L226,IF(Allocation!$N$4="VOL_CLASS",$M226,$N226)))</f>
        <v/>
      </c>
      <c r="AE226" t="str">
        <f>IF($A226="","",IF(Allocation!$N$3="VOL_EFF",$L226,IF(Allocation!$N$3="VOL_CLASS",$M226,$N226)))</f>
        <v/>
      </c>
      <c r="AF226" t="str">
        <f>IF($A226="","",IF(Allocation!$N$3="VOL_EFF",$Q226,IF(Allocation!$N$3="VOL_CLASS",$R226,$S226)))</f>
        <v/>
      </c>
      <c r="AG226" t="str">
        <f>IF($A226="","",IF(Allocation!$N$1="VOL_EFF",$Q226,IF(Allocation!$N$1="VOL_CLASS",$R226,$S226)))</f>
        <v/>
      </c>
      <c r="AH226" t="str">
        <f>IF($A226="","",IF(Allocation!$N$1="VOL_EFF",$T226,IF(Allocation!$N$1="VOL_CLASS",$U226,$V226)))</f>
        <v/>
      </c>
      <c r="AI226" t="str">
        <f t="shared" si="69"/>
        <v/>
      </c>
      <c r="AJ226" t="str">
        <f t="shared" si="70"/>
        <v/>
      </c>
      <c r="AK226" t="str">
        <f t="shared" si="71"/>
        <v/>
      </c>
      <c r="AL226" t="str">
        <f t="shared" si="72"/>
        <v/>
      </c>
      <c r="AM226" t="str">
        <f t="shared" si="73"/>
        <v/>
      </c>
      <c r="AN226" t="str">
        <f t="shared" si="74"/>
        <v/>
      </c>
      <c r="AO226" t="str">
        <f>IF($A226="","",Allocation!CJ226)</f>
        <v/>
      </c>
      <c r="AP226" t="str">
        <f>IF($A226="","",IF(Allocation!$N$2="VOL_EFF",$Q226,IF(Allocation!$N$2="VOL_CLASS",$R226,$S226)))</f>
        <v/>
      </c>
      <c r="AQ226" t="str">
        <f>IF($A226="","",IF(Allocation!$N$2="VOL_EFF",$T226,IF(Allocation!$N$2="VOL_CLASS",$U226,$V226)))</f>
        <v/>
      </c>
      <c r="AR226" t="str">
        <f t="shared" si="75"/>
        <v/>
      </c>
      <c r="AS226" t="str">
        <f>IF($A226="","",$A226&amp;"|"&amp;Allocation!BG226)</f>
        <v/>
      </c>
    </row>
    <row r="227" spans="1:45" x14ac:dyDescent="0.45">
      <c r="A227" t="str">
        <f>IF(Allocation!BI227="","",Allocation!BI227)</f>
        <v/>
      </c>
      <c r="B227" t="str">
        <f>IF(Allocation!BJ227="","",Allocation!BJ227)</f>
        <v/>
      </c>
      <c r="C227" t="str">
        <f>IF(Allocation!BK227="","",Allocation!BK227)</f>
        <v/>
      </c>
      <c r="D227" t="str">
        <f>IF(Allocation!BL227="","",Allocation!BL227)</f>
        <v/>
      </c>
      <c r="E227" t="str">
        <f>IF(Allocation!BM227="","",Allocation!BM227)</f>
        <v/>
      </c>
      <c r="F227" t="str">
        <f>IF(Allocation!BN227="","",Allocation!BN227)</f>
        <v/>
      </c>
      <c r="G227" t="str">
        <f>IF(Allocation!BO227="","",Allocation!BO227)</f>
        <v/>
      </c>
      <c r="H227" t="str">
        <f>IF(Allocation!BP227="","",Allocation!BP227)</f>
        <v/>
      </c>
      <c r="I227" t="str">
        <f>IF(Allocation!BQ227="","",Allocation!BQ227)</f>
        <v/>
      </c>
      <c r="J227" t="str">
        <f>IF(Allocation!CC227="","",Allocation!CC227)</f>
        <v/>
      </c>
      <c r="K227" t="str">
        <f t="shared" si="57"/>
        <v/>
      </c>
      <c r="L227" t="str">
        <f t="shared" si="58"/>
        <v/>
      </c>
      <c r="M227" t="str">
        <f t="shared" si="59"/>
        <v/>
      </c>
      <c r="N227" t="str">
        <f t="shared" si="60"/>
        <v/>
      </c>
      <c r="O227" t="str">
        <f t="shared" si="61"/>
        <v/>
      </c>
      <c r="P227" t="str">
        <f t="shared" si="62"/>
        <v/>
      </c>
      <c r="Q227" t="str">
        <f t="shared" si="63"/>
        <v/>
      </c>
      <c r="R227" t="str">
        <f t="shared" si="64"/>
        <v/>
      </c>
      <c r="S227" t="str">
        <f t="shared" si="65"/>
        <v/>
      </c>
      <c r="T227" t="str">
        <f t="shared" si="66"/>
        <v/>
      </c>
      <c r="U227" t="str">
        <f t="shared" si="67"/>
        <v/>
      </c>
      <c r="V227" t="str">
        <f t="shared" si="68"/>
        <v/>
      </c>
      <c r="W227" t="str">
        <f>IF($A227="","",Allocation!CD227)</f>
        <v/>
      </c>
      <c r="X227" t="str">
        <f>IF($A227="","",Allocation!CE227)</f>
        <v/>
      </c>
      <c r="Y227" t="str">
        <f>IF($A227="","",Allocation!CF227)</f>
        <v/>
      </c>
      <c r="Z227" t="str">
        <f>IF($A227="","",Allocation!CG227)</f>
        <v/>
      </c>
      <c r="AA227" t="str">
        <f>IF($A227="","",Allocation!CH227)</f>
        <v/>
      </c>
      <c r="AB227" t="str">
        <f>IF($A227="","",Allocation!CI227)</f>
        <v/>
      </c>
      <c r="AC227" t="str">
        <f>IF($A227="","",IF(Allocation!$N$4="VOL_EFF",$G227,IF(Allocation!$N$4="VOL_CLASS",$H227,$I227)))</f>
        <v/>
      </c>
      <c r="AD227" t="str">
        <f>IF($A227="","",IF(Allocation!$N$4="VOL_EFF",$L227,IF(Allocation!$N$4="VOL_CLASS",$M227,$N227)))</f>
        <v/>
      </c>
      <c r="AE227" t="str">
        <f>IF($A227="","",IF(Allocation!$N$3="VOL_EFF",$L227,IF(Allocation!$N$3="VOL_CLASS",$M227,$N227)))</f>
        <v/>
      </c>
      <c r="AF227" t="str">
        <f>IF($A227="","",IF(Allocation!$N$3="VOL_EFF",$Q227,IF(Allocation!$N$3="VOL_CLASS",$R227,$S227)))</f>
        <v/>
      </c>
      <c r="AG227" t="str">
        <f>IF($A227="","",IF(Allocation!$N$1="VOL_EFF",$Q227,IF(Allocation!$N$1="VOL_CLASS",$R227,$S227)))</f>
        <v/>
      </c>
      <c r="AH227" t="str">
        <f>IF($A227="","",IF(Allocation!$N$1="VOL_EFF",$T227,IF(Allocation!$N$1="VOL_CLASS",$U227,$V227)))</f>
        <v/>
      </c>
      <c r="AI227" t="str">
        <f t="shared" si="69"/>
        <v/>
      </c>
      <c r="AJ227" t="str">
        <f t="shared" si="70"/>
        <v/>
      </c>
      <c r="AK227" t="str">
        <f t="shared" si="71"/>
        <v/>
      </c>
      <c r="AL227" t="str">
        <f t="shared" si="72"/>
        <v/>
      </c>
      <c r="AM227" t="str">
        <f t="shared" si="73"/>
        <v/>
      </c>
      <c r="AN227" t="str">
        <f t="shared" si="74"/>
        <v/>
      </c>
      <c r="AO227" t="str">
        <f>IF($A227="","",Allocation!CJ227)</f>
        <v/>
      </c>
      <c r="AP227" t="str">
        <f>IF($A227="","",IF(Allocation!$N$2="VOL_EFF",$Q227,IF(Allocation!$N$2="VOL_CLASS",$R227,$S227)))</f>
        <v/>
      </c>
      <c r="AQ227" t="str">
        <f>IF($A227="","",IF(Allocation!$N$2="VOL_EFF",$T227,IF(Allocation!$N$2="VOL_CLASS",$U227,$V227)))</f>
        <v/>
      </c>
      <c r="AR227" t="str">
        <f t="shared" si="75"/>
        <v/>
      </c>
      <c r="AS227" t="str">
        <f>IF($A227="","",$A227&amp;"|"&amp;Allocation!BG227)</f>
        <v/>
      </c>
    </row>
    <row r="228" spans="1:45" x14ac:dyDescent="0.45">
      <c r="A228" t="str">
        <f>IF(Allocation!BI228="","",Allocation!BI228)</f>
        <v/>
      </c>
      <c r="B228" t="str">
        <f>IF(Allocation!BJ228="","",Allocation!BJ228)</f>
        <v/>
      </c>
      <c r="C228" t="str">
        <f>IF(Allocation!BK228="","",Allocation!BK228)</f>
        <v/>
      </c>
      <c r="D228" t="str">
        <f>IF(Allocation!BL228="","",Allocation!BL228)</f>
        <v/>
      </c>
      <c r="E228" t="str">
        <f>IF(Allocation!BM228="","",Allocation!BM228)</f>
        <v/>
      </c>
      <c r="F228" t="str">
        <f>IF(Allocation!BN228="","",Allocation!BN228)</f>
        <v/>
      </c>
      <c r="G228" t="str">
        <f>IF(Allocation!BO228="","",Allocation!BO228)</f>
        <v/>
      </c>
      <c r="H228" t="str">
        <f>IF(Allocation!BP228="","",Allocation!BP228)</f>
        <v/>
      </c>
      <c r="I228" t="str">
        <f>IF(Allocation!BQ228="","",Allocation!BQ228)</f>
        <v/>
      </c>
      <c r="J228" t="str">
        <f>IF(Allocation!CC228="","",Allocation!CC228)</f>
        <v/>
      </c>
      <c r="K228" t="str">
        <f t="shared" si="57"/>
        <v/>
      </c>
      <c r="L228" t="str">
        <f t="shared" si="58"/>
        <v/>
      </c>
      <c r="M228" t="str">
        <f t="shared" si="59"/>
        <v/>
      </c>
      <c r="N228" t="str">
        <f t="shared" si="60"/>
        <v/>
      </c>
      <c r="O228" t="str">
        <f t="shared" si="61"/>
        <v/>
      </c>
      <c r="P228" t="str">
        <f t="shared" si="62"/>
        <v/>
      </c>
      <c r="Q228" t="str">
        <f t="shared" si="63"/>
        <v/>
      </c>
      <c r="R228" t="str">
        <f t="shared" si="64"/>
        <v/>
      </c>
      <c r="S228" t="str">
        <f t="shared" si="65"/>
        <v/>
      </c>
      <c r="T228" t="str">
        <f t="shared" si="66"/>
        <v/>
      </c>
      <c r="U228" t="str">
        <f t="shared" si="67"/>
        <v/>
      </c>
      <c r="V228" t="str">
        <f t="shared" si="68"/>
        <v/>
      </c>
      <c r="W228" t="str">
        <f>IF($A228="","",Allocation!CD228)</f>
        <v/>
      </c>
      <c r="X228" t="str">
        <f>IF($A228="","",Allocation!CE228)</f>
        <v/>
      </c>
      <c r="Y228" t="str">
        <f>IF($A228="","",Allocation!CF228)</f>
        <v/>
      </c>
      <c r="Z228" t="str">
        <f>IF($A228="","",Allocation!CG228)</f>
        <v/>
      </c>
      <c r="AA228" t="str">
        <f>IF($A228="","",Allocation!CH228)</f>
        <v/>
      </c>
      <c r="AB228" t="str">
        <f>IF($A228="","",Allocation!CI228)</f>
        <v/>
      </c>
      <c r="AC228" t="str">
        <f>IF($A228="","",IF(Allocation!$N$4="VOL_EFF",$G228,IF(Allocation!$N$4="VOL_CLASS",$H228,$I228)))</f>
        <v/>
      </c>
      <c r="AD228" t="str">
        <f>IF($A228="","",IF(Allocation!$N$4="VOL_EFF",$L228,IF(Allocation!$N$4="VOL_CLASS",$M228,$N228)))</f>
        <v/>
      </c>
      <c r="AE228" t="str">
        <f>IF($A228="","",IF(Allocation!$N$3="VOL_EFF",$L228,IF(Allocation!$N$3="VOL_CLASS",$M228,$N228)))</f>
        <v/>
      </c>
      <c r="AF228" t="str">
        <f>IF($A228="","",IF(Allocation!$N$3="VOL_EFF",$Q228,IF(Allocation!$N$3="VOL_CLASS",$R228,$S228)))</f>
        <v/>
      </c>
      <c r="AG228" t="str">
        <f>IF($A228="","",IF(Allocation!$N$1="VOL_EFF",$Q228,IF(Allocation!$N$1="VOL_CLASS",$R228,$S228)))</f>
        <v/>
      </c>
      <c r="AH228" t="str">
        <f>IF($A228="","",IF(Allocation!$N$1="VOL_EFF",$T228,IF(Allocation!$N$1="VOL_CLASS",$U228,$V228)))</f>
        <v/>
      </c>
      <c r="AI228" t="str">
        <f t="shared" si="69"/>
        <v/>
      </c>
      <c r="AJ228" t="str">
        <f t="shared" si="70"/>
        <v/>
      </c>
      <c r="AK228" t="str">
        <f t="shared" si="71"/>
        <v/>
      </c>
      <c r="AL228" t="str">
        <f t="shared" si="72"/>
        <v/>
      </c>
      <c r="AM228" t="str">
        <f t="shared" si="73"/>
        <v/>
      </c>
      <c r="AN228" t="str">
        <f t="shared" si="74"/>
        <v/>
      </c>
      <c r="AO228" t="str">
        <f>IF($A228="","",Allocation!CJ228)</f>
        <v/>
      </c>
      <c r="AP228" t="str">
        <f>IF($A228="","",IF(Allocation!$N$2="VOL_EFF",$Q228,IF(Allocation!$N$2="VOL_CLASS",$R228,$S228)))</f>
        <v/>
      </c>
      <c r="AQ228" t="str">
        <f>IF($A228="","",IF(Allocation!$N$2="VOL_EFF",$T228,IF(Allocation!$N$2="VOL_CLASS",$U228,$V228)))</f>
        <v/>
      </c>
      <c r="AR228" t="str">
        <f t="shared" si="75"/>
        <v/>
      </c>
      <c r="AS228" t="str">
        <f>IF($A228="","",$A228&amp;"|"&amp;Allocation!BG228)</f>
        <v/>
      </c>
    </row>
    <row r="229" spans="1:45" x14ac:dyDescent="0.45">
      <c r="A229" t="str">
        <f>IF(Allocation!BI229="","",Allocation!BI229)</f>
        <v/>
      </c>
      <c r="B229" t="str">
        <f>IF(Allocation!BJ229="","",Allocation!BJ229)</f>
        <v/>
      </c>
      <c r="C229" t="str">
        <f>IF(Allocation!BK229="","",Allocation!BK229)</f>
        <v/>
      </c>
      <c r="D229" t="str">
        <f>IF(Allocation!BL229="","",Allocation!BL229)</f>
        <v/>
      </c>
      <c r="E229" t="str">
        <f>IF(Allocation!BM229="","",Allocation!BM229)</f>
        <v/>
      </c>
      <c r="F229" t="str">
        <f>IF(Allocation!BN229="","",Allocation!BN229)</f>
        <v/>
      </c>
      <c r="G229" t="str">
        <f>IF(Allocation!BO229="","",Allocation!BO229)</f>
        <v/>
      </c>
      <c r="H229" t="str">
        <f>IF(Allocation!BP229="","",Allocation!BP229)</f>
        <v/>
      </c>
      <c r="I229" t="str">
        <f>IF(Allocation!BQ229="","",Allocation!BQ229)</f>
        <v/>
      </c>
      <c r="J229" t="str">
        <f>IF(Allocation!CC229="","",Allocation!CC229)</f>
        <v/>
      </c>
      <c r="K229" t="str">
        <f t="shared" si="57"/>
        <v/>
      </c>
      <c r="L229" t="str">
        <f t="shared" si="58"/>
        <v/>
      </c>
      <c r="M229" t="str">
        <f t="shared" si="59"/>
        <v/>
      </c>
      <c r="N229" t="str">
        <f t="shared" si="60"/>
        <v/>
      </c>
      <c r="O229" t="str">
        <f t="shared" si="61"/>
        <v/>
      </c>
      <c r="P229" t="str">
        <f t="shared" si="62"/>
        <v/>
      </c>
      <c r="Q229" t="str">
        <f t="shared" si="63"/>
        <v/>
      </c>
      <c r="R229" t="str">
        <f t="shared" si="64"/>
        <v/>
      </c>
      <c r="S229" t="str">
        <f t="shared" si="65"/>
        <v/>
      </c>
      <c r="T229" t="str">
        <f t="shared" si="66"/>
        <v/>
      </c>
      <c r="U229" t="str">
        <f t="shared" si="67"/>
        <v/>
      </c>
      <c r="V229" t="str">
        <f t="shared" si="68"/>
        <v/>
      </c>
      <c r="W229" t="str">
        <f>IF($A229="","",Allocation!CD229)</f>
        <v/>
      </c>
      <c r="X229" t="str">
        <f>IF($A229="","",Allocation!CE229)</f>
        <v/>
      </c>
      <c r="Y229" t="str">
        <f>IF($A229="","",Allocation!CF229)</f>
        <v/>
      </c>
      <c r="Z229" t="str">
        <f>IF($A229="","",Allocation!CG229)</f>
        <v/>
      </c>
      <c r="AA229" t="str">
        <f>IF($A229="","",Allocation!CH229)</f>
        <v/>
      </c>
      <c r="AB229" t="str">
        <f>IF($A229="","",Allocation!CI229)</f>
        <v/>
      </c>
      <c r="AC229" t="str">
        <f>IF($A229="","",IF(Allocation!$N$4="VOL_EFF",$G229,IF(Allocation!$N$4="VOL_CLASS",$H229,$I229)))</f>
        <v/>
      </c>
      <c r="AD229" t="str">
        <f>IF($A229="","",IF(Allocation!$N$4="VOL_EFF",$L229,IF(Allocation!$N$4="VOL_CLASS",$M229,$N229)))</f>
        <v/>
      </c>
      <c r="AE229" t="str">
        <f>IF($A229="","",IF(Allocation!$N$3="VOL_EFF",$L229,IF(Allocation!$N$3="VOL_CLASS",$M229,$N229)))</f>
        <v/>
      </c>
      <c r="AF229" t="str">
        <f>IF($A229="","",IF(Allocation!$N$3="VOL_EFF",$Q229,IF(Allocation!$N$3="VOL_CLASS",$R229,$S229)))</f>
        <v/>
      </c>
      <c r="AG229" t="str">
        <f>IF($A229="","",IF(Allocation!$N$1="VOL_EFF",$Q229,IF(Allocation!$N$1="VOL_CLASS",$R229,$S229)))</f>
        <v/>
      </c>
      <c r="AH229" t="str">
        <f>IF($A229="","",IF(Allocation!$N$1="VOL_EFF",$T229,IF(Allocation!$N$1="VOL_CLASS",$U229,$V229)))</f>
        <v/>
      </c>
      <c r="AI229" t="str">
        <f t="shared" si="69"/>
        <v/>
      </c>
      <c r="AJ229" t="str">
        <f t="shared" si="70"/>
        <v/>
      </c>
      <c r="AK229" t="str">
        <f t="shared" si="71"/>
        <v/>
      </c>
      <c r="AL229" t="str">
        <f t="shared" si="72"/>
        <v/>
      </c>
      <c r="AM229" t="str">
        <f t="shared" si="73"/>
        <v/>
      </c>
      <c r="AN229" t="str">
        <f t="shared" si="74"/>
        <v/>
      </c>
      <c r="AO229" t="str">
        <f>IF($A229="","",Allocation!CJ229)</f>
        <v/>
      </c>
      <c r="AP229" t="str">
        <f>IF($A229="","",IF(Allocation!$N$2="VOL_EFF",$Q229,IF(Allocation!$N$2="VOL_CLASS",$R229,$S229)))</f>
        <v/>
      </c>
      <c r="AQ229" t="str">
        <f>IF($A229="","",IF(Allocation!$N$2="VOL_EFF",$T229,IF(Allocation!$N$2="VOL_CLASS",$U229,$V229)))</f>
        <v/>
      </c>
      <c r="AR229" t="str">
        <f t="shared" si="75"/>
        <v/>
      </c>
      <c r="AS229" t="str">
        <f>IF($A229="","",$A229&amp;"|"&amp;Allocation!BG229)</f>
        <v/>
      </c>
    </row>
    <row r="230" spans="1:45" x14ac:dyDescent="0.45">
      <c r="A230" t="str">
        <f>IF(Allocation!BI230="","",Allocation!BI230)</f>
        <v/>
      </c>
      <c r="B230" t="str">
        <f>IF(Allocation!BJ230="","",Allocation!BJ230)</f>
        <v/>
      </c>
      <c r="C230" t="str">
        <f>IF(Allocation!BK230="","",Allocation!BK230)</f>
        <v/>
      </c>
      <c r="D230" t="str">
        <f>IF(Allocation!BL230="","",Allocation!BL230)</f>
        <v/>
      </c>
      <c r="E230" t="str">
        <f>IF(Allocation!BM230="","",Allocation!BM230)</f>
        <v/>
      </c>
      <c r="F230" t="str">
        <f>IF(Allocation!BN230="","",Allocation!BN230)</f>
        <v/>
      </c>
      <c r="G230" t="str">
        <f>IF(Allocation!BO230="","",Allocation!BO230)</f>
        <v/>
      </c>
      <c r="H230" t="str">
        <f>IF(Allocation!BP230="","",Allocation!BP230)</f>
        <v/>
      </c>
      <c r="I230" t="str">
        <f>IF(Allocation!BQ230="","",Allocation!BQ230)</f>
        <v/>
      </c>
      <c r="J230" t="str">
        <f>IF(Allocation!CC230="","",Allocation!CC230)</f>
        <v/>
      </c>
      <c r="K230" t="str">
        <f t="shared" si="57"/>
        <v/>
      </c>
      <c r="L230" t="str">
        <f t="shared" si="58"/>
        <v/>
      </c>
      <c r="M230" t="str">
        <f t="shared" si="59"/>
        <v/>
      </c>
      <c r="N230" t="str">
        <f t="shared" si="60"/>
        <v/>
      </c>
      <c r="O230" t="str">
        <f t="shared" si="61"/>
        <v/>
      </c>
      <c r="P230" t="str">
        <f t="shared" si="62"/>
        <v/>
      </c>
      <c r="Q230" t="str">
        <f t="shared" si="63"/>
        <v/>
      </c>
      <c r="R230" t="str">
        <f t="shared" si="64"/>
        <v/>
      </c>
      <c r="S230" t="str">
        <f t="shared" si="65"/>
        <v/>
      </c>
      <c r="T230" t="str">
        <f t="shared" si="66"/>
        <v/>
      </c>
      <c r="U230" t="str">
        <f t="shared" si="67"/>
        <v/>
      </c>
      <c r="V230" t="str">
        <f t="shared" si="68"/>
        <v/>
      </c>
      <c r="W230" t="str">
        <f>IF($A230="","",Allocation!CD230)</f>
        <v/>
      </c>
      <c r="X230" t="str">
        <f>IF($A230="","",Allocation!CE230)</f>
        <v/>
      </c>
      <c r="Y230" t="str">
        <f>IF($A230="","",Allocation!CF230)</f>
        <v/>
      </c>
      <c r="Z230" t="str">
        <f>IF($A230="","",Allocation!CG230)</f>
        <v/>
      </c>
      <c r="AA230" t="str">
        <f>IF($A230="","",Allocation!CH230)</f>
        <v/>
      </c>
      <c r="AB230" t="str">
        <f>IF($A230="","",Allocation!CI230)</f>
        <v/>
      </c>
      <c r="AC230" t="str">
        <f>IF($A230="","",IF(Allocation!$N$4="VOL_EFF",$G230,IF(Allocation!$N$4="VOL_CLASS",$H230,$I230)))</f>
        <v/>
      </c>
      <c r="AD230" t="str">
        <f>IF($A230="","",IF(Allocation!$N$4="VOL_EFF",$L230,IF(Allocation!$N$4="VOL_CLASS",$M230,$N230)))</f>
        <v/>
      </c>
      <c r="AE230" t="str">
        <f>IF($A230="","",IF(Allocation!$N$3="VOL_EFF",$L230,IF(Allocation!$N$3="VOL_CLASS",$M230,$N230)))</f>
        <v/>
      </c>
      <c r="AF230" t="str">
        <f>IF($A230="","",IF(Allocation!$N$3="VOL_EFF",$Q230,IF(Allocation!$N$3="VOL_CLASS",$R230,$S230)))</f>
        <v/>
      </c>
      <c r="AG230" t="str">
        <f>IF($A230="","",IF(Allocation!$N$1="VOL_EFF",$Q230,IF(Allocation!$N$1="VOL_CLASS",$R230,$S230)))</f>
        <v/>
      </c>
      <c r="AH230" t="str">
        <f>IF($A230="","",IF(Allocation!$N$1="VOL_EFF",$T230,IF(Allocation!$N$1="VOL_CLASS",$U230,$V230)))</f>
        <v/>
      </c>
      <c r="AI230" t="str">
        <f t="shared" si="69"/>
        <v/>
      </c>
      <c r="AJ230" t="str">
        <f t="shared" si="70"/>
        <v/>
      </c>
      <c r="AK230" t="str">
        <f t="shared" si="71"/>
        <v/>
      </c>
      <c r="AL230" t="str">
        <f t="shared" si="72"/>
        <v/>
      </c>
      <c r="AM230" t="str">
        <f t="shared" si="73"/>
        <v/>
      </c>
      <c r="AN230" t="str">
        <f t="shared" si="74"/>
        <v/>
      </c>
      <c r="AO230" t="str">
        <f>IF($A230="","",Allocation!CJ230)</f>
        <v/>
      </c>
      <c r="AP230" t="str">
        <f>IF($A230="","",IF(Allocation!$N$2="VOL_EFF",$Q230,IF(Allocation!$N$2="VOL_CLASS",$R230,$S230)))</f>
        <v/>
      </c>
      <c r="AQ230" t="str">
        <f>IF($A230="","",IF(Allocation!$N$2="VOL_EFF",$T230,IF(Allocation!$N$2="VOL_CLASS",$U230,$V230)))</f>
        <v/>
      </c>
      <c r="AR230" t="str">
        <f t="shared" si="75"/>
        <v/>
      </c>
      <c r="AS230" t="str">
        <f>IF($A230="","",$A230&amp;"|"&amp;Allocation!BG230)</f>
        <v/>
      </c>
    </row>
    <row r="231" spans="1:45" x14ac:dyDescent="0.45">
      <c r="A231" t="str">
        <f>IF(Allocation!BI231="","",Allocation!BI231)</f>
        <v/>
      </c>
      <c r="B231" t="str">
        <f>IF(Allocation!BJ231="","",Allocation!BJ231)</f>
        <v/>
      </c>
      <c r="C231" t="str">
        <f>IF(Allocation!BK231="","",Allocation!BK231)</f>
        <v/>
      </c>
      <c r="D231" t="str">
        <f>IF(Allocation!BL231="","",Allocation!BL231)</f>
        <v/>
      </c>
      <c r="E231" t="str">
        <f>IF(Allocation!BM231="","",Allocation!BM231)</f>
        <v/>
      </c>
      <c r="F231" t="str">
        <f>IF(Allocation!BN231="","",Allocation!BN231)</f>
        <v/>
      </c>
      <c r="G231" t="str">
        <f>IF(Allocation!BO231="","",Allocation!BO231)</f>
        <v/>
      </c>
      <c r="H231" t="str">
        <f>IF(Allocation!BP231="","",Allocation!BP231)</f>
        <v/>
      </c>
      <c r="I231" t="str">
        <f>IF(Allocation!BQ231="","",Allocation!BQ231)</f>
        <v/>
      </c>
      <c r="J231" t="str">
        <f>IF(Allocation!CC231="","",Allocation!CC231)</f>
        <v/>
      </c>
      <c r="K231" t="str">
        <f t="shared" si="57"/>
        <v/>
      </c>
      <c r="L231" t="str">
        <f t="shared" si="58"/>
        <v/>
      </c>
      <c r="M231" t="str">
        <f t="shared" si="59"/>
        <v/>
      </c>
      <c r="N231" t="str">
        <f t="shared" si="60"/>
        <v/>
      </c>
      <c r="O231" t="str">
        <f t="shared" si="61"/>
        <v/>
      </c>
      <c r="P231" t="str">
        <f t="shared" si="62"/>
        <v/>
      </c>
      <c r="Q231" t="str">
        <f t="shared" si="63"/>
        <v/>
      </c>
      <c r="R231" t="str">
        <f t="shared" si="64"/>
        <v/>
      </c>
      <c r="S231" t="str">
        <f t="shared" si="65"/>
        <v/>
      </c>
      <c r="T231" t="str">
        <f t="shared" si="66"/>
        <v/>
      </c>
      <c r="U231" t="str">
        <f t="shared" si="67"/>
        <v/>
      </c>
      <c r="V231" t="str">
        <f t="shared" si="68"/>
        <v/>
      </c>
      <c r="W231" t="str">
        <f>IF($A231="","",Allocation!CD231)</f>
        <v/>
      </c>
      <c r="X231" t="str">
        <f>IF($A231="","",Allocation!CE231)</f>
        <v/>
      </c>
      <c r="Y231" t="str">
        <f>IF($A231="","",Allocation!CF231)</f>
        <v/>
      </c>
      <c r="Z231" t="str">
        <f>IF($A231="","",Allocation!CG231)</f>
        <v/>
      </c>
      <c r="AA231" t="str">
        <f>IF($A231="","",Allocation!CH231)</f>
        <v/>
      </c>
      <c r="AB231" t="str">
        <f>IF($A231="","",Allocation!CI231)</f>
        <v/>
      </c>
      <c r="AC231" t="str">
        <f>IF($A231="","",IF(Allocation!$N$4="VOL_EFF",$G231,IF(Allocation!$N$4="VOL_CLASS",$H231,$I231)))</f>
        <v/>
      </c>
      <c r="AD231" t="str">
        <f>IF($A231="","",IF(Allocation!$N$4="VOL_EFF",$L231,IF(Allocation!$N$4="VOL_CLASS",$M231,$N231)))</f>
        <v/>
      </c>
      <c r="AE231" t="str">
        <f>IF($A231="","",IF(Allocation!$N$3="VOL_EFF",$L231,IF(Allocation!$N$3="VOL_CLASS",$M231,$N231)))</f>
        <v/>
      </c>
      <c r="AF231" t="str">
        <f>IF($A231="","",IF(Allocation!$N$3="VOL_EFF",$Q231,IF(Allocation!$N$3="VOL_CLASS",$R231,$S231)))</f>
        <v/>
      </c>
      <c r="AG231" t="str">
        <f>IF($A231="","",IF(Allocation!$N$1="VOL_EFF",$Q231,IF(Allocation!$N$1="VOL_CLASS",$R231,$S231)))</f>
        <v/>
      </c>
      <c r="AH231" t="str">
        <f>IF($A231="","",IF(Allocation!$N$1="VOL_EFF",$T231,IF(Allocation!$N$1="VOL_CLASS",$U231,$V231)))</f>
        <v/>
      </c>
      <c r="AI231" t="str">
        <f t="shared" si="69"/>
        <v/>
      </c>
      <c r="AJ231" t="str">
        <f t="shared" si="70"/>
        <v/>
      </c>
      <c r="AK231" t="str">
        <f t="shared" si="71"/>
        <v/>
      </c>
      <c r="AL231" t="str">
        <f t="shared" si="72"/>
        <v/>
      </c>
      <c r="AM231" t="str">
        <f t="shared" si="73"/>
        <v/>
      </c>
      <c r="AN231" t="str">
        <f t="shared" si="74"/>
        <v/>
      </c>
      <c r="AO231" t="str">
        <f>IF($A231="","",Allocation!CJ231)</f>
        <v/>
      </c>
      <c r="AP231" t="str">
        <f>IF($A231="","",IF(Allocation!$N$2="VOL_EFF",$Q231,IF(Allocation!$N$2="VOL_CLASS",$R231,$S231)))</f>
        <v/>
      </c>
      <c r="AQ231" t="str">
        <f>IF($A231="","",IF(Allocation!$N$2="VOL_EFF",$T231,IF(Allocation!$N$2="VOL_CLASS",$U231,$V231)))</f>
        <v/>
      </c>
      <c r="AR231" t="str">
        <f t="shared" si="75"/>
        <v/>
      </c>
      <c r="AS231" t="str">
        <f>IF($A231="","",$A231&amp;"|"&amp;Allocation!BG231)</f>
        <v/>
      </c>
    </row>
    <row r="232" spans="1:45" x14ac:dyDescent="0.45">
      <c r="A232" t="str">
        <f>IF(Allocation!BI232="","",Allocation!BI232)</f>
        <v/>
      </c>
      <c r="B232" t="str">
        <f>IF(Allocation!BJ232="","",Allocation!BJ232)</f>
        <v/>
      </c>
      <c r="C232" t="str">
        <f>IF(Allocation!BK232="","",Allocation!BK232)</f>
        <v/>
      </c>
      <c r="D232" t="str">
        <f>IF(Allocation!BL232="","",Allocation!BL232)</f>
        <v/>
      </c>
      <c r="E232" t="str">
        <f>IF(Allocation!BM232="","",Allocation!BM232)</f>
        <v/>
      </c>
      <c r="F232" t="str">
        <f>IF(Allocation!BN232="","",Allocation!BN232)</f>
        <v/>
      </c>
      <c r="G232" t="str">
        <f>IF(Allocation!BO232="","",Allocation!BO232)</f>
        <v/>
      </c>
      <c r="H232" t="str">
        <f>IF(Allocation!BP232="","",Allocation!BP232)</f>
        <v/>
      </c>
      <c r="I232" t="str">
        <f>IF(Allocation!BQ232="","",Allocation!BQ232)</f>
        <v/>
      </c>
      <c r="J232" t="str">
        <f>IF(Allocation!CC232="","",Allocation!CC232)</f>
        <v/>
      </c>
      <c r="K232" t="str">
        <f t="shared" si="57"/>
        <v/>
      </c>
      <c r="L232" t="str">
        <f t="shared" si="58"/>
        <v/>
      </c>
      <c r="M232" t="str">
        <f t="shared" si="59"/>
        <v/>
      </c>
      <c r="N232" t="str">
        <f t="shared" si="60"/>
        <v/>
      </c>
      <c r="O232" t="str">
        <f t="shared" si="61"/>
        <v/>
      </c>
      <c r="P232" t="str">
        <f t="shared" si="62"/>
        <v/>
      </c>
      <c r="Q232" t="str">
        <f t="shared" si="63"/>
        <v/>
      </c>
      <c r="R232" t="str">
        <f t="shared" si="64"/>
        <v/>
      </c>
      <c r="S232" t="str">
        <f t="shared" si="65"/>
        <v/>
      </c>
      <c r="T232" t="str">
        <f t="shared" si="66"/>
        <v/>
      </c>
      <c r="U232" t="str">
        <f t="shared" si="67"/>
        <v/>
      </c>
      <c r="V232" t="str">
        <f t="shared" si="68"/>
        <v/>
      </c>
      <c r="W232" t="str">
        <f>IF($A232="","",Allocation!CD232)</f>
        <v/>
      </c>
      <c r="X232" t="str">
        <f>IF($A232="","",Allocation!CE232)</f>
        <v/>
      </c>
      <c r="Y232" t="str">
        <f>IF($A232="","",Allocation!CF232)</f>
        <v/>
      </c>
      <c r="Z232" t="str">
        <f>IF($A232="","",Allocation!CG232)</f>
        <v/>
      </c>
      <c r="AA232" t="str">
        <f>IF($A232="","",Allocation!CH232)</f>
        <v/>
      </c>
      <c r="AB232" t="str">
        <f>IF($A232="","",Allocation!CI232)</f>
        <v/>
      </c>
      <c r="AC232" t="str">
        <f>IF($A232="","",IF(Allocation!$N$4="VOL_EFF",$G232,IF(Allocation!$N$4="VOL_CLASS",$H232,$I232)))</f>
        <v/>
      </c>
      <c r="AD232" t="str">
        <f>IF($A232="","",IF(Allocation!$N$4="VOL_EFF",$L232,IF(Allocation!$N$4="VOL_CLASS",$M232,$N232)))</f>
        <v/>
      </c>
      <c r="AE232" t="str">
        <f>IF($A232="","",IF(Allocation!$N$3="VOL_EFF",$L232,IF(Allocation!$N$3="VOL_CLASS",$M232,$N232)))</f>
        <v/>
      </c>
      <c r="AF232" t="str">
        <f>IF($A232="","",IF(Allocation!$N$3="VOL_EFF",$Q232,IF(Allocation!$N$3="VOL_CLASS",$R232,$S232)))</f>
        <v/>
      </c>
      <c r="AG232" t="str">
        <f>IF($A232="","",IF(Allocation!$N$1="VOL_EFF",$Q232,IF(Allocation!$N$1="VOL_CLASS",$R232,$S232)))</f>
        <v/>
      </c>
      <c r="AH232" t="str">
        <f>IF($A232="","",IF(Allocation!$N$1="VOL_EFF",$T232,IF(Allocation!$N$1="VOL_CLASS",$U232,$V232)))</f>
        <v/>
      </c>
      <c r="AI232" t="str">
        <f t="shared" si="69"/>
        <v/>
      </c>
      <c r="AJ232" t="str">
        <f t="shared" si="70"/>
        <v/>
      </c>
      <c r="AK232" t="str">
        <f t="shared" si="71"/>
        <v/>
      </c>
      <c r="AL232" t="str">
        <f t="shared" si="72"/>
        <v/>
      </c>
      <c r="AM232" t="str">
        <f t="shared" si="73"/>
        <v/>
      </c>
      <c r="AN232" t="str">
        <f t="shared" si="74"/>
        <v/>
      </c>
      <c r="AO232" t="str">
        <f>IF($A232="","",Allocation!CJ232)</f>
        <v/>
      </c>
      <c r="AP232" t="str">
        <f>IF($A232="","",IF(Allocation!$N$2="VOL_EFF",$Q232,IF(Allocation!$N$2="VOL_CLASS",$R232,$S232)))</f>
        <v/>
      </c>
      <c r="AQ232" t="str">
        <f>IF($A232="","",IF(Allocation!$N$2="VOL_EFF",$T232,IF(Allocation!$N$2="VOL_CLASS",$U232,$V232)))</f>
        <v/>
      </c>
      <c r="AR232" t="str">
        <f t="shared" si="75"/>
        <v/>
      </c>
      <c r="AS232" t="str">
        <f>IF($A232="","",$A232&amp;"|"&amp;Allocation!BG232)</f>
        <v/>
      </c>
    </row>
    <row r="233" spans="1:45" x14ac:dyDescent="0.45">
      <c r="A233" t="str">
        <f>IF(Allocation!BI233="","",Allocation!BI233)</f>
        <v/>
      </c>
      <c r="B233" t="str">
        <f>IF(Allocation!BJ233="","",Allocation!BJ233)</f>
        <v/>
      </c>
      <c r="C233" t="str">
        <f>IF(Allocation!BK233="","",Allocation!BK233)</f>
        <v/>
      </c>
      <c r="D233" t="str">
        <f>IF(Allocation!BL233="","",Allocation!BL233)</f>
        <v/>
      </c>
      <c r="E233" t="str">
        <f>IF(Allocation!BM233="","",Allocation!BM233)</f>
        <v/>
      </c>
      <c r="F233" t="str">
        <f>IF(Allocation!BN233="","",Allocation!BN233)</f>
        <v/>
      </c>
      <c r="G233" t="str">
        <f>IF(Allocation!BO233="","",Allocation!BO233)</f>
        <v/>
      </c>
      <c r="H233" t="str">
        <f>IF(Allocation!BP233="","",Allocation!BP233)</f>
        <v/>
      </c>
      <c r="I233" t="str">
        <f>IF(Allocation!BQ233="","",Allocation!BQ233)</f>
        <v/>
      </c>
      <c r="J233" t="str">
        <f>IF(Allocation!CC233="","",Allocation!CC233)</f>
        <v/>
      </c>
      <c r="K233" t="str">
        <f t="shared" si="57"/>
        <v/>
      </c>
      <c r="L233" t="str">
        <f t="shared" si="58"/>
        <v/>
      </c>
      <c r="M233" t="str">
        <f t="shared" si="59"/>
        <v/>
      </c>
      <c r="N233" t="str">
        <f t="shared" si="60"/>
        <v/>
      </c>
      <c r="O233" t="str">
        <f t="shared" si="61"/>
        <v/>
      </c>
      <c r="P233" t="str">
        <f t="shared" si="62"/>
        <v/>
      </c>
      <c r="Q233" t="str">
        <f t="shared" si="63"/>
        <v/>
      </c>
      <c r="R233" t="str">
        <f t="shared" si="64"/>
        <v/>
      </c>
      <c r="S233" t="str">
        <f t="shared" si="65"/>
        <v/>
      </c>
      <c r="T233" t="str">
        <f t="shared" si="66"/>
        <v/>
      </c>
      <c r="U233" t="str">
        <f t="shared" si="67"/>
        <v/>
      </c>
      <c r="V233" t="str">
        <f t="shared" si="68"/>
        <v/>
      </c>
      <c r="W233" t="str">
        <f>IF($A233="","",Allocation!CD233)</f>
        <v/>
      </c>
      <c r="X233" t="str">
        <f>IF($A233="","",Allocation!CE233)</f>
        <v/>
      </c>
      <c r="Y233" t="str">
        <f>IF($A233="","",Allocation!CF233)</f>
        <v/>
      </c>
      <c r="Z233" t="str">
        <f>IF($A233="","",Allocation!CG233)</f>
        <v/>
      </c>
      <c r="AA233" t="str">
        <f>IF($A233="","",Allocation!CH233)</f>
        <v/>
      </c>
      <c r="AB233" t="str">
        <f>IF($A233="","",Allocation!CI233)</f>
        <v/>
      </c>
      <c r="AC233" t="str">
        <f>IF($A233="","",IF(Allocation!$N$4="VOL_EFF",$G233,IF(Allocation!$N$4="VOL_CLASS",$H233,$I233)))</f>
        <v/>
      </c>
      <c r="AD233" t="str">
        <f>IF($A233="","",IF(Allocation!$N$4="VOL_EFF",$L233,IF(Allocation!$N$4="VOL_CLASS",$M233,$N233)))</f>
        <v/>
      </c>
      <c r="AE233" t="str">
        <f>IF($A233="","",IF(Allocation!$N$3="VOL_EFF",$L233,IF(Allocation!$N$3="VOL_CLASS",$M233,$N233)))</f>
        <v/>
      </c>
      <c r="AF233" t="str">
        <f>IF($A233="","",IF(Allocation!$N$3="VOL_EFF",$Q233,IF(Allocation!$N$3="VOL_CLASS",$R233,$S233)))</f>
        <v/>
      </c>
      <c r="AG233" t="str">
        <f>IF($A233="","",IF(Allocation!$N$1="VOL_EFF",$Q233,IF(Allocation!$N$1="VOL_CLASS",$R233,$S233)))</f>
        <v/>
      </c>
      <c r="AH233" t="str">
        <f>IF($A233="","",IF(Allocation!$N$1="VOL_EFF",$T233,IF(Allocation!$N$1="VOL_CLASS",$U233,$V233)))</f>
        <v/>
      </c>
      <c r="AI233" t="str">
        <f t="shared" si="69"/>
        <v/>
      </c>
      <c r="AJ233" t="str">
        <f t="shared" si="70"/>
        <v/>
      </c>
      <c r="AK233" t="str">
        <f t="shared" si="71"/>
        <v/>
      </c>
      <c r="AL233" t="str">
        <f t="shared" si="72"/>
        <v/>
      </c>
      <c r="AM233" t="str">
        <f t="shared" si="73"/>
        <v/>
      </c>
      <c r="AN233" t="str">
        <f t="shared" si="74"/>
        <v/>
      </c>
      <c r="AO233" t="str">
        <f>IF($A233="","",Allocation!CJ233)</f>
        <v/>
      </c>
      <c r="AP233" t="str">
        <f>IF($A233="","",IF(Allocation!$N$2="VOL_EFF",$Q233,IF(Allocation!$N$2="VOL_CLASS",$R233,$S233)))</f>
        <v/>
      </c>
      <c r="AQ233" t="str">
        <f>IF($A233="","",IF(Allocation!$N$2="VOL_EFF",$T233,IF(Allocation!$N$2="VOL_CLASS",$U233,$V233)))</f>
        <v/>
      </c>
      <c r="AR233" t="str">
        <f t="shared" si="75"/>
        <v/>
      </c>
      <c r="AS233" t="str">
        <f>IF($A233="","",$A233&amp;"|"&amp;Allocation!BG233)</f>
        <v/>
      </c>
    </row>
    <row r="234" spans="1:45" x14ac:dyDescent="0.45">
      <c r="A234" t="str">
        <f>IF(Allocation!BI234="","",Allocation!BI234)</f>
        <v/>
      </c>
      <c r="B234" t="str">
        <f>IF(Allocation!BJ234="","",Allocation!BJ234)</f>
        <v/>
      </c>
      <c r="C234" t="str">
        <f>IF(Allocation!BK234="","",Allocation!BK234)</f>
        <v/>
      </c>
      <c r="D234" t="str">
        <f>IF(Allocation!BL234="","",Allocation!BL234)</f>
        <v/>
      </c>
      <c r="E234" t="str">
        <f>IF(Allocation!BM234="","",Allocation!BM234)</f>
        <v/>
      </c>
      <c r="F234" t="str">
        <f>IF(Allocation!BN234="","",Allocation!BN234)</f>
        <v/>
      </c>
      <c r="G234" t="str">
        <f>IF(Allocation!BO234="","",Allocation!BO234)</f>
        <v/>
      </c>
      <c r="H234" t="str">
        <f>IF(Allocation!BP234="","",Allocation!BP234)</f>
        <v/>
      </c>
      <c r="I234" t="str">
        <f>IF(Allocation!BQ234="","",Allocation!BQ234)</f>
        <v/>
      </c>
      <c r="J234" t="str">
        <f>IF(Allocation!CC234="","",Allocation!CC234)</f>
        <v/>
      </c>
      <c r="K234" t="str">
        <f t="shared" si="57"/>
        <v/>
      </c>
      <c r="L234" t="str">
        <f t="shared" si="58"/>
        <v/>
      </c>
      <c r="M234" t="str">
        <f t="shared" si="59"/>
        <v/>
      </c>
      <c r="N234" t="str">
        <f t="shared" si="60"/>
        <v/>
      </c>
      <c r="O234" t="str">
        <f t="shared" si="61"/>
        <v/>
      </c>
      <c r="P234" t="str">
        <f t="shared" si="62"/>
        <v/>
      </c>
      <c r="Q234" t="str">
        <f t="shared" si="63"/>
        <v/>
      </c>
      <c r="R234" t="str">
        <f t="shared" si="64"/>
        <v/>
      </c>
      <c r="S234" t="str">
        <f t="shared" si="65"/>
        <v/>
      </c>
      <c r="T234" t="str">
        <f t="shared" si="66"/>
        <v/>
      </c>
      <c r="U234" t="str">
        <f t="shared" si="67"/>
        <v/>
      </c>
      <c r="V234" t="str">
        <f t="shared" si="68"/>
        <v/>
      </c>
      <c r="W234" t="str">
        <f>IF($A234="","",Allocation!CD234)</f>
        <v/>
      </c>
      <c r="X234" t="str">
        <f>IF($A234="","",Allocation!CE234)</f>
        <v/>
      </c>
      <c r="Y234" t="str">
        <f>IF($A234="","",Allocation!CF234)</f>
        <v/>
      </c>
      <c r="Z234" t="str">
        <f>IF($A234="","",Allocation!CG234)</f>
        <v/>
      </c>
      <c r="AA234" t="str">
        <f>IF($A234="","",Allocation!CH234)</f>
        <v/>
      </c>
      <c r="AB234" t="str">
        <f>IF($A234="","",Allocation!CI234)</f>
        <v/>
      </c>
      <c r="AC234" t="str">
        <f>IF($A234="","",IF(Allocation!$N$4="VOL_EFF",$G234,IF(Allocation!$N$4="VOL_CLASS",$H234,$I234)))</f>
        <v/>
      </c>
      <c r="AD234" t="str">
        <f>IF($A234="","",IF(Allocation!$N$4="VOL_EFF",$L234,IF(Allocation!$N$4="VOL_CLASS",$M234,$N234)))</f>
        <v/>
      </c>
      <c r="AE234" t="str">
        <f>IF($A234="","",IF(Allocation!$N$3="VOL_EFF",$L234,IF(Allocation!$N$3="VOL_CLASS",$M234,$N234)))</f>
        <v/>
      </c>
      <c r="AF234" t="str">
        <f>IF($A234="","",IF(Allocation!$N$3="VOL_EFF",$Q234,IF(Allocation!$N$3="VOL_CLASS",$R234,$S234)))</f>
        <v/>
      </c>
      <c r="AG234" t="str">
        <f>IF($A234="","",IF(Allocation!$N$1="VOL_EFF",$Q234,IF(Allocation!$N$1="VOL_CLASS",$R234,$S234)))</f>
        <v/>
      </c>
      <c r="AH234" t="str">
        <f>IF($A234="","",IF(Allocation!$N$1="VOL_EFF",$T234,IF(Allocation!$N$1="VOL_CLASS",$U234,$V234)))</f>
        <v/>
      </c>
      <c r="AI234" t="str">
        <f t="shared" si="69"/>
        <v/>
      </c>
      <c r="AJ234" t="str">
        <f t="shared" si="70"/>
        <v/>
      </c>
      <c r="AK234" t="str">
        <f t="shared" si="71"/>
        <v/>
      </c>
      <c r="AL234" t="str">
        <f t="shared" si="72"/>
        <v/>
      </c>
      <c r="AM234" t="str">
        <f t="shared" si="73"/>
        <v/>
      </c>
      <c r="AN234" t="str">
        <f t="shared" si="74"/>
        <v/>
      </c>
      <c r="AO234" t="str">
        <f>IF($A234="","",Allocation!CJ234)</f>
        <v/>
      </c>
      <c r="AP234" t="str">
        <f>IF($A234="","",IF(Allocation!$N$2="VOL_EFF",$Q234,IF(Allocation!$N$2="VOL_CLASS",$R234,$S234)))</f>
        <v/>
      </c>
      <c r="AQ234" t="str">
        <f>IF($A234="","",IF(Allocation!$N$2="VOL_EFF",$T234,IF(Allocation!$N$2="VOL_CLASS",$U234,$V234)))</f>
        <v/>
      </c>
      <c r="AR234" t="str">
        <f t="shared" si="75"/>
        <v/>
      </c>
      <c r="AS234" t="str">
        <f>IF($A234="","",$A234&amp;"|"&amp;Allocation!BG234)</f>
        <v/>
      </c>
    </row>
    <row r="235" spans="1:45" x14ac:dyDescent="0.45">
      <c r="A235" t="str">
        <f>IF(Allocation!BI235="","",Allocation!BI235)</f>
        <v/>
      </c>
      <c r="B235" t="str">
        <f>IF(Allocation!BJ235="","",Allocation!BJ235)</f>
        <v/>
      </c>
      <c r="C235" t="str">
        <f>IF(Allocation!BK235="","",Allocation!BK235)</f>
        <v/>
      </c>
      <c r="D235" t="str">
        <f>IF(Allocation!BL235="","",Allocation!BL235)</f>
        <v/>
      </c>
      <c r="E235" t="str">
        <f>IF(Allocation!BM235="","",Allocation!BM235)</f>
        <v/>
      </c>
      <c r="F235" t="str">
        <f>IF(Allocation!BN235="","",Allocation!BN235)</f>
        <v/>
      </c>
      <c r="G235" t="str">
        <f>IF(Allocation!BO235="","",Allocation!BO235)</f>
        <v/>
      </c>
      <c r="H235" t="str">
        <f>IF(Allocation!BP235="","",Allocation!BP235)</f>
        <v/>
      </c>
      <c r="I235" t="str">
        <f>IF(Allocation!BQ235="","",Allocation!BQ235)</f>
        <v/>
      </c>
      <c r="J235" t="str">
        <f>IF(Allocation!CC235="","",Allocation!CC235)</f>
        <v/>
      </c>
      <c r="K235" t="str">
        <f t="shared" si="57"/>
        <v/>
      </c>
      <c r="L235" t="str">
        <f t="shared" si="58"/>
        <v/>
      </c>
      <c r="M235" t="str">
        <f t="shared" si="59"/>
        <v/>
      </c>
      <c r="N235" t="str">
        <f t="shared" si="60"/>
        <v/>
      </c>
      <c r="O235" t="str">
        <f t="shared" si="61"/>
        <v/>
      </c>
      <c r="P235" t="str">
        <f t="shared" si="62"/>
        <v/>
      </c>
      <c r="Q235" t="str">
        <f t="shared" si="63"/>
        <v/>
      </c>
      <c r="R235" t="str">
        <f t="shared" si="64"/>
        <v/>
      </c>
      <c r="S235" t="str">
        <f t="shared" si="65"/>
        <v/>
      </c>
      <c r="T235" t="str">
        <f t="shared" si="66"/>
        <v/>
      </c>
      <c r="U235" t="str">
        <f t="shared" si="67"/>
        <v/>
      </c>
      <c r="V235" t="str">
        <f t="shared" si="68"/>
        <v/>
      </c>
      <c r="W235" t="str">
        <f>IF($A235="","",Allocation!CD235)</f>
        <v/>
      </c>
      <c r="X235" t="str">
        <f>IF($A235="","",Allocation!CE235)</f>
        <v/>
      </c>
      <c r="Y235" t="str">
        <f>IF($A235="","",Allocation!CF235)</f>
        <v/>
      </c>
      <c r="Z235" t="str">
        <f>IF($A235="","",Allocation!CG235)</f>
        <v/>
      </c>
      <c r="AA235" t="str">
        <f>IF($A235="","",Allocation!CH235)</f>
        <v/>
      </c>
      <c r="AB235" t="str">
        <f>IF($A235="","",Allocation!CI235)</f>
        <v/>
      </c>
      <c r="AC235" t="str">
        <f>IF($A235="","",IF(Allocation!$N$4="VOL_EFF",$G235,IF(Allocation!$N$4="VOL_CLASS",$H235,$I235)))</f>
        <v/>
      </c>
      <c r="AD235" t="str">
        <f>IF($A235="","",IF(Allocation!$N$4="VOL_EFF",$L235,IF(Allocation!$N$4="VOL_CLASS",$M235,$N235)))</f>
        <v/>
      </c>
      <c r="AE235" t="str">
        <f>IF($A235="","",IF(Allocation!$N$3="VOL_EFF",$L235,IF(Allocation!$N$3="VOL_CLASS",$M235,$N235)))</f>
        <v/>
      </c>
      <c r="AF235" t="str">
        <f>IF($A235="","",IF(Allocation!$N$3="VOL_EFF",$Q235,IF(Allocation!$N$3="VOL_CLASS",$R235,$S235)))</f>
        <v/>
      </c>
      <c r="AG235" t="str">
        <f>IF($A235="","",IF(Allocation!$N$1="VOL_EFF",$Q235,IF(Allocation!$N$1="VOL_CLASS",$R235,$S235)))</f>
        <v/>
      </c>
      <c r="AH235" t="str">
        <f>IF($A235="","",IF(Allocation!$N$1="VOL_EFF",$T235,IF(Allocation!$N$1="VOL_CLASS",$U235,$V235)))</f>
        <v/>
      </c>
      <c r="AI235" t="str">
        <f t="shared" si="69"/>
        <v/>
      </c>
      <c r="AJ235" t="str">
        <f t="shared" si="70"/>
        <v/>
      </c>
      <c r="AK235" t="str">
        <f t="shared" si="71"/>
        <v/>
      </c>
      <c r="AL235" t="str">
        <f t="shared" si="72"/>
        <v/>
      </c>
      <c r="AM235" t="str">
        <f t="shared" si="73"/>
        <v/>
      </c>
      <c r="AN235" t="str">
        <f t="shared" si="74"/>
        <v/>
      </c>
      <c r="AO235" t="str">
        <f>IF($A235="","",Allocation!CJ235)</f>
        <v/>
      </c>
      <c r="AP235" t="str">
        <f>IF($A235="","",IF(Allocation!$N$2="VOL_EFF",$Q235,IF(Allocation!$N$2="VOL_CLASS",$R235,$S235)))</f>
        <v/>
      </c>
      <c r="AQ235" t="str">
        <f>IF($A235="","",IF(Allocation!$N$2="VOL_EFF",$T235,IF(Allocation!$N$2="VOL_CLASS",$U235,$V235)))</f>
        <v/>
      </c>
      <c r="AR235" t="str">
        <f t="shared" si="75"/>
        <v/>
      </c>
      <c r="AS235" t="str">
        <f>IF($A235="","",$A235&amp;"|"&amp;Allocation!BG235)</f>
        <v/>
      </c>
    </row>
    <row r="236" spans="1:45" x14ac:dyDescent="0.45">
      <c r="A236" t="str">
        <f>IF(Allocation!BI236="","",Allocation!BI236)</f>
        <v/>
      </c>
      <c r="B236" t="str">
        <f>IF(Allocation!BJ236="","",Allocation!BJ236)</f>
        <v/>
      </c>
      <c r="C236" t="str">
        <f>IF(Allocation!BK236="","",Allocation!BK236)</f>
        <v/>
      </c>
      <c r="D236" t="str">
        <f>IF(Allocation!BL236="","",Allocation!BL236)</f>
        <v/>
      </c>
      <c r="E236" t="str">
        <f>IF(Allocation!BM236="","",Allocation!BM236)</f>
        <v/>
      </c>
      <c r="F236" t="str">
        <f>IF(Allocation!BN236="","",Allocation!BN236)</f>
        <v/>
      </c>
      <c r="G236" t="str">
        <f>IF(Allocation!BO236="","",Allocation!BO236)</f>
        <v/>
      </c>
      <c r="H236" t="str">
        <f>IF(Allocation!BP236="","",Allocation!BP236)</f>
        <v/>
      </c>
      <c r="I236" t="str">
        <f>IF(Allocation!BQ236="","",Allocation!BQ236)</f>
        <v/>
      </c>
      <c r="J236" t="str">
        <f>IF(Allocation!CC236="","",Allocation!CC236)</f>
        <v/>
      </c>
      <c r="K236" t="str">
        <f t="shared" si="57"/>
        <v/>
      </c>
      <c r="L236" t="str">
        <f t="shared" si="58"/>
        <v/>
      </c>
      <c r="M236" t="str">
        <f t="shared" si="59"/>
        <v/>
      </c>
      <c r="N236" t="str">
        <f t="shared" si="60"/>
        <v/>
      </c>
      <c r="O236" t="str">
        <f t="shared" si="61"/>
        <v/>
      </c>
      <c r="P236" t="str">
        <f t="shared" si="62"/>
        <v/>
      </c>
      <c r="Q236" t="str">
        <f t="shared" si="63"/>
        <v/>
      </c>
      <c r="R236" t="str">
        <f t="shared" si="64"/>
        <v/>
      </c>
      <c r="S236" t="str">
        <f t="shared" si="65"/>
        <v/>
      </c>
      <c r="T236" t="str">
        <f t="shared" si="66"/>
        <v/>
      </c>
      <c r="U236" t="str">
        <f t="shared" si="67"/>
        <v/>
      </c>
      <c r="V236" t="str">
        <f t="shared" si="68"/>
        <v/>
      </c>
      <c r="W236" t="str">
        <f>IF($A236="","",Allocation!CD236)</f>
        <v/>
      </c>
      <c r="X236" t="str">
        <f>IF($A236="","",Allocation!CE236)</f>
        <v/>
      </c>
      <c r="Y236" t="str">
        <f>IF($A236="","",Allocation!CF236)</f>
        <v/>
      </c>
      <c r="Z236" t="str">
        <f>IF($A236="","",Allocation!CG236)</f>
        <v/>
      </c>
      <c r="AA236" t="str">
        <f>IF($A236="","",Allocation!CH236)</f>
        <v/>
      </c>
      <c r="AB236" t="str">
        <f>IF($A236="","",Allocation!CI236)</f>
        <v/>
      </c>
      <c r="AC236" t="str">
        <f>IF($A236="","",IF(Allocation!$N$4="VOL_EFF",$G236,IF(Allocation!$N$4="VOL_CLASS",$H236,$I236)))</f>
        <v/>
      </c>
      <c r="AD236" t="str">
        <f>IF($A236="","",IF(Allocation!$N$4="VOL_EFF",$L236,IF(Allocation!$N$4="VOL_CLASS",$M236,$N236)))</f>
        <v/>
      </c>
      <c r="AE236" t="str">
        <f>IF($A236="","",IF(Allocation!$N$3="VOL_EFF",$L236,IF(Allocation!$N$3="VOL_CLASS",$M236,$N236)))</f>
        <v/>
      </c>
      <c r="AF236" t="str">
        <f>IF($A236="","",IF(Allocation!$N$3="VOL_EFF",$Q236,IF(Allocation!$N$3="VOL_CLASS",$R236,$S236)))</f>
        <v/>
      </c>
      <c r="AG236" t="str">
        <f>IF($A236="","",IF(Allocation!$N$1="VOL_EFF",$Q236,IF(Allocation!$N$1="VOL_CLASS",$R236,$S236)))</f>
        <v/>
      </c>
      <c r="AH236" t="str">
        <f>IF($A236="","",IF(Allocation!$N$1="VOL_EFF",$T236,IF(Allocation!$N$1="VOL_CLASS",$U236,$V236)))</f>
        <v/>
      </c>
      <c r="AI236" t="str">
        <f t="shared" si="69"/>
        <v/>
      </c>
      <c r="AJ236" t="str">
        <f t="shared" si="70"/>
        <v/>
      </c>
      <c r="AK236" t="str">
        <f t="shared" si="71"/>
        <v/>
      </c>
      <c r="AL236" t="str">
        <f t="shared" si="72"/>
        <v/>
      </c>
      <c r="AM236" t="str">
        <f t="shared" si="73"/>
        <v/>
      </c>
      <c r="AN236" t="str">
        <f t="shared" si="74"/>
        <v/>
      </c>
      <c r="AO236" t="str">
        <f>IF($A236="","",Allocation!CJ236)</f>
        <v/>
      </c>
      <c r="AP236" t="str">
        <f>IF($A236="","",IF(Allocation!$N$2="VOL_EFF",$Q236,IF(Allocation!$N$2="VOL_CLASS",$R236,$S236)))</f>
        <v/>
      </c>
      <c r="AQ236" t="str">
        <f>IF($A236="","",IF(Allocation!$N$2="VOL_EFF",$T236,IF(Allocation!$N$2="VOL_CLASS",$U236,$V236)))</f>
        <v/>
      </c>
      <c r="AR236" t="str">
        <f t="shared" si="75"/>
        <v/>
      </c>
      <c r="AS236" t="str">
        <f>IF($A236="","",$A236&amp;"|"&amp;Allocation!BG236)</f>
        <v/>
      </c>
    </row>
    <row r="237" spans="1:45" x14ac:dyDescent="0.45">
      <c r="A237" t="str">
        <f>IF(Allocation!BI237="","",Allocation!BI237)</f>
        <v/>
      </c>
      <c r="B237" t="str">
        <f>IF(Allocation!BJ237="","",Allocation!BJ237)</f>
        <v/>
      </c>
      <c r="C237" t="str">
        <f>IF(Allocation!BK237="","",Allocation!BK237)</f>
        <v/>
      </c>
      <c r="D237" t="str">
        <f>IF(Allocation!BL237="","",Allocation!BL237)</f>
        <v/>
      </c>
      <c r="E237" t="str">
        <f>IF(Allocation!BM237="","",Allocation!BM237)</f>
        <v/>
      </c>
      <c r="F237" t="str">
        <f>IF(Allocation!BN237="","",Allocation!BN237)</f>
        <v/>
      </c>
      <c r="G237" t="str">
        <f>IF(Allocation!BO237="","",Allocation!BO237)</f>
        <v/>
      </c>
      <c r="H237" t="str">
        <f>IF(Allocation!BP237="","",Allocation!BP237)</f>
        <v/>
      </c>
      <c r="I237" t="str">
        <f>IF(Allocation!BQ237="","",Allocation!BQ237)</f>
        <v/>
      </c>
      <c r="J237" t="str">
        <f>IF(Allocation!CC237="","",Allocation!CC237)</f>
        <v/>
      </c>
      <c r="K237" t="str">
        <f t="shared" si="57"/>
        <v/>
      </c>
      <c r="L237" t="str">
        <f t="shared" si="58"/>
        <v/>
      </c>
      <c r="M237" t="str">
        <f t="shared" si="59"/>
        <v/>
      </c>
      <c r="N237" t="str">
        <f t="shared" si="60"/>
        <v/>
      </c>
      <c r="O237" t="str">
        <f t="shared" si="61"/>
        <v/>
      </c>
      <c r="P237" t="str">
        <f t="shared" si="62"/>
        <v/>
      </c>
      <c r="Q237" t="str">
        <f t="shared" si="63"/>
        <v/>
      </c>
      <c r="R237" t="str">
        <f t="shared" si="64"/>
        <v/>
      </c>
      <c r="S237" t="str">
        <f t="shared" si="65"/>
        <v/>
      </c>
      <c r="T237" t="str">
        <f t="shared" si="66"/>
        <v/>
      </c>
      <c r="U237" t="str">
        <f t="shared" si="67"/>
        <v/>
      </c>
      <c r="V237" t="str">
        <f t="shared" si="68"/>
        <v/>
      </c>
      <c r="W237" t="str">
        <f>IF($A237="","",Allocation!CD237)</f>
        <v/>
      </c>
      <c r="X237" t="str">
        <f>IF($A237="","",Allocation!CE237)</f>
        <v/>
      </c>
      <c r="Y237" t="str">
        <f>IF($A237="","",Allocation!CF237)</f>
        <v/>
      </c>
      <c r="Z237" t="str">
        <f>IF($A237="","",Allocation!CG237)</f>
        <v/>
      </c>
      <c r="AA237" t="str">
        <f>IF($A237="","",Allocation!CH237)</f>
        <v/>
      </c>
      <c r="AB237" t="str">
        <f>IF($A237="","",Allocation!CI237)</f>
        <v/>
      </c>
      <c r="AC237" t="str">
        <f>IF($A237="","",IF(Allocation!$N$4="VOL_EFF",$G237,IF(Allocation!$N$4="VOL_CLASS",$H237,$I237)))</f>
        <v/>
      </c>
      <c r="AD237" t="str">
        <f>IF($A237="","",IF(Allocation!$N$4="VOL_EFF",$L237,IF(Allocation!$N$4="VOL_CLASS",$M237,$N237)))</f>
        <v/>
      </c>
      <c r="AE237" t="str">
        <f>IF($A237="","",IF(Allocation!$N$3="VOL_EFF",$L237,IF(Allocation!$N$3="VOL_CLASS",$M237,$N237)))</f>
        <v/>
      </c>
      <c r="AF237" t="str">
        <f>IF($A237="","",IF(Allocation!$N$3="VOL_EFF",$Q237,IF(Allocation!$N$3="VOL_CLASS",$R237,$S237)))</f>
        <v/>
      </c>
      <c r="AG237" t="str">
        <f>IF($A237="","",IF(Allocation!$N$1="VOL_EFF",$Q237,IF(Allocation!$N$1="VOL_CLASS",$R237,$S237)))</f>
        <v/>
      </c>
      <c r="AH237" t="str">
        <f>IF($A237="","",IF(Allocation!$N$1="VOL_EFF",$T237,IF(Allocation!$N$1="VOL_CLASS",$U237,$V237)))</f>
        <v/>
      </c>
      <c r="AI237" t="str">
        <f t="shared" si="69"/>
        <v/>
      </c>
      <c r="AJ237" t="str">
        <f t="shared" si="70"/>
        <v/>
      </c>
      <c r="AK237" t="str">
        <f t="shared" si="71"/>
        <v/>
      </c>
      <c r="AL237" t="str">
        <f t="shared" si="72"/>
        <v/>
      </c>
      <c r="AM237" t="str">
        <f t="shared" si="73"/>
        <v/>
      </c>
      <c r="AN237" t="str">
        <f t="shared" si="74"/>
        <v/>
      </c>
      <c r="AO237" t="str">
        <f>IF($A237="","",Allocation!CJ237)</f>
        <v/>
      </c>
      <c r="AP237" t="str">
        <f>IF($A237="","",IF(Allocation!$N$2="VOL_EFF",$Q237,IF(Allocation!$N$2="VOL_CLASS",$R237,$S237)))</f>
        <v/>
      </c>
      <c r="AQ237" t="str">
        <f>IF($A237="","",IF(Allocation!$N$2="VOL_EFF",$T237,IF(Allocation!$N$2="VOL_CLASS",$U237,$V237)))</f>
        <v/>
      </c>
      <c r="AR237" t="str">
        <f t="shared" si="75"/>
        <v/>
      </c>
      <c r="AS237" t="str">
        <f>IF($A237="","",$A237&amp;"|"&amp;Allocation!BG237)</f>
        <v/>
      </c>
    </row>
    <row r="238" spans="1:45" x14ac:dyDescent="0.45">
      <c r="A238" t="str">
        <f>IF(Allocation!BI238="","",Allocation!BI238)</f>
        <v/>
      </c>
      <c r="B238" t="str">
        <f>IF(Allocation!BJ238="","",Allocation!BJ238)</f>
        <v/>
      </c>
      <c r="C238" t="str">
        <f>IF(Allocation!BK238="","",Allocation!BK238)</f>
        <v/>
      </c>
      <c r="D238" t="str">
        <f>IF(Allocation!BL238="","",Allocation!BL238)</f>
        <v/>
      </c>
      <c r="E238" t="str">
        <f>IF(Allocation!BM238="","",Allocation!BM238)</f>
        <v/>
      </c>
      <c r="F238" t="str">
        <f>IF(Allocation!BN238="","",Allocation!BN238)</f>
        <v/>
      </c>
      <c r="G238" t="str">
        <f>IF(Allocation!BO238="","",Allocation!BO238)</f>
        <v/>
      </c>
      <c r="H238" t="str">
        <f>IF(Allocation!BP238="","",Allocation!BP238)</f>
        <v/>
      </c>
      <c r="I238" t="str">
        <f>IF(Allocation!BQ238="","",Allocation!BQ238)</f>
        <v/>
      </c>
      <c r="J238" t="str">
        <f>IF(Allocation!CC238="","",Allocation!CC238)</f>
        <v/>
      </c>
      <c r="K238" t="str">
        <f t="shared" si="57"/>
        <v/>
      </c>
      <c r="L238" t="str">
        <f t="shared" si="58"/>
        <v/>
      </c>
      <c r="M238" t="str">
        <f t="shared" si="59"/>
        <v/>
      </c>
      <c r="N238" t="str">
        <f t="shared" si="60"/>
        <v/>
      </c>
      <c r="O238" t="str">
        <f t="shared" si="61"/>
        <v/>
      </c>
      <c r="P238" t="str">
        <f t="shared" si="62"/>
        <v/>
      </c>
      <c r="Q238" t="str">
        <f t="shared" si="63"/>
        <v/>
      </c>
      <c r="R238" t="str">
        <f t="shared" si="64"/>
        <v/>
      </c>
      <c r="S238" t="str">
        <f t="shared" si="65"/>
        <v/>
      </c>
      <c r="T238" t="str">
        <f t="shared" si="66"/>
        <v/>
      </c>
      <c r="U238" t="str">
        <f t="shared" si="67"/>
        <v/>
      </c>
      <c r="V238" t="str">
        <f t="shared" si="68"/>
        <v/>
      </c>
      <c r="W238" t="str">
        <f>IF($A238="","",Allocation!CD238)</f>
        <v/>
      </c>
      <c r="X238" t="str">
        <f>IF($A238="","",Allocation!CE238)</f>
        <v/>
      </c>
      <c r="Y238" t="str">
        <f>IF($A238="","",Allocation!CF238)</f>
        <v/>
      </c>
      <c r="Z238" t="str">
        <f>IF($A238="","",Allocation!CG238)</f>
        <v/>
      </c>
      <c r="AA238" t="str">
        <f>IF($A238="","",Allocation!CH238)</f>
        <v/>
      </c>
      <c r="AB238" t="str">
        <f>IF($A238="","",Allocation!CI238)</f>
        <v/>
      </c>
      <c r="AC238" t="str">
        <f>IF($A238="","",IF(Allocation!$N$4="VOL_EFF",$G238,IF(Allocation!$N$4="VOL_CLASS",$H238,$I238)))</f>
        <v/>
      </c>
      <c r="AD238" t="str">
        <f>IF($A238="","",IF(Allocation!$N$4="VOL_EFF",$L238,IF(Allocation!$N$4="VOL_CLASS",$M238,$N238)))</f>
        <v/>
      </c>
      <c r="AE238" t="str">
        <f>IF($A238="","",IF(Allocation!$N$3="VOL_EFF",$L238,IF(Allocation!$N$3="VOL_CLASS",$M238,$N238)))</f>
        <v/>
      </c>
      <c r="AF238" t="str">
        <f>IF($A238="","",IF(Allocation!$N$3="VOL_EFF",$Q238,IF(Allocation!$N$3="VOL_CLASS",$R238,$S238)))</f>
        <v/>
      </c>
      <c r="AG238" t="str">
        <f>IF($A238="","",IF(Allocation!$N$1="VOL_EFF",$Q238,IF(Allocation!$N$1="VOL_CLASS",$R238,$S238)))</f>
        <v/>
      </c>
      <c r="AH238" t="str">
        <f>IF($A238="","",IF(Allocation!$N$1="VOL_EFF",$T238,IF(Allocation!$N$1="VOL_CLASS",$U238,$V238)))</f>
        <v/>
      </c>
      <c r="AI238" t="str">
        <f t="shared" si="69"/>
        <v/>
      </c>
      <c r="AJ238" t="str">
        <f t="shared" si="70"/>
        <v/>
      </c>
      <c r="AK238" t="str">
        <f t="shared" si="71"/>
        <v/>
      </c>
      <c r="AL238" t="str">
        <f t="shared" si="72"/>
        <v/>
      </c>
      <c r="AM238" t="str">
        <f t="shared" si="73"/>
        <v/>
      </c>
      <c r="AN238" t="str">
        <f t="shared" si="74"/>
        <v/>
      </c>
      <c r="AO238" t="str">
        <f>IF($A238="","",Allocation!CJ238)</f>
        <v/>
      </c>
      <c r="AP238" t="str">
        <f>IF($A238="","",IF(Allocation!$N$2="VOL_EFF",$Q238,IF(Allocation!$N$2="VOL_CLASS",$R238,$S238)))</f>
        <v/>
      </c>
      <c r="AQ238" t="str">
        <f>IF($A238="","",IF(Allocation!$N$2="VOL_EFF",$T238,IF(Allocation!$N$2="VOL_CLASS",$U238,$V238)))</f>
        <v/>
      </c>
      <c r="AR238" t="str">
        <f t="shared" si="75"/>
        <v/>
      </c>
      <c r="AS238" t="str">
        <f>IF($A238="","",$A238&amp;"|"&amp;Allocation!BG238)</f>
        <v/>
      </c>
    </row>
    <row r="239" spans="1:45" x14ac:dyDescent="0.45">
      <c r="A239" t="str">
        <f>IF(Allocation!BI239="","",Allocation!BI239)</f>
        <v/>
      </c>
      <c r="B239" t="str">
        <f>IF(Allocation!BJ239="","",Allocation!BJ239)</f>
        <v/>
      </c>
      <c r="C239" t="str">
        <f>IF(Allocation!BK239="","",Allocation!BK239)</f>
        <v/>
      </c>
      <c r="D239" t="str">
        <f>IF(Allocation!BL239="","",Allocation!BL239)</f>
        <v/>
      </c>
      <c r="E239" t="str">
        <f>IF(Allocation!BM239="","",Allocation!BM239)</f>
        <v/>
      </c>
      <c r="F239" t="str">
        <f>IF(Allocation!BN239="","",Allocation!BN239)</f>
        <v/>
      </c>
      <c r="G239" t="str">
        <f>IF(Allocation!BO239="","",Allocation!BO239)</f>
        <v/>
      </c>
      <c r="H239" t="str">
        <f>IF(Allocation!BP239="","",Allocation!BP239)</f>
        <v/>
      </c>
      <c r="I239" t="str">
        <f>IF(Allocation!BQ239="","",Allocation!BQ239)</f>
        <v/>
      </c>
      <c r="J239" t="str">
        <f>IF(Allocation!CC239="","",Allocation!CC239)</f>
        <v/>
      </c>
      <c r="K239" t="str">
        <f t="shared" si="57"/>
        <v/>
      </c>
      <c r="L239" t="str">
        <f t="shared" si="58"/>
        <v/>
      </c>
      <c r="M239" t="str">
        <f t="shared" si="59"/>
        <v/>
      </c>
      <c r="N239" t="str">
        <f t="shared" si="60"/>
        <v/>
      </c>
      <c r="O239" t="str">
        <f t="shared" si="61"/>
        <v/>
      </c>
      <c r="P239" t="str">
        <f t="shared" si="62"/>
        <v/>
      </c>
      <c r="Q239" t="str">
        <f t="shared" si="63"/>
        <v/>
      </c>
      <c r="R239" t="str">
        <f t="shared" si="64"/>
        <v/>
      </c>
      <c r="S239" t="str">
        <f t="shared" si="65"/>
        <v/>
      </c>
      <c r="T239" t="str">
        <f t="shared" si="66"/>
        <v/>
      </c>
      <c r="U239" t="str">
        <f t="shared" si="67"/>
        <v/>
      </c>
      <c r="V239" t="str">
        <f t="shared" si="68"/>
        <v/>
      </c>
      <c r="W239" t="str">
        <f>IF($A239="","",Allocation!CD239)</f>
        <v/>
      </c>
      <c r="X239" t="str">
        <f>IF($A239="","",Allocation!CE239)</f>
        <v/>
      </c>
      <c r="Y239" t="str">
        <f>IF($A239="","",Allocation!CF239)</f>
        <v/>
      </c>
      <c r="Z239" t="str">
        <f>IF($A239="","",Allocation!CG239)</f>
        <v/>
      </c>
      <c r="AA239" t="str">
        <f>IF($A239="","",Allocation!CH239)</f>
        <v/>
      </c>
      <c r="AB239" t="str">
        <f>IF($A239="","",Allocation!CI239)</f>
        <v/>
      </c>
      <c r="AC239" t="str">
        <f>IF($A239="","",IF(Allocation!$N$4="VOL_EFF",$G239,IF(Allocation!$N$4="VOL_CLASS",$H239,$I239)))</f>
        <v/>
      </c>
      <c r="AD239" t="str">
        <f>IF($A239="","",IF(Allocation!$N$4="VOL_EFF",$L239,IF(Allocation!$N$4="VOL_CLASS",$M239,$N239)))</f>
        <v/>
      </c>
      <c r="AE239" t="str">
        <f>IF($A239="","",IF(Allocation!$N$3="VOL_EFF",$L239,IF(Allocation!$N$3="VOL_CLASS",$M239,$N239)))</f>
        <v/>
      </c>
      <c r="AF239" t="str">
        <f>IF($A239="","",IF(Allocation!$N$3="VOL_EFF",$Q239,IF(Allocation!$N$3="VOL_CLASS",$R239,$S239)))</f>
        <v/>
      </c>
      <c r="AG239" t="str">
        <f>IF($A239="","",IF(Allocation!$N$1="VOL_EFF",$Q239,IF(Allocation!$N$1="VOL_CLASS",$R239,$S239)))</f>
        <v/>
      </c>
      <c r="AH239" t="str">
        <f>IF($A239="","",IF(Allocation!$N$1="VOL_EFF",$T239,IF(Allocation!$N$1="VOL_CLASS",$U239,$V239)))</f>
        <v/>
      </c>
      <c r="AI239" t="str">
        <f t="shared" si="69"/>
        <v/>
      </c>
      <c r="AJ239" t="str">
        <f t="shared" si="70"/>
        <v/>
      </c>
      <c r="AK239" t="str">
        <f t="shared" si="71"/>
        <v/>
      </c>
      <c r="AL239" t="str">
        <f t="shared" si="72"/>
        <v/>
      </c>
      <c r="AM239" t="str">
        <f t="shared" si="73"/>
        <v/>
      </c>
      <c r="AN239" t="str">
        <f t="shared" si="74"/>
        <v/>
      </c>
      <c r="AO239" t="str">
        <f>IF($A239="","",Allocation!CJ239)</f>
        <v/>
      </c>
      <c r="AP239" t="str">
        <f>IF($A239="","",IF(Allocation!$N$2="VOL_EFF",$Q239,IF(Allocation!$N$2="VOL_CLASS",$R239,$S239)))</f>
        <v/>
      </c>
      <c r="AQ239" t="str">
        <f>IF($A239="","",IF(Allocation!$N$2="VOL_EFF",$T239,IF(Allocation!$N$2="VOL_CLASS",$U239,$V239)))</f>
        <v/>
      </c>
      <c r="AR239" t="str">
        <f t="shared" si="75"/>
        <v/>
      </c>
      <c r="AS239" t="str">
        <f>IF($A239="","",$A239&amp;"|"&amp;Allocation!BG239)</f>
        <v/>
      </c>
    </row>
    <row r="240" spans="1:45" x14ac:dyDescent="0.45">
      <c r="A240" t="str">
        <f>IF(Allocation!BI240="","",Allocation!BI240)</f>
        <v/>
      </c>
      <c r="B240" t="str">
        <f>IF(Allocation!BJ240="","",Allocation!BJ240)</f>
        <v/>
      </c>
      <c r="C240" t="str">
        <f>IF(Allocation!BK240="","",Allocation!BK240)</f>
        <v/>
      </c>
      <c r="D240" t="str">
        <f>IF(Allocation!BL240="","",Allocation!BL240)</f>
        <v/>
      </c>
      <c r="E240" t="str">
        <f>IF(Allocation!BM240="","",Allocation!BM240)</f>
        <v/>
      </c>
      <c r="F240" t="str">
        <f>IF(Allocation!BN240="","",Allocation!BN240)</f>
        <v/>
      </c>
      <c r="G240" t="str">
        <f>IF(Allocation!BO240="","",Allocation!BO240)</f>
        <v/>
      </c>
      <c r="H240" t="str">
        <f>IF(Allocation!BP240="","",Allocation!BP240)</f>
        <v/>
      </c>
      <c r="I240" t="str">
        <f>IF(Allocation!BQ240="","",Allocation!BQ240)</f>
        <v/>
      </c>
      <c r="J240" t="str">
        <f>IF(Allocation!CC240="","",Allocation!CC240)</f>
        <v/>
      </c>
      <c r="K240" t="str">
        <f t="shared" si="57"/>
        <v/>
      </c>
      <c r="L240" t="str">
        <f t="shared" si="58"/>
        <v/>
      </c>
      <c r="M240" t="str">
        <f t="shared" si="59"/>
        <v/>
      </c>
      <c r="N240" t="str">
        <f t="shared" si="60"/>
        <v/>
      </c>
      <c r="O240" t="str">
        <f t="shared" si="61"/>
        <v/>
      </c>
      <c r="P240" t="str">
        <f t="shared" si="62"/>
        <v/>
      </c>
      <c r="Q240" t="str">
        <f t="shared" si="63"/>
        <v/>
      </c>
      <c r="R240" t="str">
        <f t="shared" si="64"/>
        <v/>
      </c>
      <c r="S240" t="str">
        <f t="shared" si="65"/>
        <v/>
      </c>
      <c r="T240" t="str">
        <f t="shared" si="66"/>
        <v/>
      </c>
      <c r="U240" t="str">
        <f t="shared" si="67"/>
        <v/>
      </c>
      <c r="V240" t="str">
        <f t="shared" si="68"/>
        <v/>
      </c>
      <c r="W240" t="str">
        <f>IF($A240="","",Allocation!CD240)</f>
        <v/>
      </c>
      <c r="X240" t="str">
        <f>IF($A240="","",Allocation!CE240)</f>
        <v/>
      </c>
      <c r="Y240" t="str">
        <f>IF($A240="","",Allocation!CF240)</f>
        <v/>
      </c>
      <c r="Z240" t="str">
        <f>IF($A240="","",Allocation!CG240)</f>
        <v/>
      </c>
      <c r="AA240" t="str">
        <f>IF($A240="","",Allocation!CH240)</f>
        <v/>
      </c>
      <c r="AB240" t="str">
        <f>IF($A240="","",Allocation!CI240)</f>
        <v/>
      </c>
      <c r="AC240" t="str">
        <f>IF($A240="","",IF(Allocation!$N$4="VOL_EFF",$G240,IF(Allocation!$N$4="VOL_CLASS",$H240,$I240)))</f>
        <v/>
      </c>
      <c r="AD240" t="str">
        <f>IF($A240="","",IF(Allocation!$N$4="VOL_EFF",$L240,IF(Allocation!$N$4="VOL_CLASS",$M240,$N240)))</f>
        <v/>
      </c>
      <c r="AE240" t="str">
        <f>IF($A240="","",IF(Allocation!$N$3="VOL_EFF",$L240,IF(Allocation!$N$3="VOL_CLASS",$M240,$N240)))</f>
        <v/>
      </c>
      <c r="AF240" t="str">
        <f>IF($A240="","",IF(Allocation!$N$3="VOL_EFF",$Q240,IF(Allocation!$N$3="VOL_CLASS",$R240,$S240)))</f>
        <v/>
      </c>
      <c r="AG240" t="str">
        <f>IF($A240="","",IF(Allocation!$N$1="VOL_EFF",$Q240,IF(Allocation!$N$1="VOL_CLASS",$R240,$S240)))</f>
        <v/>
      </c>
      <c r="AH240" t="str">
        <f>IF($A240="","",IF(Allocation!$N$1="VOL_EFF",$T240,IF(Allocation!$N$1="VOL_CLASS",$U240,$V240)))</f>
        <v/>
      </c>
      <c r="AI240" t="str">
        <f t="shared" si="69"/>
        <v/>
      </c>
      <c r="AJ240" t="str">
        <f t="shared" si="70"/>
        <v/>
      </c>
      <c r="AK240" t="str">
        <f t="shared" si="71"/>
        <v/>
      </c>
      <c r="AL240" t="str">
        <f t="shared" si="72"/>
        <v/>
      </c>
      <c r="AM240" t="str">
        <f t="shared" si="73"/>
        <v/>
      </c>
      <c r="AN240" t="str">
        <f t="shared" si="74"/>
        <v/>
      </c>
      <c r="AO240" t="str">
        <f>IF($A240="","",Allocation!CJ240)</f>
        <v/>
      </c>
      <c r="AP240" t="str">
        <f>IF($A240="","",IF(Allocation!$N$2="VOL_EFF",$Q240,IF(Allocation!$N$2="VOL_CLASS",$R240,$S240)))</f>
        <v/>
      </c>
      <c r="AQ240" t="str">
        <f>IF($A240="","",IF(Allocation!$N$2="VOL_EFF",$T240,IF(Allocation!$N$2="VOL_CLASS",$U240,$V240)))</f>
        <v/>
      </c>
      <c r="AR240" t="str">
        <f t="shared" si="75"/>
        <v/>
      </c>
      <c r="AS240" t="str">
        <f>IF($A240="","",$A240&amp;"|"&amp;Allocation!BG240)</f>
        <v/>
      </c>
    </row>
    <row r="241" spans="1:45" x14ac:dyDescent="0.45">
      <c r="A241" t="str">
        <f>IF(Allocation!BI241="","",Allocation!BI241)</f>
        <v/>
      </c>
      <c r="B241" t="str">
        <f>IF(Allocation!BJ241="","",Allocation!BJ241)</f>
        <v/>
      </c>
      <c r="C241" t="str">
        <f>IF(Allocation!BK241="","",Allocation!BK241)</f>
        <v/>
      </c>
      <c r="D241" t="str">
        <f>IF(Allocation!BL241="","",Allocation!BL241)</f>
        <v/>
      </c>
      <c r="E241" t="str">
        <f>IF(Allocation!BM241="","",Allocation!BM241)</f>
        <v/>
      </c>
      <c r="F241" t="str">
        <f>IF(Allocation!BN241="","",Allocation!BN241)</f>
        <v/>
      </c>
      <c r="G241" t="str">
        <f>IF(Allocation!BO241="","",Allocation!BO241)</f>
        <v/>
      </c>
      <c r="H241" t="str">
        <f>IF(Allocation!BP241="","",Allocation!BP241)</f>
        <v/>
      </c>
      <c r="I241" t="str">
        <f>IF(Allocation!BQ241="","",Allocation!BQ241)</f>
        <v/>
      </c>
      <c r="J241" t="str">
        <f>IF(Allocation!CC241="","",Allocation!CC241)</f>
        <v/>
      </c>
      <c r="K241" t="str">
        <f t="shared" si="57"/>
        <v/>
      </c>
      <c r="L241" t="str">
        <f t="shared" si="58"/>
        <v/>
      </c>
      <c r="M241" t="str">
        <f t="shared" si="59"/>
        <v/>
      </c>
      <c r="N241" t="str">
        <f t="shared" si="60"/>
        <v/>
      </c>
      <c r="O241" t="str">
        <f t="shared" si="61"/>
        <v/>
      </c>
      <c r="P241" t="str">
        <f t="shared" si="62"/>
        <v/>
      </c>
      <c r="Q241" t="str">
        <f t="shared" si="63"/>
        <v/>
      </c>
      <c r="R241" t="str">
        <f t="shared" si="64"/>
        <v/>
      </c>
      <c r="S241" t="str">
        <f t="shared" si="65"/>
        <v/>
      </c>
      <c r="T241" t="str">
        <f t="shared" si="66"/>
        <v/>
      </c>
      <c r="U241" t="str">
        <f t="shared" si="67"/>
        <v/>
      </c>
      <c r="V241" t="str">
        <f t="shared" si="68"/>
        <v/>
      </c>
      <c r="W241" t="str">
        <f>IF($A241="","",Allocation!CD241)</f>
        <v/>
      </c>
      <c r="X241" t="str">
        <f>IF($A241="","",Allocation!CE241)</f>
        <v/>
      </c>
      <c r="Y241" t="str">
        <f>IF($A241="","",Allocation!CF241)</f>
        <v/>
      </c>
      <c r="Z241" t="str">
        <f>IF($A241="","",Allocation!CG241)</f>
        <v/>
      </c>
      <c r="AA241" t="str">
        <f>IF($A241="","",Allocation!CH241)</f>
        <v/>
      </c>
      <c r="AB241" t="str">
        <f>IF($A241="","",Allocation!CI241)</f>
        <v/>
      </c>
      <c r="AC241" t="str">
        <f>IF($A241="","",IF(Allocation!$N$4="VOL_EFF",$G241,IF(Allocation!$N$4="VOL_CLASS",$H241,$I241)))</f>
        <v/>
      </c>
      <c r="AD241" t="str">
        <f>IF($A241="","",IF(Allocation!$N$4="VOL_EFF",$L241,IF(Allocation!$N$4="VOL_CLASS",$M241,$N241)))</f>
        <v/>
      </c>
      <c r="AE241" t="str">
        <f>IF($A241="","",IF(Allocation!$N$3="VOL_EFF",$L241,IF(Allocation!$N$3="VOL_CLASS",$M241,$N241)))</f>
        <v/>
      </c>
      <c r="AF241" t="str">
        <f>IF($A241="","",IF(Allocation!$N$3="VOL_EFF",$Q241,IF(Allocation!$N$3="VOL_CLASS",$R241,$S241)))</f>
        <v/>
      </c>
      <c r="AG241" t="str">
        <f>IF($A241="","",IF(Allocation!$N$1="VOL_EFF",$Q241,IF(Allocation!$N$1="VOL_CLASS",$R241,$S241)))</f>
        <v/>
      </c>
      <c r="AH241" t="str">
        <f>IF($A241="","",IF(Allocation!$N$1="VOL_EFF",$T241,IF(Allocation!$N$1="VOL_CLASS",$U241,$V241)))</f>
        <v/>
      </c>
      <c r="AI241" t="str">
        <f t="shared" si="69"/>
        <v/>
      </c>
      <c r="AJ241" t="str">
        <f t="shared" si="70"/>
        <v/>
      </c>
      <c r="AK241" t="str">
        <f t="shared" si="71"/>
        <v/>
      </c>
      <c r="AL241" t="str">
        <f t="shared" si="72"/>
        <v/>
      </c>
      <c r="AM241" t="str">
        <f t="shared" si="73"/>
        <v/>
      </c>
      <c r="AN241" t="str">
        <f t="shared" si="74"/>
        <v/>
      </c>
      <c r="AO241" t="str">
        <f>IF($A241="","",Allocation!CJ241)</f>
        <v/>
      </c>
      <c r="AP241" t="str">
        <f>IF($A241="","",IF(Allocation!$N$2="VOL_EFF",$Q241,IF(Allocation!$N$2="VOL_CLASS",$R241,$S241)))</f>
        <v/>
      </c>
      <c r="AQ241" t="str">
        <f>IF($A241="","",IF(Allocation!$N$2="VOL_EFF",$T241,IF(Allocation!$N$2="VOL_CLASS",$U241,$V241)))</f>
        <v/>
      </c>
      <c r="AR241" t="str">
        <f t="shared" si="75"/>
        <v/>
      </c>
      <c r="AS241" t="str">
        <f>IF($A241="","",$A241&amp;"|"&amp;Allocation!BG241)</f>
        <v/>
      </c>
    </row>
    <row r="242" spans="1:45" x14ac:dyDescent="0.45">
      <c r="A242" t="str">
        <f>IF(Allocation!BI242="","",Allocation!BI242)</f>
        <v/>
      </c>
      <c r="B242" t="str">
        <f>IF(Allocation!BJ242="","",Allocation!BJ242)</f>
        <v/>
      </c>
      <c r="C242" t="str">
        <f>IF(Allocation!BK242="","",Allocation!BK242)</f>
        <v/>
      </c>
      <c r="D242" t="str">
        <f>IF(Allocation!BL242="","",Allocation!BL242)</f>
        <v/>
      </c>
      <c r="E242" t="str">
        <f>IF(Allocation!BM242="","",Allocation!BM242)</f>
        <v/>
      </c>
      <c r="F242" t="str">
        <f>IF(Allocation!BN242="","",Allocation!BN242)</f>
        <v/>
      </c>
      <c r="G242" t="str">
        <f>IF(Allocation!BO242="","",Allocation!BO242)</f>
        <v/>
      </c>
      <c r="H242" t="str">
        <f>IF(Allocation!BP242="","",Allocation!BP242)</f>
        <v/>
      </c>
      <c r="I242" t="str">
        <f>IF(Allocation!BQ242="","",Allocation!BQ242)</f>
        <v/>
      </c>
      <c r="J242" t="str">
        <f>IF(Allocation!CC242="","",Allocation!CC242)</f>
        <v/>
      </c>
      <c r="K242" t="str">
        <f t="shared" si="57"/>
        <v/>
      </c>
      <c r="L242" t="str">
        <f t="shared" si="58"/>
        <v/>
      </c>
      <c r="M242" t="str">
        <f t="shared" si="59"/>
        <v/>
      </c>
      <c r="N242" t="str">
        <f t="shared" si="60"/>
        <v/>
      </c>
      <c r="O242" t="str">
        <f t="shared" si="61"/>
        <v/>
      </c>
      <c r="P242" t="str">
        <f t="shared" si="62"/>
        <v/>
      </c>
      <c r="Q242" t="str">
        <f t="shared" si="63"/>
        <v/>
      </c>
      <c r="R242" t="str">
        <f t="shared" si="64"/>
        <v/>
      </c>
      <c r="S242" t="str">
        <f t="shared" si="65"/>
        <v/>
      </c>
      <c r="T242" t="str">
        <f t="shared" si="66"/>
        <v/>
      </c>
      <c r="U242" t="str">
        <f t="shared" si="67"/>
        <v/>
      </c>
      <c r="V242" t="str">
        <f t="shared" si="68"/>
        <v/>
      </c>
      <c r="W242" t="str">
        <f>IF($A242="","",Allocation!CD242)</f>
        <v/>
      </c>
      <c r="X242" t="str">
        <f>IF($A242="","",Allocation!CE242)</f>
        <v/>
      </c>
      <c r="Y242" t="str">
        <f>IF($A242="","",Allocation!CF242)</f>
        <v/>
      </c>
      <c r="Z242" t="str">
        <f>IF($A242="","",Allocation!CG242)</f>
        <v/>
      </c>
      <c r="AA242" t="str">
        <f>IF($A242="","",Allocation!CH242)</f>
        <v/>
      </c>
      <c r="AB242" t="str">
        <f>IF($A242="","",Allocation!CI242)</f>
        <v/>
      </c>
      <c r="AC242" t="str">
        <f>IF($A242="","",IF(Allocation!$N$4="VOL_EFF",$G242,IF(Allocation!$N$4="VOL_CLASS",$H242,$I242)))</f>
        <v/>
      </c>
      <c r="AD242" t="str">
        <f>IF($A242="","",IF(Allocation!$N$4="VOL_EFF",$L242,IF(Allocation!$N$4="VOL_CLASS",$M242,$N242)))</f>
        <v/>
      </c>
      <c r="AE242" t="str">
        <f>IF($A242="","",IF(Allocation!$N$3="VOL_EFF",$L242,IF(Allocation!$N$3="VOL_CLASS",$M242,$N242)))</f>
        <v/>
      </c>
      <c r="AF242" t="str">
        <f>IF($A242="","",IF(Allocation!$N$3="VOL_EFF",$Q242,IF(Allocation!$N$3="VOL_CLASS",$R242,$S242)))</f>
        <v/>
      </c>
      <c r="AG242" t="str">
        <f>IF($A242="","",IF(Allocation!$N$1="VOL_EFF",$Q242,IF(Allocation!$N$1="VOL_CLASS",$R242,$S242)))</f>
        <v/>
      </c>
      <c r="AH242" t="str">
        <f>IF($A242="","",IF(Allocation!$N$1="VOL_EFF",$T242,IF(Allocation!$N$1="VOL_CLASS",$U242,$V242)))</f>
        <v/>
      </c>
      <c r="AI242" t="str">
        <f t="shared" si="69"/>
        <v/>
      </c>
      <c r="AJ242" t="str">
        <f t="shared" si="70"/>
        <v/>
      </c>
      <c r="AK242" t="str">
        <f t="shared" si="71"/>
        <v/>
      </c>
      <c r="AL242" t="str">
        <f t="shared" si="72"/>
        <v/>
      </c>
      <c r="AM242" t="str">
        <f t="shared" si="73"/>
        <v/>
      </c>
      <c r="AN242" t="str">
        <f t="shared" si="74"/>
        <v/>
      </c>
      <c r="AO242" t="str">
        <f>IF($A242="","",Allocation!CJ242)</f>
        <v/>
      </c>
      <c r="AP242" t="str">
        <f>IF($A242="","",IF(Allocation!$N$2="VOL_EFF",$Q242,IF(Allocation!$N$2="VOL_CLASS",$R242,$S242)))</f>
        <v/>
      </c>
      <c r="AQ242" t="str">
        <f>IF($A242="","",IF(Allocation!$N$2="VOL_EFF",$T242,IF(Allocation!$N$2="VOL_CLASS",$U242,$V242)))</f>
        <v/>
      </c>
      <c r="AR242" t="str">
        <f t="shared" si="75"/>
        <v/>
      </c>
      <c r="AS242" t="str">
        <f>IF($A242="","",$A242&amp;"|"&amp;Allocation!BG242)</f>
        <v/>
      </c>
    </row>
    <row r="243" spans="1:45" x14ac:dyDescent="0.45">
      <c r="A243" t="str">
        <f>IF(Allocation!BI243="","",Allocation!BI243)</f>
        <v/>
      </c>
      <c r="B243" t="str">
        <f>IF(Allocation!BJ243="","",Allocation!BJ243)</f>
        <v/>
      </c>
      <c r="C243" t="str">
        <f>IF(Allocation!BK243="","",Allocation!BK243)</f>
        <v/>
      </c>
      <c r="D243" t="str">
        <f>IF(Allocation!BL243="","",Allocation!BL243)</f>
        <v/>
      </c>
      <c r="E243" t="str">
        <f>IF(Allocation!BM243="","",Allocation!BM243)</f>
        <v/>
      </c>
      <c r="F243" t="str">
        <f>IF(Allocation!BN243="","",Allocation!BN243)</f>
        <v/>
      </c>
      <c r="G243" t="str">
        <f>IF(Allocation!BO243="","",Allocation!BO243)</f>
        <v/>
      </c>
      <c r="H243" t="str">
        <f>IF(Allocation!BP243="","",Allocation!BP243)</f>
        <v/>
      </c>
      <c r="I243" t="str">
        <f>IF(Allocation!BQ243="","",Allocation!BQ243)</f>
        <v/>
      </c>
      <c r="J243" t="str">
        <f>IF(Allocation!CC243="","",Allocation!CC243)</f>
        <v/>
      </c>
      <c r="K243" t="str">
        <f t="shared" si="57"/>
        <v/>
      </c>
      <c r="L243" t="str">
        <f t="shared" si="58"/>
        <v/>
      </c>
      <c r="M243" t="str">
        <f t="shared" si="59"/>
        <v/>
      </c>
      <c r="N243" t="str">
        <f t="shared" si="60"/>
        <v/>
      </c>
      <c r="O243" t="str">
        <f t="shared" si="61"/>
        <v/>
      </c>
      <c r="P243" t="str">
        <f t="shared" si="62"/>
        <v/>
      </c>
      <c r="Q243" t="str">
        <f t="shared" si="63"/>
        <v/>
      </c>
      <c r="R243" t="str">
        <f t="shared" si="64"/>
        <v/>
      </c>
      <c r="S243" t="str">
        <f t="shared" si="65"/>
        <v/>
      </c>
      <c r="T243" t="str">
        <f t="shared" si="66"/>
        <v/>
      </c>
      <c r="U243" t="str">
        <f t="shared" si="67"/>
        <v/>
      </c>
      <c r="V243" t="str">
        <f t="shared" si="68"/>
        <v/>
      </c>
      <c r="W243" t="str">
        <f>IF($A243="","",Allocation!CD243)</f>
        <v/>
      </c>
      <c r="X243" t="str">
        <f>IF($A243="","",Allocation!CE243)</f>
        <v/>
      </c>
      <c r="Y243" t="str">
        <f>IF($A243="","",Allocation!CF243)</f>
        <v/>
      </c>
      <c r="Z243" t="str">
        <f>IF($A243="","",Allocation!CG243)</f>
        <v/>
      </c>
      <c r="AA243" t="str">
        <f>IF($A243="","",Allocation!CH243)</f>
        <v/>
      </c>
      <c r="AB243" t="str">
        <f>IF($A243="","",Allocation!CI243)</f>
        <v/>
      </c>
      <c r="AC243" t="str">
        <f>IF($A243="","",IF(Allocation!$N$4="VOL_EFF",$G243,IF(Allocation!$N$4="VOL_CLASS",$H243,$I243)))</f>
        <v/>
      </c>
      <c r="AD243" t="str">
        <f>IF($A243="","",IF(Allocation!$N$4="VOL_EFF",$L243,IF(Allocation!$N$4="VOL_CLASS",$M243,$N243)))</f>
        <v/>
      </c>
      <c r="AE243" t="str">
        <f>IF($A243="","",IF(Allocation!$N$3="VOL_EFF",$L243,IF(Allocation!$N$3="VOL_CLASS",$M243,$N243)))</f>
        <v/>
      </c>
      <c r="AF243" t="str">
        <f>IF($A243="","",IF(Allocation!$N$3="VOL_EFF",$Q243,IF(Allocation!$N$3="VOL_CLASS",$R243,$S243)))</f>
        <v/>
      </c>
      <c r="AG243" t="str">
        <f>IF($A243="","",IF(Allocation!$N$1="VOL_EFF",$Q243,IF(Allocation!$N$1="VOL_CLASS",$R243,$S243)))</f>
        <v/>
      </c>
      <c r="AH243" t="str">
        <f>IF($A243="","",IF(Allocation!$N$1="VOL_EFF",$T243,IF(Allocation!$N$1="VOL_CLASS",$U243,$V243)))</f>
        <v/>
      </c>
      <c r="AI243" t="str">
        <f t="shared" si="69"/>
        <v/>
      </c>
      <c r="AJ243" t="str">
        <f t="shared" si="70"/>
        <v/>
      </c>
      <c r="AK243" t="str">
        <f t="shared" si="71"/>
        <v/>
      </c>
      <c r="AL243" t="str">
        <f t="shared" si="72"/>
        <v/>
      </c>
      <c r="AM243" t="str">
        <f t="shared" si="73"/>
        <v/>
      </c>
      <c r="AN243" t="str">
        <f t="shared" si="74"/>
        <v/>
      </c>
      <c r="AO243" t="str">
        <f>IF($A243="","",Allocation!CJ243)</f>
        <v/>
      </c>
      <c r="AP243" t="str">
        <f>IF($A243="","",IF(Allocation!$N$2="VOL_EFF",$Q243,IF(Allocation!$N$2="VOL_CLASS",$R243,$S243)))</f>
        <v/>
      </c>
      <c r="AQ243" t="str">
        <f>IF($A243="","",IF(Allocation!$N$2="VOL_EFF",$T243,IF(Allocation!$N$2="VOL_CLASS",$U243,$V243)))</f>
        <v/>
      </c>
      <c r="AR243" t="str">
        <f t="shared" si="75"/>
        <v/>
      </c>
      <c r="AS243" t="str">
        <f>IF($A243="","",$A243&amp;"|"&amp;Allocation!BG243)</f>
        <v/>
      </c>
    </row>
    <row r="244" spans="1:45" x14ac:dyDescent="0.45">
      <c r="A244" t="str">
        <f>IF(Allocation!BI244="","",Allocation!BI244)</f>
        <v/>
      </c>
      <c r="B244" t="str">
        <f>IF(Allocation!BJ244="","",Allocation!BJ244)</f>
        <v/>
      </c>
      <c r="C244" t="str">
        <f>IF(Allocation!BK244="","",Allocation!BK244)</f>
        <v/>
      </c>
      <c r="D244" t="str">
        <f>IF(Allocation!BL244="","",Allocation!BL244)</f>
        <v/>
      </c>
      <c r="E244" t="str">
        <f>IF(Allocation!BM244="","",Allocation!BM244)</f>
        <v/>
      </c>
      <c r="F244" t="str">
        <f>IF(Allocation!BN244="","",Allocation!BN244)</f>
        <v/>
      </c>
      <c r="G244" t="str">
        <f>IF(Allocation!BO244="","",Allocation!BO244)</f>
        <v/>
      </c>
      <c r="H244" t="str">
        <f>IF(Allocation!BP244="","",Allocation!BP244)</f>
        <v/>
      </c>
      <c r="I244" t="str">
        <f>IF(Allocation!BQ244="","",Allocation!BQ244)</f>
        <v/>
      </c>
      <c r="J244" t="str">
        <f>IF(Allocation!CC244="","",Allocation!CC244)</f>
        <v/>
      </c>
      <c r="K244" t="str">
        <f t="shared" si="57"/>
        <v/>
      </c>
      <c r="L244" t="str">
        <f t="shared" si="58"/>
        <v/>
      </c>
      <c r="M244" t="str">
        <f t="shared" si="59"/>
        <v/>
      </c>
      <c r="N244" t="str">
        <f t="shared" si="60"/>
        <v/>
      </c>
      <c r="O244" t="str">
        <f t="shared" si="61"/>
        <v/>
      </c>
      <c r="P244" t="str">
        <f t="shared" si="62"/>
        <v/>
      </c>
      <c r="Q244" t="str">
        <f t="shared" si="63"/>
        <v/>
      </c>
      <c r="R244" t="str">
        <f t="shared" si="64"/>
        <v/>
      </c>
      <c r="S244" t="str">
        <f t="shared" si="65"/>
        <v/>
      </c>
      <c r="T244" t="str">
        <f t="shared" si="66"/>
        <v/>
      </c>
      <c r="U244" t="str">
        <f t="shared" si="67"/>
        <v/>
      </c>
      <c r="V244" t="str">
        <f t="shared" si="68"/>
        <v/>
      </c>
      <c r="W244" t="str">
        <f>IF($A244="","",Allocation!CD244)</f>
        <v/>
      </c>
      <c r="X244" t="str">
        <f>IF($A244="","",Allocation!CE244)</f>
        <v/>
      </c>
      <c r="Y244" t="str">
        <f>IF($A244="","",Allocation!CF244)</f>
        <v/>
      </c>
      <c r="Z244" t="str">
        <f>IF($A244="","",Allocation!CG244)</f>
        <v/>
      </c>
      <c r="AA244" t="str">
        <f>IF($A244="","",Allocation!CH244)</f>
        <v/>
      </c>
      <c r="AB244" t="str">
        <f>IF($A244="","",Allocation!CI244)</f>
        <v/>
      </c>
      <c r="AC244" t="str">
        <f>IF($A244="","",IF(Allocation!$N$4="VOL_EFF",$G244,IF(Allocation!$N$4="VOL_CLASS",$H244,$I244)))</f>
        <v/>
      </c>
      <c r="AD244" t="str">
        <f>IF($A244="","",IF(Allocation!$N$4="VOL_EFF",$L244,IF(Allocation!$N$4="VOL_CLASS",$M244,$N244)))</f>
        <v/>
      </c>
      <c r="AE244" t="str">
        <f>IF($A244="","",IF(Allocation!$N$3="VOL_EFF",$L244,IF(Allocation!$N$3="VOL_CLASS",$M244,$N244)))</f>
        <v/>
      </c>
      <c r="AF244" t="str">
        <f>IF($A244="","",IF(Allocation!$N$3="VOL_EFF",$Q244,IF(Allocation!$N$3="VOL_CLASS",$R244,$S244)))</f>
        <v/>
      </c>
      <c r="AG244" t="str">
        <f>IF($A244="","",IF(Allocation!$N$1="VOL_EFF",$Q244,IF(Allocation!$N$1="VOL_CLASS",$R244,$S244)))</f>
        <v/>
      </c>
      <c r="AH244" t="str">
        <f>IF($A244="","",IF(Allocation!$N$1="VOL_EFF",$T244,IF(Allocation!$N$1="VOL_CLASS",$U244,$V244)))</f>
        <v/>
      </c>
      <c r="AI244" t="str">
        <f t="shared" si="69"/>
        <v/>
      </c>
      <c r="AJ244" t="str">
        <f t="shared" si="70"/>
        <v/>
      </c>
      <c r="AK244" t="str">
        <f t="shared" si="71"/>
        <v/>
      </c>
      <c r="AL244" t="str">
        <f t="shared" si="72"/>
        <v/>
      </c>
      <c r="AM244" t="str">
        <f t="shared" si="73"/>
        <v/>
      </c>
      <c r="AN244" t="str">
        <f t="shared" si="74"/>
        <v/>
      </c>
      <c r="AO244" t="str">
        <f>IF($A244="","",Allocation!CJ244)</f>
        <v/>
      </c>
      <c r="AP244" t="str">
        <f>IF($A244="","",IF(Allocation!$N$2="VOL_EFF",$Q244,IF(Allocation!$N$2="VOL_CLASS",$R244,$S244)))</f>
        <v/>
      </c>
      <c r="AQ244" t="str">
        <f>IF($A244="","",IF(Allocation!$N$2="VOL_EFF",$T244,IF(Allocation!$N$2="VOL_CLASS",$U244,$V244)))</f>
        <v/>
      </c>
      <c r="AR244" t="str">
        <f t="shared" si="75"/>
        <v/>
      </c>
      <c r="AS244" t="str">
        <f>IF($A244="","",$A244&amp;"|"&amp;Allocation!BG244)</f>
        <v/>
      </c>
    </row>
    <row r="245" spans="1:45" x14ac:dyDescent="0.45">
      <c r="A245" t="str">
        <f>IF(Allocation!BI245="","",Allocation!BI245)</f>
        <v/>
      </c>
      <c r="B245" t="str">
        <f>IF(Allocation!BJ245="","",Allocation!BJ245)</f>
        <v/>
      </c>
      <c r="C245" t="str">
        <f>IF(Allocation!BK245="","",Allocation!BK245)</f>
        <v/>
      </c>
      <c r="D245" t="str">
        <f>IF(Allocation!BL245="","",Allocation!BL245)</f>
        <v/>
      </c>
      <c r="E245" t="str">
        <f>IF(Allocation!BM245="","",Allocation!BM245)</f>
        <v/>
      </c>
      <c r="F245" t="str">
        <f>IF(Allocation!BN245="","",Allocation!BN245)</f>
        <v/>
      </c>
      <c r="G245" t="str">
        <f>IF(Allocation!BO245="","",Allocation!BO245)</f>
        <v/>
      </c>
      <c r="H245" t="str">
        <f>IF(Allocation!BP245="","",Allocation!BP245)</f>
        <v/>
      </c>
      <c r="I245" t="str">
        <f>IF(Allocation!BQ245="","",Allocation!BQ245)</f>
        <v/>
      </c>
      <c r="J245" t="str">
        <f>IF(Allocation!CC245="","",Allocation!CC245)</f>
        <v/>
      </c>
      <c r="K245" t="str">
        <f t="shared" si="57"/>
        <v/>
      </c>
      <c r="L245" t="str">
        <f t="shared" si="58"/>
        <v/>
      </c>
      <c r="M245" t="str">
        <f t="shared" si="59"/>
        <v/>
      </c>
      <c r="N245" t="str">
        <f t="shared" si="60"/>
        <v/>
      </c>
      <c r="O245" t="str">
        <f t="shared" si="61"/>
        <v/>
      </c>
      <c r="P245" t="str">
        <f t="shared" si="62"/>
        <v/>
      </c>
      <c r="Q245" t="str">
        <f t="shared" si="63"/>
        <v/>
      </c>
      <c r="R245" t="str">
        <f t="shared" si="64"/>
        <v/>
      </c>
      <c r="S245" t="str">
        <f t="shared" si="65"/>
        <v/>
      </c>
      <c r="T245" t="str">
        <f t="shared" si="66"/>
        <v/>
      </c>
      <c r="U245" t="str">
        <f t="shared" si="67"/>
        <v/>
      </c>
      <c r="V245" t="str">
        <f t="shared" si="68"/>
        <v/>
      </c>
      <c r="W245" t="str">
        <f>IF($A245="","",Allocation!CD245)</f>
        <v/>
      </c>
      <c r="X245" t="str">
        <f>IF($A245="","",Allocation!CE245)</f>
        <v/>
      </c>
      <c r="Y245" t="str">
        <f>IF($A245="","",Allocation!CF245)</f>
        <v/>
      </c>
      <c r="Z245" t="str">
        <f>IF($A245="","",Allocation!CG245)</f>
        <v/>
      </c>
      <c r="AA245" t="str">
        <f>IF($A245="","",Allocation!CH245)</f>
        <v/>
      </c>
      <c r="AB245" t="str">
        <f>IF($A245="","",Allocation!CI245)</f>
        <v/>
      </c>
      <c r="AC245" t="str">
        <f>IF($A245="","",IF(Allocation!$N$4="VOL_EFF",$G245,IF(Allocation!$N$4="VOL_CLASS",$H245,$I245)))</f>
        <v/>
      </c>
      <c r="AD245" t="str">
        <f>IF($A245="","",IF(Allocation!$N$4="VOL_EFF",$L245,IF(Allocation!$N$4="VOL_CLASS",$M245,$N245)))</f>
        <v/>
      </c>
      <c r="AE245" t="str">
        <f>IF($A245="","",IF(Allocation!$N$3="VOL_EFF",$L245,IF(Allocation!$N$3="VOL_CLASS",$M245,$N245)))</f>
        <v/>
      </c>
      <c r="AF245" t="str">
        <f>IF($A245="","",IF(Allocation!$N$3="VOL_EFF",$Q245,IF(Allocation!$N$3="VOL_CLASS",$R245,$S245)))</f>
        <v/>
      </c>
      <c r="AG245" t="str">
        <f>IF($A245="","",IF(Allocation!$N$1="VOL_EFF",$Q245,IF(Allocation!$N$1="VOL_CLASS",$R245,$S245)))</f>
        <v/>
      </c>
      <c r="AH245" t="str">
        <f>IF($A245="","",IF(Allocation!$N$1="VOL_EFF",$T245,IF(Allocation!$N$1="VOL_CLASS",$U245,$V245)))</f>
        <v/>
      </c>
      <c r="AI245" t="str">
        <f t="shared" si="69"/>
        <v/>
      </c>
      <c r="AJ245" t="str">
        <f t="shared" si="70"/>
        <v/>
      </c>
      <c r="AK245" t="str">
        <f t="shared" si="71"/>
        <v/>
      </c>
      <c r="AL245" t="str">
        <f t="shared" si="72"/>
        <v/>
      </c>
      <c r="AM245" t="str">
        <f t="shared" si="73"/>
        <v/>
      </c>
      <c r="AN245" t="str">
        <f t="shared" si="74"/>
        <v/>
      </c>
      <c r="AO245" t="str">
        <f>IF($A245="","",Allocation!CJ245)</f>
        <v/>
      </c>
      <c r="AP245" t="str">
        <f>IF($A245="","",IF(Allocation!$N$2="VOL_EFF",$Q245,IF(Allocation!$N$2="VOL_CLASS",$R245,$S245)))</f>
        <v/>
      </c>
      <c r="AQ245" t="str">
        <f>IF($A245="","",IF(Allocation!$N$2="VOL_EFF",$T245,IF(Allocation!$N$2="VOL_CLASS",$U245,$V245)))</f>
        <v/>
      </c>
      <c r="AR245" t="str">
        <f t="shared" si="75"/>
        <v/>
      </c>
      <c r="AS245" t="str">
        <f>IF($A245="","",$A245&amp;"|"&amp;Allocation!BG245)</f>
        <v/>
      </c>
    </row>
    <row r="246" spans="1:45" x14ac:dyDescent="0.45">
      <c r="A246" t="str">
        <f>IF(Allocation!BI246="","",Allocation!BI246)</f>
        <v/>
      </c>
      <c r="B246" t="str">
        <f>IF(Allocation!BJ246="","",Allocation!BJ246)</f>
        <v/>
      </c>
      <c r="C246" t="str">
        <f>IF(Allocation!BK246="","",Allocation!BK246)</f>
        <v/>
      </c>
      <c r="D246" t="str">
        <f>IF(Allocation!BL246="","",Allocation!BL246)</f>
        <v/>
      </c>
      <c r="E246" t="str">
        <f>IF(Allocation!BM246="","",Allocation!BM246)</f>
        <v/>
      </c>
      <c r="F246" t="str">
        <f>IF(Allocation!BN246="","",Allocation!BN246)</f>
        <v/>
      </c>
      <c r="G246" t="str">
        <f>IF(Allocation!BO246="","",Allocation!BO246)</f>
        <v/>
      </c>
      <c r="H246" t="str">
        <f>IF(Allocation!BP246="","",Allocation!BP246)</f>
        <v/>
      </c>
      <c r="I246" t="str">
        <f>IF(Allocation!BQ246="","",Allocation!BQ246)</f>
        <v/>
      </c>
      <c r="J246" t="str">
        <f>IF(Allocation!CC246="","",Allocation!CC246)</f>
        <v/>
      </c>
      <c r="K246" t="str">
        <f t="shared" si="57"/>
        <v/>
      </c>
      <c r="L246" t="str">
        <f t="shared" si="58"/>
        <v/>
      </c>
      <c r="M246" t="str">
        <f t="shared" si="59"/>
        <v/>
      </c>
      <c r="N246" t="str">
        <f t="shared" si="60"/>
        <v/>
      </c>
      <c r="O246" t="str">
        <f t="shared" si="61"/>
        <v/>
      </c>
      <c r="P246" t="str">
        <f t="shared" si="62"/>
        <v/>
      </c>
      <c r="Q246" t="str">
        <f t="shared" si="63"/>
        <v/>
      </c>
      <c r="R246" t="str">
        <f t="shared" si="64"/>
        <v/>
      </c>
      <c r="S246" t="str">
        <f t="shared" si="65"/>
        <v/>
      </c>
      <c r="T246" t="str">
        <f t="shared" si="66"/>
        <v/>
      </c>
      <c r="U246" t="str">
        <f t="shared" si="67"/>
        <v/>
      </c>
      <c r="V246" t="str">
        <f t="shared" si="68"/>
        <v/>
      </c>
      <c r="W246" t="str">
        <f>IF($A246="","",Allocation!CD246)</f>
        <v/>
      </c>
      <c r="X246" t="str">
        <f>IF($A246="","",Allocation!CE246)</f>
        <v/>
      </c>
      <c r="Y246" t="str">
        <f>IF($A246="","",Allocation!CF246)</f>
        <v/>
      </c>
      <c r="Z246" t="str">
        <f>IF($A246="","",Allocation!CG246)</f>
        <v/>
      </c>
      <c r="AA246" t="str">
        <f>IF($A246="","",Allocation!CH246)</f>
        <v/>
      </c>
      <c r="AB246" t="str">
        <f>IF($A246="","",Allocation!CI246)</f>
        <v/>
      </c>
      <c r="AC246" t="str">
        <f>IF($A246="","",IF(Allocation!$N$4="VOL_EFF",$G246,IF(Allocation!$N$4="VOL_CLASS",$H246,$I246)))</f>
        <v/>
      </c>
      <c r="AD246" t="str">
        <f>IF($A246="","",IF(Allocation!$N$4="VOL_EFF",$L246,IF(Allocation!$N$4="VOL_CLASS",$M246,$N246)))</f>
        <v/>
      </c>
      <c r="AE246" t="str">
        <f>IF($A246="","",IF(Allocation!$N$3="VOL_EFF",$L246,IF(Allocation!$N$3="VOL_CLASS",$M246,$N246)))</f>
        <v/>
      </c>
      <c r="AF246" t="str">
        <f>IF($A246="","",IF(Allocation!$N$3="VOL_EFF",$Q246,IF(Allocation!$N$3="VOL_CLASS",$R246,$S246)))</f>
        <v/>
      </c>
      <c r="AG246" t="str">
        <f>IF($A246="","",IF(Allocation!$N$1="VOL_EFF",$Q246,IF(Allocation!$N$1="VOL_CLASS",$R246,$S246)))</f>
        <v/>
      </c>
      <c r="AH246" t="str">
        <f>IF($A246="","",IF(Allocation!$N$1="VOL_EFF",$T246,IF(Allocation!$N$1="VOL_CLASS",$U246,$V246)))</f>
        <v/>
      </c>
      <c r="AI246" t="str">
        <f t="shared" si="69"/>
        <v/>
      </c>
      <c r="AJ246" t="str">
        <f t="shared" si="70"/>
        <v/>
      </c>
      <c r="AK246" t="str">
        <f t="shared" si="71"/>
        <v/>
      </c>
      <c r="AL246" t="str">
        <f t="shared" si="72"/>
        <v/>
      </c>
      <c r="AM246" t="str">
        <f t="shared" si="73"/>
        <v/>
      </c>
      <c r="AN246" t="str">
        <f t="shared" si="74"/>
        <v/>
      </c>
      <c r="AO246" t="str">
        <f>IF($A246="","",Allocation!CJ246)</f>
        <v/>
      </c>
      <c r="AP246" t="str">
        <f>IF($A246="","",IF(Allocation!$N$2="VOL_EFF",$Q246,IF(Allocation!$N$2="VOL_CLASS",$R246,$S246)))</f>
        <v/>
      </c>
      <c r="AQ246" t="str">
        <f>IF($A246="","",IF(Allocation!$N$2="VOL_EFF",$T246,IF(Allocation!$N$2="VOL_CLASS",$U246,$V246)))</f>
        <v/>
      </c>
      <c r="AR246" t="str">
        <f t="shared" si="75"/>
        <v/>
      </c>
      <c r="AS246" t="str">
        <f>IF($A246="","",$A246&amp;"|"&amp;Allocation!BG246)</f>
        <v/>
      </c>
    </row>
    <row r="247" spans="1:45" x14ac:dyDescent="0.45">
      <c r="A247" t="str">
        <f>IF(Allocation!BI247="","",Allocation!BI247)</f>
        <v/>
      </c>
      <c r="B247" t="str">
        <f>IF(Allocation!BJ247="","",Allocation!BJ247)</f>
        <v/>
      </c>
      <c r="C247" t="str">
        <f>IF(Allocation!BK247="","",Allocation!BK247)</f>
        <v/>
      </c>
      <c r="D247" t="str">
        <f>IF(Allocation!BL247="","",Allocation!BL247)</f>
        <v/>
      </c>
      <c r="E247" t="str">
        <f>IF(Allocation!BM247="","",Allocation!BM247)</f>
        <v/>
      </c>
      <c r="F247" t="str">
        <f>IF(Allocation!BN247="","",Allocation!BN247)</f>
        <v/>
      </c>
      <c r="G247" t="str">
        <f>IF(Allocation!BO247="","",Allocation!BO247)</f>
        <v/>
      </c>
      <c r="H247" t="str">
        <f>IF(Allocation!BP247="","",Allocation!BP247)</f>
        <v/>
      </c>
      <c r="I247" t="str">
        <f>IF(Allocation!BQ247="","",Allocation!BQ247)</f>
        <v/>
      </c>
      <c r="J247" t="str">
        <f>IF(Allocation!CC247="","",Allocation!CC247)</f>
        <v/>
      </c>
      <c r="K247" t="str">
        <f t="shared" si="57"/>
        <v/>
      </c>
      <c r="L247" t="str">
        <f t="shared" si="58"/>
        <v/>
      </c>
      <c r="M247" t="str">
        <f t="shared" si="59"/>
        <v/>
      </c>
      <c r="N247" t="str">
        <f t="shared" si="60"/>
        <v/>
      </c>
      <c r="O247" t="str">
        <f t="shared" si="61"/>
        <v/>
      </c>
      <c r="P247" t="str">
        <f t="shared" si="62"/>
        <v/>
      </c>
      <c r="Q247" t="str">
        <f t="shared" si="63"/>
        <v/>
      </c>
      <c r="R247" t="str">
        <f t="shared" si="64"/>
        <v/>
      </c>
      <c r="S247" t="str">
        <f t="shared" si="65"/>
        <v/>
      </c>
      <c r="T247" t="str">
        <f t="shared" si="66"/>
        <v/>
      </c>
      <c r="U247" t="str">
        <f t="shared" si="67"/>
        <v/>
      </c>
      <c r="V247" t="str">
        <f t="shared" si="68"/>
        <v/>
      </c>
      <c r="W247" t="str">
        <f>IF($A247="","",Allocation!CD247)</f>
        <v/>
      </c>
      <c r="X247" t="str">
        <f>IF($A247="","",Allocation!CE247)</f>
        <v/>
      </c>
      <c r="Y247" t="str">
        <f>IF($A247="","",Allocation!CF247)</f>
        <v/>
      </c>
      <c r="Z247" t="str">
        <f>IF($A247="","",Allocation!CG247)</f>
        <v/>
      </c>
      <c r="AA247" t="str">
        <f>IF($A247="","",Allocation!CH247)</f>
        <v/>
      </c>
      <c r="AB247" t="str">
        <f>IF($A247="","",Allocation!CI247)</f>
        <v/>
      </c>
      <c r="AC247" t="str">
        <f>IF($A247="","",IF(Allocation!$N$4="VOL_EFF",$G247,IF(Allocation!$N$4="VOL_CLASS",$H247,$I247)))</f>
        <v/>
      </c>
      <c r="AD247" t="str">
        <f>IF($A247="","",IF(Allocation!$N$4="VOL_EFF",$L247,IF(Allocation!$N$4="VOL_CLASS",$M247,$N247)))</f>
        <v/>
      </c>
      <c r="AE247" t="str">
        <f>IF($A247="","",IF(Allocation!$N$3="VOL_EFF",$L247,IF(Allocation!$N$3="VOL_CLASS",$M247,$N247)))</f>
        <v/>
      </c>
      <c r="AF247" t="str">
        <f>IF($A247="","",IF(Allocation!$N$3="VOL_EFF",$Q247,IF(Allocation!$N$3="VOL_CLASS",$R247,$S247)))</f>
        <v/>
      </c>
      <c r="AG247" t="str">
        <f>IF($A247="","",IF(Allocation!$N$1="VOL_EFF",$Q247,IF(Allocation!$N$1="VOL_CLASS",$R247,$S247)))</f>
        <v/>
      </c>
      <c r="AH247" t="str">
        <f>IF($A247="","",IF(Allocation!$N$1="VOL_EFF",$T247,IF(Allocation!$N$1="VOL_CLASS",$U247,$V247)))</f>
        <v/>
      </c>
      <c r="AI247" t="str">
        <f t="shared" si="69"/>
        <v/>
      </c>
      <c r="AJ247" t="str">
        <f t="shared" si="70"/>
        <v/>
      </c>
      <c r="AK247" t="str">
        <f t="shared" si="71"/>
        <v/>
      </c>
      <c r="AL247" t="str">
        <f t="shared" si="72"/>
        <v/>
      </c>
      <c r="AM247" t="str">
        <f t="shared" si="73"/>
        <v/>
      </c>
      <c r="AN247" t="str">
        <f t="shared" si="74"/>
        <v/>
      </c>
      <c r="AO247" t="str">
        <f>IF($A247="","",Allocation!CJ247)</f>
        <v/>
      </c>
      <c r="AP247" t="str">
        <f>IF($A247="","",IF(Allocation!$N$2="VOL_EFF",$Q247,IF(Allocation!$N$2="VOL_CLASS",$R247,$S247)))</f>
        <v/>
      </c>
      <c r="AQ247" t="str">
        <f>IF($A247="","",IF(Allocation!$N$2="VOL_EFF",$T247,IF(Allocation!$N$2="VOL_CLASS",$U247,$V247)))</f>
        <v/>
      </c>
      <c r="AR247" t="str">
        <f t="shared" si="75"/>
        <v/>
      </c>
      <c r="AS247" t="str">
        <f>IF($A247="","",$A247&amp;"|"&amp;Allocation!BG247)</f>
        <v/>
      </c>
    </row>
    <row r="248" spans="1:45" x14ac:dyDescent="0.45">
      <c r="A248" t="str">
        <f>IF(Allocation!BI248="","",Allocation!BI248)</f>
        <v/>
      </c>
      <c r="B248" t="str">
        <f>IF(Allocation!BJ248="","",Allocation!BJ248)</f>
        <v/>
      </c>
      <c r="C248" t="str">
        <f>IF(Allocation!BK248="","",Allocation!BK248)</f>
        <v/>
      </c>
      <c r="D248" t="str">
        <f>IF(Allocation!BL248="","",Allocation!BL248)</f>
        <v/>
      </c>
      <c r="E248" t="str">
        <f>IF(Allocation!BM248="","",Allocation!BM248)</f>
        <v/>
      </c>
      <c r="F248" t="str">
        <f>IF(Allocation!BN248="","",Allocation!BN248)</f>
        <v/>
      </c>
      <c r="G248" t="str">
        <f>IF(Allocation!BO248="","",Allocation!BO248)</f>
        <v/>
      </c>
      <c r="H248" t="str">
        <f>IF(Allocation!BP248="","",Allocation!BP248)</f>
        <v/>
      </c>
      <c r="I248" t="str">
        <f>IF(Allocation!BQ248="","",Allocation!BQ248)</f>
        <v/>
      </c>
      <c r="J248" t="str">
        <f>IF(Allocation!CC248="","",Allocation!CC248)</f>
        <v/>
      </c>
      <c r="K248" t="str">
        <f t="shared" si="57"/>
        <v/>
      </c>
      <c r="L248" t="str">
        <f t="shared" si="58"/>
        <v/>
      </c>
      <c r="M248" t="str">
        <f t="shared" si="59"/>
        <v/>
      </c>
      <c r="N248" t="str">
        <f t="shared" si="60"/>
        <v/>
      </c>
      <c r="O248" t="str">
        <f t="shared" si="61"/>
        <v/>
      </c>
      <c r="P248" t="str">
        <f t="shared" si="62"/>
        <v/>
      </c>
      <c r="Q248" t="str">
        <f t="shared" si="63"/>
        <v/>
      </c>
      <c r="R248" t="str">
        <f t="shared" si="64"/>
        <v/>
      </c>
      <c r="S248" t="str">
        <f t="shared" si="65"/>
        <v/>
      </c>
      <c r="T248" t="str">
        <f t="shared" si="66"/>
        <v/>
      </c>
      <c r="U248" t="str">
        <f t="shared" si="67"/>
        <v/>
      </c>
      <c r="V248" t="str">
        <f t="shared" si="68"/>
        <v/>
      </c>
      <c r="W248" t="str">
        <f>IF($A248="","",Allocation!CD248)</f>
        <v/>
      </c>
      <c r="X248" t="str">
        <f>IF($A248="","",Allocation!CE248)</f>
        <v/>
      </c>
      <c r="Y248" t="str">
        <f>IF($A248="","",Allocation!CF248)</f>
        <v/>
      </c>
      <c r="Z248" t="str">
        <f>IF($A248="","",Allocation!CG248)</f>
        <v/>
      </c>
      <c r="AA248" t="str">
        <f>IF($A248="","",Allocation!CH248)</f>
        <v/>
      </c>
      <c r="AB248" t="str">
        <f>IF($A248="","",Allocation!CI248)</f>
        <v/>
      </c>
      <c r="AC248" t="str">
        <f>IF($A248="","",IF(Allocation!$N$4="VOL_EFF",$G248,IF(Allocation!$N$4="VOL_CLASS",$H248,$I248)))</f>
        <v/>
      </c>
      <c r="AD248" t="str">
        <f>IF($A248="","",IF(Allocation!$N$4="VOL_EFF",$L248,IF(Allocation!$N$4="VOL_CLASS",$M248,$N248)))</f>
        <v/>
      </c>
      <c r="AE248" t="str">
        <f>IF($A248="","",IF(Allocation!$N$3="VOL_EFF",$L248,IF(Allocation!$N$3="VOL_CLASS",$M248,$N248)))</f>
        <v/>
      </c>
      <c r="AF248" t="str">
        <f>IF($A248="","",IF(Allocation!$N$3="VOL_EFF",$Q248,IF(Allocation!$N$3="VOL_CLASS",$R248,$S248)))</f>
        <v/>
      </c>
      <c r="AG248" t="str">
        <f>IF($A248="","",IF(Allocation!$N$1="VOL_EFF",$Q248,IF(Allocation!$N$1="VOL_CLASS",$R248,$S248)))</f>
        <v/>
      </c>
      <c r="AH248" t="str">
        <f>IF($A248="","",IF(Allocation!$N$1="VOL_EFF",$T248,IF(Allocation!$N$1="VOL_CLASS",$U248,$V248)))</f>
        <v/>
      </c>
      <c r="AI248" t="str">
        <f t="shared" si="69"/>
        <v/>
      </c>
      <c r="AJ248" t="str">
        <f t="shared" si="70"/>
        <v/>
      </c>
      <c r="AK248" t="str">
        <f t="shared" si="71"/>
        <v/>
      </c>
      <c r="AL248" t="str">
        <f t="shared" si="72"/>
        <v/>
      </c>
      <c r="AM248" t="str">
        <f t="shared" si="73"/>
        <v/>
      </c>
      <c r="AN248" t="str">
        <f t="shared" si="74"/>
        <v/>
      </c>
      <c r="AO248" t="str">
        <f>IF($A248="","",Allocation!CJ248)</f>
        <v/>
      </c>
      <c r="AP248" t="str">
        <f>IF($A248="","",IF(Allocation!$N$2="VOL_EFF",$Q248,IF(Allocation!$N$2="VOL_CLASS",$R248,$S248)))</f>
        <v/>
      </c>
      <c r="AQ248" t="str">
        <f>IF($A248="","",IF(Allocation!$N$2="VOL_EFF",$T248,IF(Allocation!$N$2="VOL_CLASS",$U248,$V248)))</f>
        <v/>
      </c>
      <c r="AR248" t="str">
        <f t="shared" si="75"/>
        <v/>
      </c>
      <c r="AS248" t="str">
        <f>IF($A248="","",$A248&amp;"|"&amp;Allocation!BG248)</f>
        <v/>
      </c>
    </row>
    <row r="249" spans="1:45" x14ac:dyDescent="0.45">
      <c r="A249" t="str">
        <f>IF(Allocation!BI249="","",Allocation!BI249)</f>
        <v/>
      </c>
      <c r="B249" t="str">
        <f>IF(Allocation!BJ249="","",Allocation!BJ249)</f>
        <v/>
      </c>
      <c r="C249" t="str">
        <f>IF(Allocation!BK249="","",Allocation!BK249)</f>
        <v/>
      </c>
      <c r="D249" t="str">
        <f>IF(Allocation!BL249="","",Allocation!BL249)</f>
        <v/>
      </c>
      <c r="E249" t="str">
        <f>IF(Allocation!BM249="","",Allocation!BM249)</f>
        <v/>
      </c>
      <c r="F249" t="str">
        <f>IF(Allocation!BN249="","",Allocation!BN249)</f>
        <v/>
      </c>
      <c r="G249" t="str">
        <f>IF(Allocation!BO249="","",Allocation!BO249)</f>
        <v/>
      </c>
      <c r="H249" t="str">
        <f>IF(Allocation!BP249="","",Allocation!BP249)</f>
        <v/>
      </c>
      <c r="I249" t="str">
        <f>IF(Allocation!BQ249="","",Allocation!BQ249)</f>
        <v/>
      </c>
      <c r="J249" t="str">
        <f>IF(Allocation!CC249="","",Allocation!CC249)</f>
        <v/>
      </c>
      <c r="K249" t="str">
        <f t="shared" si="57"/>
        <v/>
      </c>
      <c r="L249" t="str">
        <f t="shared" si="58"/>
        <v/>
      </c>
      <c r="M249" t="str">
        <f t="shared" si="59"/>
        <v/>
      </c>
      <c r="N249" t="str">
        <f t="shared" si="60"/>
        <v/>
      </c>
      <c r="O249" t="str">
        <f t="shared" si="61"/>
        <v/>
      </c>
      <c r="P249" t="str">
        <f t="shared" si="62"/>
        <v/>
      </c>
      <c r="Q249" t="str">
        <f t="shared" si="63"/>
        <v/>
      </c>
      <c r="R249" t="str">
        <f t="shared" si="64"/>
        <v/>
      </c>
      <c r="S249" t="str">
        <f t="shared" si="65"/>
        <v/>
      </c>
      <c r="T249" t="str">
        <f t="shared" si="66"/>
        <v/>
      </c>
      <c r="U249" t="str">
        <f t="shared" si="67"/>
        <v/>
      </c>
      <c r="V249" t="str">
        <f t="shared" si="68"/>
        <v/>
      </c>
      <c r="W249" t="str">
        <f>IF($A249="","",Allocation!CD249)</f>
        <v/>
      </c>
      <c r="X249" t="str">
        <f>IF($A249="","",Allocation!CE249)</f>
        <v/>
      </c>
      <c r="Y249" t="str">
        <f>IF($A249="","",Allocation!CF249)</f>
        <v/>
      </c>
      <c r="Z249" t="str">
        <f>IF($A249="","",Allocation!CG249)</f>
        <v/>
      </c>
      <c r="AA249" t="str">
        <f>IF($A249="","",Allocation!CH249)</f>
        <v/>
      </c>
      <c r="AB249" t="str">
        <f>IF($A249="","",Allocation!CI249)</f>
        <v/>
      </c>
      <c r="AC249" t="str">
        <f>IF($A249="","",IF(Allocation!$N$4="VOL_EFF",$G249,IF(Allocation!$N$4="VOL_CLASS",$H249,$I249)))</f>
        <v/>
      </c>
      <c r="AD249" t="str">
        <f>IF($A249="","",IF(Allocation!$N$4="VOL_EFF",$L249,IF(Allocation!$N$4="VOL_CLASS",$M249,$N249)))</f>
        <v/>
      </c>
      <c r="AE249" t="str">
        <f>IF($A249="","",IF(Allocation!$N$3="VOL_EFF",$L249,IF(Allocation!$N$3="VOL_CLASS",$M249,$N249)))</f>
        <v/>
      </c>
      <c r="AF249" t="str">
        <f>IF($A249="","",IF(Allocation!$N$3="VOL_EFF",$Q249,IF(Allocation!$N$3="VOL_CLASS",$R249,$S249)))</f>
        <v/>
      </c>
      <c r="AG249" t="str">
        <f>IF($A249="","",IF(Allocation!$N$1="VOL_EFF",$Q249,IF(Allocation!$N$1="VOL_CLASS",$R249,$S249)))</f>
        <v/>
      </c>
      <c r="AH249" t="str">
        <f>IF($A249="","",IF(Allocation!$N$1="VOL_EFF",$T249,IF(Allocation!$N$1="VOL_CLASS",$U249,$V249)))</f>
        <v/>
      </c>
      <c r="AI249" t="str">
        <f t="shared" si="69"/>
        <v/>
      </c>
      <c r="AJ249" t="str">
        <f t="shared" si="70"/>
        <v/>
      </c>
      <c r="AK249" t="str">
        <f t="shared" si="71"/>
        <v/>
      </c>
      <c r="AL249" t="str">
        <f t="shared" si="72"/>
        <v/>
      </c>
      <c r="AM249" t="str">
        <f t="shared" si="73"/>
        <v/>
      </c>
      <c r="AN249" t="str">
        <f t="shared" si="74"/>
        <v/>
      </c>
      <c r="AO249" t="str">
        <f>IF($A249="","",Allocation!CJ249)</f>
        <v/>
      </c>
      <c r="AP249" t="str">
        <f>IF($A249="","",IF(Allocation!$N$2="VOL_EFF",$Q249,IF(Allocation!$N$2="VOL_CLASS",$R249,$S249)))</f>
        <v/>
      </c>
      <c r="AQ249" t="str">
        <f>IF($A249="","",IF(Allocation!$N$2="VOL_EFF",$T249,IF(Allocation!$N$2="VOL_CLASS",$U249,$V249)))</f>
        <v/>
      </c>
      <c r="AR249" t="str">
        <f t="shared" si="75"/>
        <v/>
      </c>
      <c r="AS249" t="str">
        <f>IF($A249="","",$A249&amp;"|"&amp;Allocation!BG249)</f>
        <v/>
      </c>
    </row>
    <row r="250" spans="1:45" x14ac:dyDescent="0.45">
      <c r="A250" t="str">
        <f>IF(Allocation!BI250="","",Allocation!BI250)</f>
        <v/>
      </c>
      <c r="B250" t="str">
        <f>IF(Allocation!BJ250="","",Allocation!BJ250)</f>
        <v/>
      </c>
      <c r="C250" t="str">
        <f>IF(Allocation!BK250="","",Allocation!BK250)</f>
        <v/>
      </c>
      <c r="D250" t="str">
        <f>IF(Allocation!BL250="","",Allocation!BL250)</f>
        <v/>
      </c>
      <c r="E250" t="str">
        <f>IF(Allocation!BM250="","",Allocation!BM250)</f>
        <v/>
      </c>
      <c r="F250" t="str">
        <f>IF(Allocation!BN250="","",Allocation!BN250)</f>
        <v/>
      </c>
      <c r="G250" t="str">
        <f>IF(Allocation!BO250="","",Allocation!BO250)</f>
        <v/>
      </c>
      <c r="H250" t="str">
        <f>IF(Allocation!BP250="","",Allocation!BP250)</f>
        <v/>
      </c>
      <c r="I250" t="str">
        <f>IF(Allocation!BQ250="","",Allocation!BQ250)</f>
        <v/>
      </c>
      <c r="J250" t="str">
        <f>IF(Allocation!CC250="","",Allocation!CC250)</f>
        <v/>
      </c>
      <c r="K250" t="str">
        <f t="shared" si="57"/>
        <v/>
      </c>
      <c r="L250" t="str">
        <f t="shared" si="58"/>
        <v/>
      </c>
      <c r="M250" t="str">
        <f t="shared" si="59"/>
        <v/>
      </c>
      <c r="N250" t="str">
        <f t="shared" si="60"/>
        <v/>
      </c>
      <c r="O250" t="str">
        <f t="shared" si="61"/>
        <v/>
      </c>
      <c r="P250" t="str">
        <f t="shared" si="62"/>
        <v/>
      </c>
      <c r="Q250" t="str">
        <f t="shared" si="63"/>
        <v/>
      </c>
      <c r="R250" t="str">
        <f t="shared" si="64"/>
        <v/>
      </c>
      <c r="S250" t="str">
        <f t="shared" si="65"/>
        <v/>
      </c>
      <c r="T250" t="str">
        <f t="shared" si="66"/>
        <v/>
      </c>
      <c r="U250" t="str">
        <f t="shared" si="67"/>
        <v/>
      </c>
      <c r="V250" t="str">
        <f t="shared" si="68"/>
        <v/>
      </c>
      <c r="W250" t="str">
        <f>IF($A250="","",Allocation!CD250)</f>
        <v/>
      </c>
      <c r="X250" t="str">
        <f>IF($A250="","",Allocation!CE250)</f>
        <v/>
      </c>
      <c r="Y250" t="str">
        <f>IF($A250="","",Allocation!CF250)</f>
        <v/>
      </c>
      <c r="Z250" t="str">
        <f>IF($A250="","",Allocation!CG250)</f>
        <v/>
      </c>
      <c r="AA250" t="str">
        <f>IF($A250="","",Allocation!CH250)</f>
        <v/>
      </c>
      <c r="AB250" t="str">
        <f>IF($A250="","",Allocation!CI250)</f>
        <v/>
      </c>
      <c r="AC250" t="str">
        <f>IF($A250="","",IF(Allocation!$N$4="VOL_EFF",$G250,IF(Allocation!$N$4="VOL_CLASS",$H250,$I250)))</f>
        <v/>
      </c>
      <c r="AD250" t="str">
        <f>IF($A250="","",IF(Allocation!$N$4="VOL_EFF",$L250,IF(Allocation!$N$4="VOL_CLASS",$M250,$N250)))</f>
        <v/>
      </c>
      <c r="AE250" t="str">
        <f>IF($A250="","",IF(Allocation!$N$3="VOL_EFF",$L250,IF(Allocation!$N$3="VOL_CLASS",$M250,$N250)))</f>
        <v/>
      </c>
      <c r="AF250" t="str">
        <f>IF($A250="","",IF(Allocation!$N$3="VOL_EFF",$Q250,IF(Allocation!$N$3="VOL_CLASS",$R250,$S250)))</f>
        <v/>
      </c>
      <c r="AG250" t="str">
        <f>IF($A250="","",IF(Allocation!$N$1="VOL_EFF",$Q250,IF(Allocation!$N$1="VOL_CLASS",$R250,$S250)))</f>
        <v/>
      </c>
      <c r="AH250" t="str">
        <f>IF($A250="","",IF(Allocation!$N$1="VOL_EFF",$T250,IF(Allocation!$N$1="VOL_CLASS",$U250,$V250)))</f>
        <v/>
      </c>
      <c r="AI250" t="str">
        <f t="shared" si="69"/>
        <v/>
      </c>
      <c r="AJ250" t="str">
        <f t="shared" si="70"/>
        <v/>
      </c>
      <c r="AK250" t="str">
        <f t="shared" si="71"/>
        <v/>
      </c>
      <c r="AL250" t="str">
        <f t="shared" si="72"/>
        <v/>
      </c>
      <c r="AM250" t="str">
        <f t="shared" si="73"/>
        <v/>
      </c>
      <c r="AN250" t="str">
        <f t="shared" si="74"/>
        <v/>
      </c>
      <c r="AO250" t="str">
        <f>IF($A250="","",Allocation!CJ250)</f>
        <v/>
      </c>
      <c r="AP250" t="str">
        <f>IF($A250="","",IF(Allocation!$N$2="VOL_EFF",$Q250,IF(Allocation!$N$2="VOL_CLASS",$R250,$S250)))</f>
        <v/>
      </c>
      <c r="AQ250" t="str">
        <f>IF($A250="","",IF(Allocation!$N$2="VOL_EFF",$T250,IF(Allocation!$N$2="VOL_CLASS",$U250,$V250)))</f>
        <v/>
      </c>
      <c r="AR250" t="str">
        <f t="shared" si="75"/>
        <v/>
      </c>
      <c r="AS250" t="str">
        <f>IF($A250="","",$A250&amp;"|"&amp;Allocation!BG250)</f>
        <v/>
      </c>
    </row>
    <row r="251" spans="1:45" x14ac:dyDescent="0.45">
      <c r="A251" t="str">
        <f>IF(Allocation!BI251="","",Allocation!BI251)</f>
        <v/>
      </c>
      <c r="B251" t="str">
        <f>IF(Allocation!BJ251="","",Allocation!BJ251)</f>
        <v/>
      </c>
      <c r="C251" t="str">
        <f>IF(Allocation!BK251="","",Allocation!BK251)</f>
        <v/>
      </c>
      <c r="D251" t="str">
        <f>IF(Allocation!BL251="","",Allocation!BL251)</f>
        <v/>
      </c>
      <c r="E251" t="str">
        <f>IF(Allocation!BM251="","",Allocation!BM251)</f>
        <v/>
      </c>
      <c r="F251" t="str">
        <f>IF(Allocation!BN251="","",Allocation!BN251)</f>
        <v/>
      </c>
      <c r="G251" t="str">
        <f>IF(Allocation!BO251="","",Allocation!BO251)</f>
        <v/>
      </c>
      <c r="H251" t="str">
        <f>IF(Allocation!BP251="","",Allocation!BP251)</f>
        <v/>
      </c>
      <c r="I251" t="str">
        <f>IF(Allocation!BQ251="","",Allocation!BQ251)</f>
        <v/>
      </c>
      <c r="J251" t="str">
        <f>IF(Allocation!CC251="","",Allocation!CC251)</f>
        <v/>
      </c>
      <c r="K251" t="str">
        <f t="shared" si="57"/>
        <v/>
      </c>
      <c r="L251" t="str">
        <f t="shared" si="58"/>
        <v/>
      </c>
      <c r="M251" t="str">
        <f t="shared" si="59"/>
        <v/>
      </c>
      <c r="N251" t="str">
        <f t="shared" si="60"/>
        <v/>
      </c>
      <c r="O251" t="str">
        <f t="shared" si="61"/>
        <v/>
      </c>
      <c r="P251" t="str">
        <f t="shared" si="62"/>
        <v/>
      </c>
      <c r="Q251" t="str">
        <f t="shared" si="63"/>
        <v/>
      </c>
      <c r="R251" t="str">
        <f t="shared" si="64"/>
        <v/>
      </c>
      <c r="S251" t="str">
        <f t="shared" si="65"/>
        <v/>
      </c>
      <c r="T251" t="str">
        <f t="shared" si="66"/>
        <v/>
      </c>
      <c r="U251" t="str">
        <f t="shared" si="67"/>
        <v/>
      </c>
      <c r="V251" t="str">
        <f t="shared" si="68"/>
        <v/>
      </c>
      <c r="W251" t="str">
        <f>IF($A251="","",Allocation!CD251)</f>
        <v/>
      </c>
      <c r="X251" t="str">
        <f>IF($A251="","",Allocation!CE251)</f>
        <v/>
      </c>
      <c r="Y251" t="str">
        <f>IF($A251="","",Allocation!CF251)</f>
        <v/>
      </c>
      <c r="Z251" t="str">
        <f>IF($A251="","",Allocation!CG251)</f>
        <v/>
      </c>
      <c r="AA251" t="str">
        <f>IF($A251="","",Allocation!CH251)</f>
        <v/>
      </c>
      <c r="AB251" t="str">
        <f>IF($A251="","",Allocation!CI251)</f>
        <v/>
      </c>
      <c r="AC251" t="str">
        <f>IF($A251="","",IF(Allocation!$N$4="VOL_EFF",$G251,IF(Allocation!$N$4="VOL_CLASS",$H251,$I251)))</f>
        <v/>
      </c>
      <c r="AD251" t="str">
        <f>IF($A251="","",IF(Allocation!$N$4="VOL_EFF",$L251,IF(Allocation!$N$4="VOL_CLASS",$M251,$N251)))</f>
        <v/>
      </c>
      <c r="AE251" t="str">
        <f>IF($A251="","",IF(Allocation!$N$3="VOL_EFF",$L251,IF(Allocation!$N$3="VOL_CLASS",$M251,$N251)))</f>
        <v/>
      </c>
      <c r="AF251" t="str">
        <f>IF($A251="","",IF(Allocation!$N$3="VOL_EFF",$Q251,IF(Allocation!$N$3="VOL_CLASS",$R251,$S251)))</f>
        <v/>
      </c>
      <c r="AG251" t="str">
        <f>IF($A251="","",IF(Allocation!$N$1="VOL_EFF",$Q251,IF(Allocation!$N$1="VOL_CLASS",$R251,$S251)))</f>
        <v/>
      </c>
      <c r="AH251" t="str">
        <f>IF($A251="","",IF(Allocation!$N$1="VOL_EFF",$T251,IF(Allocation!$N$1="VOL_CLASS",$U251,$V251)))</f>
        <v/>
      </c>
      <c r="AI251" t="str">
        <f t="shared" si="69"/>
        <v/>
      </c>
      <c r="AJ251" t="str">
        <f t="shared" si="70"/>
        <v/>
      </c>
      <c r="AK251" t="str">
        <f t="shared" si="71"/>
        <v/>
      </c>
      <c r="AL251" t="str">
        <f t="shared" si="72"/>
        <v/>
      </c>
      <c r="AM251" t="str">
        <f t="shared" si="73"/>
        <v/>
      </c>
      <c r="AN251" t="str">
        <f t="shared" si="74"/>
        <v/>
      </c>
      <c r="AO251" t="str">
        <f>IF($A251="","",Allocation!CJ251)</f>
        <v/>
      </c>
      <c r="AP251" t="str">
        <f>IF($A251="","",IF(Allocation!$N$2="VOL_EFF",$Q251,IF(Allocation!$N$2="VOL_CLASS",$R251,$S251)))</f>
        <v/>
      </c>
      <c r="AQ251" t="str">
        <f>IF($A251="","",IF(Allocation!$N$2="VOL_EFF",$T251,IF(Allocation!$N$2="VOL_CLASS",$U251,$V251)))</f>
        <v/>
      </c>
      <c r="AR251" t="str">
        <f t="shared" si="75"/>
        <v/>
      </c>
      <c r="AS251" t="str">
        <f>IF($A251="","",$A251&amp;"|"&amp;Allocation!BG251)</f>
        <v/>
      </c>
    </row>
    <row r="252" spans="1:45" x14ac:dyDescent="0.45">
      <c r="A252" t="str">
        <f>IF(Allocation!BI252="","",Allocation!BI252)</f>
        <v/>
      </c>
      <c r="B252" t="str">
        <f>IF(Allocation!BJ252="","",Allocation!BJ252)</f>
        <v/>
      </c>
      <c r="C252" t="str">
        <f>IF(Allocation!BK252="","",Allocation!BK252)</f>
        <v/>
      </c>
      <c r="D252" t="str">
        <f>IF(Allocation!BL252="","",Allocation!BL252)</f>
        <v/>
      </c>
      <c r="E252" t="str">
        <f>IF(Allocation!BM252="","",Allocation!BM252)</f>
        <v/>
      </c>
      <c r="F252" t="str">
        <f>IF(Allocation!BN252="","",Allocation!BN252)</f>
        <v/>
      </c>
      <c r="G252" t="str">
        <f>IF(Allocation!BO252="","",Allocation!BO252)</f>
        <v/>
      </c>
      <c r="H252" t="str">
        <f>IF(Allocation!BP252="","",Allocation!BP252)</f>
        <v/>
      </c>
      <c r="I252" t="str">
        <f>IF(Allocation!BQ252="","",Allocation!BQ252)</f>
        <v/>
      </c>
      <c r="J252" t="str">
        <f>IF(Allocation!CC252="","",Allocation!CC252)</f>
        <v/>
      </c>
      <c r="K252" t="str">
        <f t="shared" si="57"/>
        <v/>
      </c>
      <c r="L252" t="str">
        <f t="shared" si="58"/>
        <v/>
      </c>
      <c r="M252" t="str">
        <f t="shared" si="59"/>
        <v/>
      </c>
      <c r="N252" t="str">
        <f t="shared" si="60"/>
        <v/>
      </c>
      <c r="O252" t="str">
        <f t="shared" si="61"/>
        <v/>
      </c>
      <c r="P252" t="str">
        <f t="shared" si="62"/>
        <v/>
      </c>
      <c r="Q252" t="str">
        <f t="shared" si="63"/>
        <v/>
      </c>
      <c r="R252" t="str">
        <f t="shared" si="64"/>
        <v/>
      </c>
      <c r="S252" t="str">
        <f t="shared" si="65"/>
        <v/>
      </c>
      <c r="T252" t="str">
        <f t="shared" si="66"/>
        <v/>
      </c>
      <c r="U252" t="str">
        <f t="shared" si="67"/>
        <v/>
      </c>
      <c r="V252" t="str">
        <f t="shared" si="68"/>
        <v/>
      </c>
      <c r="W252" t="str">
        <f>IF($A252="","",Allocation!CD252)</f>
        <v/>
      </c>
      <c r="X252" t="str">
        <f>IF($A252="","",Allocation!CE252)</f>
        <v/>
      </c>
      <c r="Y252" t="str">
        <f>IF($A252="","",Allocation!CF252)</f>
        <v/>
      </c>
      <c r="Z252" t="str">
        <f>IF($A252="","",Allocation!CG252)</f>
        <v/>
      </c>
      <c r="AA252" t="str">
        <f>IF($A252="","",Allocation!CH252)</f>
        <v/>
      </c>
      <c r="AB252" t="str">
        <f>IF($A252="","",Allocation!CI252)</f>
        <v/>
      </c>
      <c r="AC252" t="str">
        <f>IF($A252="","",IF(Allocation!$N$4="VOL_EFF",$G252,IF(Allocation!$N$4="VOL_CLASS",$H252,$I252)))</f>
        <v/>
      </c>
      <c r="AD252" t="str">
        <f>IF($A252="","",IF(Allocation!$N$4="VOL_EFF",$L252,IF(Allocation!$N$4="VOL_CLASS",$M252,$N252)))</f>
        <v/>
      </c>
      <c r="AE252" t="str">
        <f>IF($A252="","",IF(Allocation!$N$3="VOL_EFF",$L252,IF(Allocation!$N$3="VOL_CLASS",$M252,$N252)))</f>
        <v/>
      </c>
      <c r="AF252" t="str">
        <f>IF($A252="","",IF(Allocation!$N$3="VOL_EFF",$Q252,IF(Allocation!$N$3="VOL_CLASS",$R252,$S252)))</f>
        <v/>
      </c>
      <c r="AG252" t="str">
        <f>IF($A252="","",IF(Allocation!$N$1="VOL_EFF",$Q252,IF(Allocation!$N$1="VOL_CLASS",$R252,$S252)))</f>
        <v/>
      </c>
      <c r="AH252" t="str">
        <f>IF($A252="","",IF(Allocation!$N$1="VOL_EFF",$T252,IF(Allocation!$N$1="VOL_CLASS",$U252,$V252)))</f>
        <v/>
      </c>
      <c r="AI252" t="str">
        <f t="shared" si="69"/>
        <v/>
      </c>
      <c r="AJ252" t="str">
        <f t="shared" si="70"/>
        <v/>
      </c>
      <c r="AK252" t="str">
        <f t="shared" si="71"/>
        <v/>
      </c>
      <c r="AL252" t="str">
        <f t="shared" si="72"/>
        <v/>
      </c>
      <c r="AM252" t="str">
        <f t="shared" si="73"/>
        <v/>
      </c>
      <c r="AN252" t="str">
        <f t="shared" si="74"/>
        <v/>
      </c>
      <c r="AO252" t="str">
        <f>IF($A252="","",Allocation!CJ252)</f>
        <v/>
      </c>
      <c r="AP252" t="str">
        <f>IF($A252="","",IF(Allocation!$N$2="VOL_EFF",$Q252,IF(Allocation!$N$2="VOL_CLASS",$R252,$S252)))</f>
        <v/>
      </c>
      <c r="AQ252" t="str">
        <f>IF($A252="","",IF(Allocation!$N$2="VOL_EFF",$T252,IF(Allocation!$N$2="VOL_CLASS",$U252,$V252)))</f>
        <v/>
      </c>
      <c r="AR252" t="str">
        <f t="shared" si="75"/>
        <v/>
      </c>
      <c r="AS252" t="str">
        <f>IF($A252="","",$A252&amp;"|"&amp;Allocation!BG252)</f>
        <v/>
      </c>
    </row>
    <row r="253" spans="1:45" x14ac:dyDescent="0.45">
      <c r="A253" t="str">
        <f>IF(Allocation!BI253="","",Allocation!BI253)</f>
        <v/>
      </c>
      <c r="B253" t="str">
        <f>IF(Allocation!BJ253="","",Allocation!BJ253)</f>
        <v/>
      </c>
      <c r="C253" t="str">
        <f>IF(Allocation!BK253="","",Allocation!BK253)</f>
        <v/>
      </c>
      <c r="D253" t="str">
        <f>IF(Allocation!BL253="","",Allocation!BL253)</f>
        <v/>
      </c>
      <c r="E253" t="str">
        <f>IF(Allocation!BM253="","",Allocation!BM253)</f>
        <v/>
      </c>
      <c r="F253" t="str">
        <f>IF(Allocation!BN253="","",Allocation!BN253)</f>
        <v/>
      </c>
      <c r="G253" t="str">
        <f>IF(Allocation!BO253="","",Allocation!BO253)</f>
        <v/>
      </c>
      <c r="H253" t="str">
        <f>IF(Allocation!BP253="","",Allocation!BP253)</f>
        <v/>
      </c>
      <c r="I253" t="str">
        <f>IF(Allocation!BQ253="","",Allocation!BQ253)</f>
        <v/>
      </c>
      <c r="J253" t="str">
        <f>IF(Allocation!CC253="","",Allocation!CC253)</f>
        <v/>
      </c>
      <c r="K253" t="str">
        <f t="shared" si="57"/>
        <v/>
      </c>
      <c r="L253" t="str">
        <f t="shared" si="58"/>
        <v/>
      </c>
      <c r="M253" t="str">
        <f t="shared" si="59"/>
        <v/>
      </c>
      <c r="N253" t="str">
        <f t="shared" si="60"/>
        <v/>
      </c>
      <c r="O253" t="str">
        <f t="shared" si="61"/>
        <v/>
      </c>
      <c r="P253" t="str">
        <f t="shared" si="62"/>
        <v/>
      </c>
      <c r="Q253" t="str">
        <f t="shared" si="63"/>
        <v/>
      </c>
      <c r="R253" t="str">
        <f t="shared" si="64"/>
        <v/>
      </c>
      <c r="S253" t="str">
        <f t="shared" si="65"/>
        <v/>
      </c>
      <c r="T253" t="str">
        <f t="shared" si="66"/>
        <v/>
      </c>
      <c r="U253" t="str">
        <f t="shared" si="67"/>
        <v/>
      </c>
      <c r="V253" t="str">
        <f t="shared" si="68"/>
        <v/>
      </c>
      <c r="W253" t="str">
        <f>IF($A253="","",Allocation!CD253)</f>
        <v/>
      </c>
      <c r="X253" t="str">
        <f>IF($A253="","",Allocation!CE253)</f>
        <v/>
      </c>
      <c r="Y253" t="str">
        <f>IF($A253="","",Allocation!CF253)</f>
        <v/>
      </c>
      <c r="Z253" t="str">
        <f>IF($A253="","",Allocation!CG253)</f>
        <v/>
      </c>
      <c r="AA253" t="str">
        <f>IF($A253="","",Allocation!CH253)</f>
        <v/>
      </c>
      <c r="AB253" t="str">
        <f>IF($A253="","",Allocation!CI253)</f>
        <v/>
      </c>
      <c r="AC253" t="str">
        <f>IF($A253="","",IF(Allocation!$N$4="VOL_EFF",$G253,IF(Allocation!$N$4="VOL_CLASS",$H253,$I253)))</f>
        <v/>
      </c>
      <c r="AD253" t="str">
        <f>IF($A253="","",IF(Allocation!$N$4="VOL_EFF",$L253,IF(Allocation!$N$4="VOL_CLASS",$M253,$N253)))</f>
        <v/>
      </c>
      <c r="AE253" t="str">
        <f>IF($A253="","",IF(Allocation!$N$3="VOL_EFF",$L253,IF(Allocation!$N$3="VOL_CLASS",$M253,$N253)))</f>
        <v/>
      </c>
      <c r="AF253" t="str">
        <f>IF($A253="","",IF(Allocation!$N$3="VOL_EFF",$Q253,IF(Allocation!$N$3="VOL_CLASS",$R253,$S253)))</f>
        <v/>
      </c>
      <c r="AG253" t="str">
        <f>IF($A253="","",IF(Allocation!$N$1="VOL_EFF",$Q253,IF(Allocation!$N$1="VOL_CLASS",$R253,$S253)))</f>
        <v/>
      </c>
      <c r="AH253" t="str">
        <f>IF($A253="","",IF(Allocation!$N$1="VOL_EFF",$T253,IF(Allocation!$N$1="VOL_CLASS",$U253,$V253)))</f>
        <v/>
      </c>
      <c r="AI253" t="str">
        <f t="shared" si="69"/>
        <v/>
      </c>
      <c r="AJ253" t="str">
        <f t="shared" si="70"/>
        <v/>
      </c>
      <c r="AK253" t="str">
        <f t="shared" si="71"/>
        <v/>
      </c>
      <c r="AL253" t="str">
        <f t="shared" si="72"/>
        <v/>
      </c>
      <c r="AM253" t="str">
        <f t="shared" si="73"/>
        <v/>
      </c>
      <c r="AN253" t="str">
        <f t="shared" si="74"/>
        <v/>
      </c>
      <c r="AO253" t="str">
        <f>IF($A253="","",Allocation!CJ253)</f>
        <v/>
      </c>
      <c r="AP253" t="str">
        <f>IF($A253="","",IF(Allocation!$N$2="VOL_EFF",$Q253,IF(Allocation!$N$2="VOL_CLASS",$R253,$S253)))</f>
        <v/>
      </c>
      <c r="AQ253" t="str">
        <f>IF($A253="","",IF(Allocation!$N$2="VOL_EFF",$T253,IF(Allocation!$N$2="VOL_CLASS",$U253,$V253)))</f>
        <v/>
      </c>
      <c r="AR253" t="str">
        <f t="shared" si="75"/>
        <v/>
      </c>
      <c r="AS253" t="str">
        <f>IF($A253="","",$A253&amp;"|"&amp;Allocation!BG253)</f>
        <v/>
      </c>
    </row>
    <row r="254" spans="1:45" x14ac:dyDescent="0.45">
      <c r="A254" t="str">
        <f>IF(Allocation!BI254="","",Allocation!BI254)</f>
        <v/>
      </c>
      <c r="B254" t="str">
        <f>IF(Allocation!BJ254="","",Allocation!BJ254)</f>
        <v/>
      </c>
      <c r="C254" t="str">
        <f>IF(Allocation!BK254="","",Allocation!BK254)</f>
        <v/>
      </c>
      <c r="D254" t="str">
        <f>IF(Allocation!BL254="","",Allocation!BL254)</f>
        <v/>
      </c>
      <c r="E254" t="str">
        <f>IF(Allocation!BM254="","",Allocation!BM254)</f>
        <v/>
      </c>
      <c r="F254" t="str">
        <f>IF(Allocation!BN254="","",Allocation!BN254)</f>
        <v/>
      </c>
      <c r="G254" t="str">
        <f>IF(Allocation!BO254="","",Allocation!BO254)</f>
        <v/>
      </c>
      <c r="H254" t="str">
        <f>IF(Allocation!BP254="","",Allocation!BP254)</f>
        <v/>
      </c>
      <c r="I254" t="str">
        <f>IF(Allocation!BQ254="","",Allocation!BQ254)</f>
        <v/>
      </c>
      <c r="J254" t="str">
        <f>IF(Allocation!CC254="","",Allocation!CC254)</f>
        <v/>
      </c>
      <c r="K254" t="str">
        <f t="shared" si="57"/>
        <v/>
      </c>
      <c r="L254" t="str">
        <f t="shared" si="58"/>
        <v/>
      </c>
      <c r="M254" t="str">
        <f t="shared" si="59"/>
        <v/>
      </c>
      <c r="N254" t="str">
        <f t="shared" si="60"/>
        <v/>
      </c>
      <c r="O254" t="str">
        <f t="shared" si="61"/>
        <v/>
      </c>
      <c r="P254" t="str">
        <f t="shared" si="62"/>
        <v/>
      </c>
      <c r="Q254" t="str">
        <f t="shared" si="63"/>
        <v/>
      </c>
      <c r="R254" t="str">
        <f t="shared" si="64"/>
        <v/>
      </c>
      <c r="S254" t="str">
        <f t="shared" si="65"/>
        <v/>
      </c>
      <c r="T254" t="str">
        <f t="shared" si="66"/>
        <v/>
      </c>
      <c r="U254" t="str">
        <f t="shared" si="67"/>
        <v/>
      </c>
      <c r="V254" t="str">
        <f t="shared" si="68"/>
        <v/>
      </c>
      <c r="W254" t="str">
        <f>IF($A254="","",Allocation!CD254)</f>
        <v/>
      </c>
      <c r="X254" t="str">
        <f>IF($A254="","",Allocation!CE254)</f>
        <v/>
      </c>
      <c r="Y254" t="str">
        <f>IF($A254="","",Allocation!CF254)</f>
        <v/>
      </c>
      <c r="Z254" t="str">
        <f>IF($A254="","",Allocation!CG254)</f>
        <v/>
      </c>
      <c r="AA254" t="str">
        <f>IF($A254="","",Allocation!CH254)</f>
        <v/>
      </c>
      <c r="AB254" t="str">
        <f>IF($A254="","",Allocation!CI254)</f>
        <v/>
      </c>
      <c r="AC254" t="str">
        <f>IF($A254="","",IF(Allocation!$N$4="VOL_EFF",$G254,IF(Allocation!$N$4="VOL_CLASS",$H254,$I254)))</f>
        <v/>
      </c>
      <c r="AD254" t="str">
        <f>IF($A254="","",IF(Allocation!$N$4="VOL_EFF",$L254,IF(Allocation!$N$4="VOL_CLASS",$M254,$N254)))</f>
        <v/>
      </c>
      <c r="AE254" t="str">
        <f>IF($A254="","",IF(Allocation!$N$3="VOL_EFF",$L254,IF(Allocation!$N$3="VOL_CLASS",$M254,$N254)))</f>
        <v/>
      </c>
      <c r="AF254" t="str">
        <f>IF($A254="","",IF(Allocation!$N$3="VOL_EFF",$Q254,IF(Allocation!$N$3="VOL_CLASS",$R254,$S254)))</f>
        <v/>
      </c>
      <c r="AG254" t="str">
        <f>IF($A254="","",IF(Allocation!$N$1="VOL_EFF",$Q254,IF(Allocation!$N$1="VOL_CLASS",$R254,$S254)))</f>
        <v/>
      </c>
      <c r="AH254" t="str">
        <f>IF($A254="","",IF(Allocation!$N$1="VOL_EFF",$T254,IF(Allocation!$N$1="VOL_CLASS",$U254,$V254)))</f>
        <v/>
      </c>
      <c r="AI254" t="str">
        <f t="shared" si="69"/>
        <v/>
      </c>
      <c r="AJ254" t="str">
        <f t="shared" si="70"/>
        <v/>
      </c>
      <c r="AK254" t="str">
        <f t="shared" si="71"/>
        <v/>
      </c>
      <c r="AL254" t="str">
        <f t="shared" si="72"/>
        <v/>
      </c>
      <c r="AM254" t="str">
        <f t="shared" si="73"/>
        <v/>
      </c>
      <c r="AN254" t="str">
        <f t="shared" si="74"/>
        <v/>
      </c>
      <c r="AO254" t="str">
        <f>IF($A254="","",Allocation!CJ254)</f>
        <v/>
      </c>
      <c r="AP254" t="str">
        <f>IF($A254="","",IF(Allocation!$N$2="VOL_EFF",$Q254,IF(Allocation!$N$2="VOL_CLASS",$R254,$S254)))</f>
        <v/>
      </c>
      <c r="AQ254" t="str">
        <f>IF($A254="","",IF(Allocation!$N$2="VOL_EFF",$T254,IF(Allocation!$N$2="VOL_CLASS",$U254,$V254)))</f>
        <v/>
      </c>
      <c r="AR254" t="str">
        <f t="shared" si="75"/>
        <v/>
      </c>
      <c r="AS254" t="str">
        <f>IF($A254="","",$A254&amp;"|"&amp;Allocation!BG254)</f>
        <v/>
      </c>
    </row>
    <row r="255" spans="1:45" x14ac:dyDescent="0.45">
      <c r="A255" t="str">
        <f>IF(Allocation!BI255="","",Allocation!BI255)</f>
        <v/>
      </c>
      <c r="B255" t="str">
        <f>IF(Allocation!BJ255="","",Allocation!BJ255)</f>
        <v/>
      </c>
      <c r="C255" t="str">
        <f>IF(Allocation!BK255="","",Allocation!BK255)</f>
        <v/>
      </c>
      <c r="D255" t="str">
        <f>IF(Allocation!BL255="","",Allocation!BL255)</f>
        <v/>
      </c>
      <c r="E255" t="str">
        <f>IF(Allocation!BM255="","",Allocation!BM255)</f>
        <v/>
      </c>
      <c r="F255" t="str">
        <f>IF(Allocation!BN255="","",Allocation!BN255)</f>
        <v/>
      </c>
      <c r="G255" t="str">
        <f>IF(Allocation!BO255="","",Allocation!BO255)</f>
        <v/>
      </c>
      <c r="H255" t="str">
        <f>IF(Allocation!BP255="","",Allocation!BP255)</f>
        <v/>
      </c>
      <c r="I255" t="str">
        <f>IF(Allocation!BQ255="","",Allocation!BQ255)</f>
        <v/>
      </c>
      <c r="J255" t="str">
        <f>IF(Allocation!CC255="","",Allocation!CC255)</f>
        <v/>
      </c>
      <c r="K255" t="str">
        <f t="shared" si="57"/>
        <v/>
      </c>
      <c r="L255" t="str">
        <f t="shared" si="58"/>
        <v/>
      </c>
      <c r="M255" t="str">
        <f t="shared" si="59"/>
        <v/>
      </c>
      <c r="N255" t="str">
        <f t="shared" si="60"/>
        <v/>
      </c>
      <c r="O255" t="str">
        <f t="shared" si="61"/>
        <v/>
      </c>
      <c r="P255" t="str">
        <f t="shared" si="62"/>
        <v/>
      </c>
      <c r="Q255" t="str">
        <f t="shared" si="63"/>
        <v/>
      </c>
      <c r="R255" t="str">
        <f t="shared" si="64"/>
        <v/>
      </c>
      <c r="S255" t="str">
        <f t="shared" si="65"/>
        <v/>
      </c>
      <c r="T255" t="str">
        <f t="shared" si="66"/>
        <v/>
      </c>
      <c r="U255" t="str">
        <f t="shared" si="67"/>
        <v/>
      </c>
      <c r="V255" t="str">
        <f t="shared" si="68"/>
        <v/>
      </c>
      <c r="W255" t="str">
        <f>IF($A255="","",Allocation!CD255)</f>
        <v/>
      </c>
      <c r="X255" t="str">
        <f>IF($A255="","",Allocation!CE255)</f>
        <v/>
      </c>
      <c r="Y255" t="str">
        <f>IF($A255="","",Allocation!CF255)</f>
        <v/>
      </c>
      <c r="Z255" t="str">
        <f>IF($A255="","",Allocation!CG255)</f>
        <v/>
      </c>
      <c r="AA255" t="str">
        <f>IF($A255="","",Allocation!CH255)</f>
        <v/>
      </c>
      <c r="AB255" t="str">
        <f>IF($A255="","",Allocation!CI255)</f>
        <v/>
      </c>
      <c r="AC255" t="str">
        <f>IF($A255="","",IF(Allocation!$N$4="VOL_EFF",$G255,IF(Allocation!$N$4="VOL_CLASS",$H255,$I255)))</f>
        <v/>
      </c>
      <c r="AD255" t="str">
        <f>IF($A255="","",IF(Allocation!$N$4="VOL_EFF",$L255,IF(Allocation!$N$4="VOL_CLASS",$M255,$N255)))</f>
        <v/>
      </c>
      <c r="AE255" t="str">
        <f>IF($A255="","",IF(Allocation!$N$3="VOL_EFF",$L255,IF(Allocation!$N$3="VOL_CLASS",$M255,$N255)))</f>
        <v/>
      </c>
      <c r="AF255" t="str">
        <f>IF($A255="","",IF(Allocation!$N$3="VOL_EFF",$Q255,IF(Allocation!$N$3="VOL_CLASS",$R255,$S255)))</f>
        <v/>
      </c>
      <c r="AG255" t="str">
        <f>IF($A255="","",IF(Allocation!$N$1="VOL_EFF",$Q255,IF(Allocation!$N$1="VOL_CLASS",$R255,$S255)))</f>
        <v/>
      </c>
      <c r="AH255" t="str">
        <f>IF($A255="","",IF(Allocation!$N$1="VOL_EFF",$T255,IF(Allocation!$N$1="VOL_CLASS",$U255,$V255)))</f>
        <v/>
      </c>
      <c r="AI255" t="str">
        <f t="shared" si="69"/>
        <v/>
      </c>
      <c r="AJ255" t="str">
        <f t="shared" si="70"/>
        <v/>
      </c>
      <c r="AK255" t="str">
        <f t="shared" si="71"/>
        <v/>
      </c>
      <c r="AL255" t="str">
        <f t="shared" si="72"/>
        <v/>
      </c>
      <c r="AM255" t="str">
        <f t="shared" si="73"/>
        <v/>
      </c>
      <c r="AN255" t="str">
        <f t="shared" si="74"/>
        <v/>
      </c>
      <c r="AO255" t="str">
        <f>IF($A255="","",Allocation!CJ255)</f>
        <v/>
      </c>
      <c r="AP255" t="str">
        <f>IF($A255="","",IF(Allocation!$N$2="VOL_EFF",$Q255,IF(Allocation!$N$2="VOL_CLASS",$R255,$S255)))</f>
        <v/>
      </c>
      <c r="AQ255" t="str">
        <f>IF($A255="","",IF(Allocation!$N$2="VOL_EFF",$T255,IF(Allocation!$N$2="VOL_CLASS",$U255,$V255)))</f>
        <v/>
      </c>
      <c r="AR255" t="str">
        <f t="shared" si="75"/>
        <v/>
      </c>
      <c r="AS255" t="str">
        <f>IF($A255="","",$A255&amp;"|"&amp;Allocation!BG255)</f>
        <v/>
      </c>
    </row>
    <row r="256" spans="1:45" x14ac:dyDescent="0.45">
      <c r="A256" t="str">
        <f>IF(Allocation!BI256="","",Allocation!BI256)</f>
        <v/>
      </c>
      <c r="B256" t="str">
        <f>IF(Allocation!BJ256="","",Allocation!BJ256)</f>
        <v/>
      </c>
      <c r="C256" t="str">
        <f>IF(Allocation!BK256="","",Allocation!BK256)</f>
        <v/>
      </c>
      <c r="D256" t="str">
        <f>IF(Allocation!BL256="","",Allocation!BL256)</f>
        <v/>
      </c>
      <c r="E256" t="str">
        <f>IF(Allocation!BM256="","",Allocation!BM256)</f>
        <v/>
      </c>
      <c r="F256" t="str">
        <f>IF(Allocation!BN256="","",Allocation!BN256)</f>
        <v/>
      </c>
      <c r="G256" t="str">
        <f>IF(Allocation!BO256="","",Allocation!BO256)</f>
        <v/>
      </c>
      <c r="H256" t="str">
        <f>IF(Allocation!BP256="","",Allocation!BP256)</f>
        <v/>
      </c>
      <c r="I256" t="str">
        <f>IF(Allocation!BQ256="","",Allocation!BQ256)</f>
        <v/>
      </c>
      <c r="J256" t="str">
        <f>IF(Allocation!CC256="","",Allocation!CC256)</f>
        <v/>
      </c>
      <c r="K256" t="str">
        <f t="shared" si="57"/>
        <v/>
      </c>
      <c r="L256" t="str">
        <f t="shared" si="58"/>
        <v/>
      </c>
      <c r="M256" t="str">
        <f t="shared" si="59"/>
        <v/>
      </c>
      <c r="N256" t="str">
        <f t="shared" si="60"/>
        <v/>
      </c>
      <c r="O256" t="str">
        <f t="shared" si="61"/>
        <v/>
      </c>
      <c r="P256" t="str">
        <f t="shared" si="62"/>
        <v/>
      </c>
      <c r="Q256" t="str">
        <f t="shared" si="63"/>
        <v/>
      </c>
      <c r="R256" t="str">
        <f t="shared" si="64"/>
        <v/>
      </c>
      <c r="S256" t="str">
        <f t="shared" si="65"/>
        <v/>
      </c>
      <c r="T256" t="str">
        <f t="shared" si="66"/>
        <v/>
      </c>
      <c r="U256" t="str">
        <f t="shared" si="67"/>
        <v/>
      </c>
      <c r="V256" t="str">
        <f t="shared" si="68"/>
        <v/>
      </c>
      <c r="W256" t="str">
        <f>IF($A256="","",Allocation!CD256)</f>
        <v/>
      </c>
      <c r="X256" t="str">
        <f>IF($A256="","",Allocation!CE256)</f>
        <v/>
      </c>
      <c r="Y256" t="str">
        <f>IF($A256="","",Allocation!CF256)</f>
        <v/>
      </c>
      <c r="Z256" t="str">
        <f>IF($A256="","",Allocation!CG256)</f>
        <v/>
      </c>
      <c r="AA256" t="str">
        <f>IF($A256="","",Allocation!CH256)</f>
        <v/>
      </c>
      <c r="AB256" t="str">
        <f>IF($A256="","",Allocation!CI256)</f>
        <v/>
      </c>
      <c r="AC256" t="str">
        <f>IF($A256="","",IF(Allocation!$N$4="VOL_EFF",$G256,IF(Allocation!$N$4="VOL_CLASS",$H256,$I256)))</f>
        <v/>
      </c>
      <c r="AD256" t="str">
        <f>IF($A256="","",IF(Allocation!$N$4="VOL_EFF",$L256,IF(Allocation!$N$4="VOL_CLASS",$M256,$N256)))</f>
        <v/>
      </c>
      <c r="AE256" t="str">
        <f>IF($A256="","",IF(Allocation!$N$3="VOL_EFF",$L256,IF(Allocation!$N$3="VOL_CLASS",$M256,$N256)))</f>
        <v/>
      </c>
      <c r="AF256" t="str">
        <f>IF($A256="","",IF(Allocation!$N$3="VOL_EFF",$Q256,IF(Allocation!$N$3="VOL_CLASS",$R256,$S256)))</f>
        <v/>
      </c>
      <c r="AG256" t="str">
        <f>IF($A256="","",IF(Allocation!$N$1="VOL_EFF",$Q256,IF(Allocation!$N$1="VOL_CLASS",$R256,$S256)))</f>
        <v/>
      </c>
      <c r="AH256" t="str">
        <f>IF($A256="","",IF(Allocation!$N$1="VOL_EFF",$T256,IF(Allocation!$N$1="VOL_CLASS",$U256,$V256)))</f>
        <v/>
      </c>
      <c r="AI256" t="str">
        <f t="shared" si="69"/>
        <v/>
      </c>
      <c r="AJ256" t="str">
        <f t="shared" si="70"/>
        <v/>
      </c>
      <c r="AK256" t="str">
        <f t="shared" si="71"/>
        <v/>
      </c>
      <c r="AL256" t="str">
        <f t="shared" si="72"/>
        <v/>
      </c>
      <c r="AM256" t="str">
        <f t="shared" si="73"/>
        <v/>
      </c>
      <c r="AN256" t="str">
        <f t="shared" si="74"/>
        <v/>
      </c>
      <c r="AO256" t="str">
        <f>IF($A256="","",Allocation!CJ256)</f>
        <v/>
      </c>
      <c r="AP256" t="str">
        <f>IF($A256="","",IF(Allocation!$N$2="VOL_EFF",$Q256,IF(Allocation!$N$2="VOL_CLASS",$R256,$S256)))</f>
        <v/>
      </c>
      <c r="AQ256" t="str">
        <f>IF($A256="","",IF(Allocation!$N$2="VOL_EFF",$T256,IF(Allocation!$N$2="VOL_CLASS",$U256,$V256)))</f>
        <v/>
      </c>
      <c r="AR256" t="str">
        <f t="shared" si="75"/>
        <v/>
      </c>
      <c r="AS256" t="str">
        <f>IF($A256="","",$A256&amp;"|"&amp;Allocation!BG256)</f>
        <v/>
      </c>
    </row>
    <row r="257" spans="1:45" x14ac:dyDescent="0.45">
      <c r="A257" t="str">
        <f>IF(Allocation!BI257="","",Allocation!BI257)</f>
        <v/>
      </c>
      <c r="B257" t="str">
        <f>IF(Allocation!BJ257="","",Allocation!BJ257)</f>
        <v/>
      </c>
      <c r="C257" t="str">
        <f>IF(Allocation!BK257="","",Allocation!BK257)</f>
        <v/>
      </c>
      <c r="D257" t="str">
        <f>IF(Allocation!BL257="","",Allocation!BL257)</f>
        <v/>
      </c>
      <c r="E257" t="str">
        <f>IF(Allocation!BM257="","",Allocation!BM257)</f>
        <v/>
      </c>
      <c r="F257" t="str">
        <f>IF(Allocation!BN257="","",Allocation!BN257)</f>
        <v/>
      </c>
      <c r="G257" t="str">
        <f>IF(Allocation!BO257="","",Allocation!BO257)</f>
        <v/>
      </c>
      <c r="H257" t="str">
        <f>IF(Allocation!BP257="","",Allocation!BP257)</f>
        <v/>
      </c>
      <c r="I257" t="str">
        <f>IF(Allocation!BQ257="","",Allocation!BQ257)</f>
        <v/>
      </c>
      <c r="J257" t="str">
        <f>IF(Allocation!CC257="","",Allocation!CC257)</f>
        <v/>
      </c>
      <c r="K257" t="str">
        <f t="shared" si="57"/>
        <v/>
      </c>
      <c r="L257" t="str">
        <f t="shared" si="58"/>
        <v/>
      </c>
      <c r="M257" t="str">
        <f t="shared" si="59"/>
        <v/>
      </c>
      <c r="N257" t="str">
        <f t="shared" si="60"/>
        <v/>
      </c>
      <c r="O257" t="str">
        <f t="shared" si="61"/>
        <v/>
      </c>
      <c r="P257" t="str">
        <f t="shared" si="62"/>
        <v/>
      </c>
      <c r="Q257" t="str">
        <f t="shared" si="63"/>
        <v/>
      </c>
      <c r="R257" t="str">
        <f t="shared" si="64"/>
        <v/>
      </c>
      <c r="S257" t="str">
        <f t="shared" si="65"/>
        <v/>
      </c>
      <c r="T257" t="str">
        <f t="shared" si="66"/>
        <v/>
      </c>
      <c r="U257" t="str">
        <f t="shared" si="67"/>
        <v/>
      </c>
      <c r="V257" t="str">
        <f t="shared" si="68"/>
        <v/>
      </c>
      <c r="W257" t="str">
        <f>IF($A257="","",Allocation!CD257)</f>
        <v/>
      </c>
      <c r="X257" t="str">
        <f>IF($A257="","",Allocation!CE257)</f>
        <v/>
      </c>
      <c r="Y257" t="str">
        <f>IF($A257="","",Allocation!CF257)</f>
        <v/>
      </c>
      <c r="Z257" t="str">
        <f>IF($A257="","",Allocation!CG257)</f>
        <v/>
      </c>
      <c r="AA257" t="str">
        <f>IF($A257="","",Allocation!CH257)</f>
        <v/>
      </c>
      <c r="AB257" t="str">
        <f>IF($A257="","",Allocation!CI257)</f>
        <v/>
      </c>
      <c r="AC257" t="str">
        <f>IF($A257="","",IF(Allocation!$N$4="VOL_EFF",$G257,IF(Allocation!$N$4="VOL_CLASS",$H257,$I257)))</f>
        <v/>
      </c>
      <c r="AD257" t="str">
        <f>IF($A257="","",IF(Allocation!$N$4="VOL_EFF",$L257,IF(Allocation!$N$4="VOL_CLASS",$M257,$N257)))</f>
        <v/>
      </c>
      <c r="AE257" t="str">
        <f>IF($A257="","",IF(Allocation!$N$3="VOL_EFF",$L257,IF(Allocation!$N$3="VOL_CLASS",$M257,$N257)))</f>
        <v/>
      </c>
      <c r="AF257" t="str">
        <f>IF($A257="","",IF(Allocation!$N$3="VOL_EFF",$Q257,IF(Allocation!$N$3="VOL_CLASS",$R257,$S257)))</f>
        <v/>
      </c>
      <c r="AG257" t="str">
        <f>IF($A257="","",IF(Allocation!$N$1="VOL_EFF",$Q257,IF(Allocation!$N$1="VOL_CLASS",$R257,$S257)))</f>
        <v/>
      </c>
      <c r="AH257" t="str">
        <f>IF($A257="","",IF(Allocation!$N$1="VOL_EFF",$T257,IF(Allocation!$N$1="VOL_CLASS",$U257,$V257)))</f>
        <v/>
      </c>
      <c r="AI257" t="str">
        <f t="shared" si="69"/>
        <v/>
      </c>
      <c r="AJ257" t="str">
        <f t="shared" si="70"/>
        <v/>
      </c>
      <c r="AK257" t="str">
        <f t="shared" si="71"/>
        <v/>
      </c>
      <c r="AL257" t="str">
        <f t="shared" si="72"/>
        <v/>
      </c>
      <c r="AM257" t="str">
        <f t="shared" si="73"/>
        <v/>
      </c>
      <c r="AN257" t="str">
        <f t="shared" si="74"/>
        <v/>
      </c>
      <c r="AO257" t="str">
        <f>IF($A257="","",Allocation!CJ257)</f>
        <v/>
      </c>
      <c r="AP257" t="str">
        <f>IF($A257="","",IF(Allocation!$N$2="VOL_EFF",$Q257,IF(Allocation!$N$2="VOL_CLASS",$R257,$S257)))</f>
        <v/>
      </c>
      <c r="AQ257" t="str">
        <f>IF($A257="","",IF(Allocation!$N$2="VOL_EFF",$T257,IF(Allocation!$N$2="VOL_CLASS",$U257,$V257)))</f>
        <v/>
      </c>
      <c r="AR257" t="str">
        <f t="shared" si="75"/>
        <v/>
      </c>
      <c r="AS257" t="str">
        <f>IF($A257="","",$A257&amp;"|"&amp;Allocation!BG257)</f>
        <v/>
      </c>
    </row>
    <row r="258" spans="1:45" x14ac:dyDescent="0.45">
      <c r="A258" t="str">
        <f>IF(Allocation!BI258="","",Allocation!BI258)</f>
        <v/>
      </c>
      <c r="B258" t="str">
        <f>IF(Allocation!BJ258="","",Allocation!BJ258)</f>
        <v/>
      </c>
      <c r="C258" t="str">
        <f>IF(Allocation!BK258="","",Allocation!BK258)</f>
        <v/>
      </c>
      <c r="D258" t="str">
        <f>IF(Allocation!BL258="","",Allocation!BL258)</f>
        <v/>
      </c>
      <c r="E258" t="str">
        <f>IF(Allocation!BM258="","",Allocation!BM258)</f>
        <v/>
      </c>
      <c r="F258" t="str">
        <f>IF(Allocation!BN258="","",Allocation!BN258)</f>
        <v/>
      </c>
      <c r="G258" t="str">
        <f>IF(Allocation!BO258="","",Allocation!BO258)</f>
        <v/>
      </c>
      <c r="H258" t="str">
        <f>IF(Allocation!BP258="","",Allocation!BP258)</f>
        <v/>
      </c>
      <c r="I258" t="str">
        <f>IF(Allocation!BQ258="","",Allocation!BQ258)</f>
        <v/>
      </c>
      <c r="J258" t="str">
        <f>IF(Allocation!CC258="","",Allocation!CC258)</f>
        <v/>
      </c>
      <c r="K258" t="str">
        <f t="shared" ref="K258:K321" si="76">IF($A258="","",$H258*IF(AND(LEFT($D258,3)="BAC",$F258="INIT"),600,IF(LEFT($D258,3)="BAC",480,IF(AND(LEFT($D258,3)="MAS",$F258="INIT"),520,IF(LEFT($D258,3)="MAS",420,IF($F258="INIT",1000,700))))))</f>
        <v/>
      </c>
      <c r="L258" t="str">
        <f t="shared" ref="L258:L321" si="77">IF($A258="","",SUMIFS($G$1:$G$349,$AS$1:$AS$349,$AS258,$B$1:$B$349,$B258))</f>
        <v/>
      </c>
      <c r="M258" t="str">
        <f t="shared" ref="M258:M321" si="78">IF($A258="","",SUMIFS($H$1:$H$349,$AS$1:$AS$349,$AS258,$B$1:$B$349,$B258))</f>
        <v/>
      </c>
      <c r="N258" t="str">
        <f t="shared" ref="N258:N321" si="79">IF($A258="","",SUMIFS($I$1:$I$349,$AS$1:$AS$349,$AS258,$B$1:$B$349,$B258))</f>
        <v/>
      </c>
      <c r="O258" t="str">
        <f t="shared" ref="O258:O321" si="80">IF($A258="","",SUMIFS($K$1:$K$349,$AS$1:$AS$349,$AS258,$B$1:$B$349,$B258))</f>
        <v/>
      </c>
      <c r="P258" t="str">
        <f t="shared" ref="P258:P321" si="81">IF($A258="","",SUMIFS($J$1:$J$349,$AS$1:$AS$349,$AS258,$B$1:$B$349,$B258))</f>
        <v/>
      </c>
      <c r="Q258" t="str">
        <f t="shared" ref="Q258:Q321" si="82">IF($A258="","",SUMIFS($G$1:$G$349,$AS$1:$AS$349,$AS258,$C$1:$C$349,$C258))</f>
        <v/>
      </c>
      <c r="R258" t="str">
        <f t="shared" ref="R258:R321" si="83">IF($A258="","",SUMIFS($H$1:$H$349,$AS$1:$AS$349,$AS258,$C$1:$C$349,$C258))</f>
        <v/>
      </c>
      <c r="S258" t="str">
        <f t="shared" ref="S258:S321" si="84">IF($A258="","",SUMIFS($I$1:$I$349,$AS$1:$AS$349,$AS258,$C$1:$C$349,$C258))</f>
        <v/>
      </c>
      <c r="T258" t="str">
        <f t="shared" ref="T258:T321" si="85">IF($A258="","",SUMIFS($G$1:$G$349,$AS$1:$AS$349,$AS258))</f>
        <v/>
      </c>
      <c r="U258" t="str">
        <f t="shared" ref="U258:U321" si="86">IF($A258="","",SUMIFS($H$1:$H$349,$AS$1:$AS$349,$AS258))</f>
        <v/>
      </c>
      <c r="V258" t="str">
        <f t="shared" ref="V258:V321" si="87">IF($A258="","",SUMIFS($I$1:$I$349,$AS$1:$AS$349,$AS258))</f>
        <v/>
      </c>
      <c r="W258" t="str">
        <f>IF($A258="","",Allocation!CD258)</f>
        <v/>
      </c>
      <c r="X258" t="str">
        <f>IF($A258="","",Allocation!CE258)</f>
        <v/>
      </c>
      <c r="Y258" t="str">
        <f>IF($A258="","",Allocation!CF258)</f>
        <v/>
      </c>
      <c r="Z258" t="str">
        <f>IF($A258="","",Allocation!CG258)</f>
        <v/>
      </c>
      <c r="AA258" t="str">
        <f>IF($A258="","",Allocation!CH258)</f>
        <v/>
      </c>
      <c r="AB258" t="str">
        <f>IF($A258="","",Allocation!CI258)</f>
        <v/>
      </c>
      <c r="AC258" t="str">
        <f>IF($A258="","",IF(Allocation!$N$4="VOL_EFF",$G258,IF(Allocation!$N$4="VOL_CLASS",$H258,$I258)))</f>
        <v/>
      </c>
      <c r="AD258" t="str">
        <f>IF($A258="","",IF(Allocation!$N$4="VOL_EFF",$L258,IF(Allocation!$N$4="VOL_CLASS",$M258,$N258)))</f>
        <v/>
      </c>
      <c r="AE258" t="str">
        <f>IF($A258="","",IF(Allocation!$N$3="VOL_EFF",$L258,IF(Allocation!$N$3="VOL_CLASS",$M258,$N258)))</f>
        <v/>
      </c>
      <c r="AF258" t="str">
        <f>IF($A258="","",IF(Allocation!$N$3="VOL_EFF",$Q258,IF(Allocation!$N$3="VOL_CLASS",$R258,$S258)))</f>
        <v/>
      </c>
      <c r="AG258" t="str">
        <f>IF($A258="","",IF(Allocation!$N$1="VOL_EFF",$Q258,IF(Allocation!$N$1="VOL_CLASS",$R258,$S258)))</f>
        <v/>
      </c>
      <c r="AH258" t="str">
        <f>IF($A258="","",IF(Allocation!$N$1="VOL_EFF",$T258,IF(Allocation!$N$1="VOL_CLASS",$U258,$V258)))</f>
        <v/>
      </c>
      <c r="AI258" t="str">
        <f t="shared" ref="AI258:AI321" si="88">IF($A258="","",$W258*IFERROR($K258/$O258,0))</f>
        <v/>
      </c>
      <c r="AJ258" t="str">
        <f t="shared" ref="AJ258:AJ321" si="89">IF($A258="","",$X258*IFERROR($K258/$O258,0))</f>
        <v/>
      </c>
      <c r="AK258" t="str">
        <f t="shared" ref="AK258:AK321" si="90">IF($A258="","",$Y258*IFERROR($G258/$L258,0)+$Z258*IFERROR($J258/$P258,0))</f>
        <v/>
      </c>
      <c r="AL258" t="str">
        <f t="shared" ref="AL258:AL321" si="91">IF($A258="","",$AA258*IFERROR($AC258/$AD258,0))</f>
        <v/>
      </c>
      <c r="AM258" t="str">
        <f t="shared" ref="AM258:AM321" si="92">IF($A258="","",$AB258*IFERROR($AG258/$AH258,0)*IFERROR($AE258/$AF258,0)*IFERROR($AC258/$AD258,0))</f>
        <v/>
      </c>
      <c r="AN258" t="str">
        <f t="shared" ref="AN258:AN321" si="93">IF($A258="","",$I258-($AI258+$AJ258+$AK258+$AL258+$AM258+$AR258))</f>
        <v/>
      </c>
      <c r="AO258" t="str">
        <f>IF($A258="","",Allocation!CJ258)</f>
        <v/>
      </c>
      <c r="AP258" t="str">
        <f>IF($A258="","",IF(Allocation!$N$2="VOL_EFF",$Q258,IF(Allocation!$N$2="VOL_CLASS",$R258,$S258)))</f>
        <v/>
      </c>
      <c r="AQ258" t="str">
        <f>IF($A258="","",IF(Allocation!$N$2="VOL_EFF",$T258,IF(Allocation!$N$2="VOL_CLASS",$U258,$V258)))</f>
        <v/>
      </c>
      <c r="AR258" t="str">
        <f t="shared" ref="AR258:AR321" si="94">IF($A258="","",$AO258*IFERROR($AP258/$AQ258,0)*IFERROR($AE258/$AF258,0)*IFERROR($AC258/$AD258,0))</f>
        <v/>
      </c>
      <c r="AS258" t="str">
        <f>IF($A258="","",$A258&amp;"|"&amp;Allocation!BG258)</f>
        <v/>
      </c>
    </row>
    <row r="259" spans="1:45" x14ac:dyDescent="0.45">
      <c r="A259" t="str">
        <f>IF(Allocation!BI259="","",Allocation!BI259)</f>
        <v/>
      </c>
      <c r="B259" t="str">
        <f>IF(Allocation!BJ259="","",Allocation!BJ259)</f>
        <v/>
      </c>
      <c r="C259" t="str">
        <f>IF(Allocation!BK259="","",Allocation!BK259)</f>
        <v/>
      </c>
      <c r="D259" t="str">
        <f>IF(Allocation!BL259="","",Allocation!BL259)</f>
        <v/>
      </c>
      <c r="E259" t="str">
        <f>IF(Allocation!BM259="","",Allocation!BM259)</f>
        <v/>
      </c>
      <c r="F259" t="str">
        <f>IF(Allocation!BN259="","",Allocation!BN259)</f>
        <v/>
      </c>
      <c r="G259" t="str">
        <f>IF(Allocation!BO259="","",Allocation!BO259)</f>
        <v/>
      </c>
      <c r="H259" t="str">
        <f>IF(Allocation!BP259="","",Allocation!BP259)</f>
        <v/>
      </c>
      <c r="I259" t="str">
        <f>IF(Allocation!BQ259="","",Allocation!BQ259)</f>
        <v/>
      </c>
      <c r="J259" t="str">
        <f>IF(Allocation!CC259="","",Allocation!CC259)</f>
        <v/>
      </c>
      <c r="K259" t="str">
        <f t="shared" si="76"/>
        <v/>
      </c>
      <c r="L259" t="str">
        <f t="shared" si="77"/>
        <v/>
      </c>
      <c r="M259" t="str">
        <f t="shared" si="78"/>
        <v/>
      </c>
      <c r="N259" t="str">
        <f t="shared" si="79"/>
        <v/>
      </c>
      <c r="O259" t="str">
        <f t="shared" si="80"/>
        <v/>
      </c>
      <c r="P259" t="str">
        <f t="shared" si="81"/>
        <v/>
      </c>
      <c r="Q259" t="str">
        <f t="shared" si="82"/>
        <v/>
      </c>
      <c r="R259" t="str">
        <f t="shared" si="83"/>
        <v/>
      </c>
      <c r="S259" t="str">
        <f t="shared" si="84"/>
        <v/>
      </c>
      <c r="T259" t="str">
        <f t="shared" si="85"/>
        <v/>
      </c>
      <c r="U259" t="str">
        <f t="shared" si="86"/>
        <v/>
      </c>
      <c r="V259" t="str">
        <f t="shared" si="87"/>
        <v/>
      </c>
      <c r="W259" t="str">
        <f>IF($A259="","",Allocation!CD259)</f>
        <v/>
      </c>
      <c r="X259" t="str">
        <f>IF($A259="","",Allocation!CE259)</f>
        <v/>
      </c>
      <c r="Y259" t="str">
        <f>IF($A259="","",Allocation!CF259)</f>
        <v/>
      </c>
      <c r="Z259" t="str">
        <f>IF($A259="","",Allocation!CG259)</f>
        <v/>
      </c>
      <c r="AA259" t="str">
        <f>IF($A259="","",Allocation!CH259)</f>
        <v/>
      </c>
      <c r="AB259" t="str">
        <f>IF($A259="","",Allocation!CI259)</f>
        <v/>
      </c>
      <c r="AC259" t="str">
        <f>IF($A259="","",IF(Allocation!$N$4="VOL_EFF",$G259,IF(Allocation!$N$4="VOL_CLASS",$H259,$I259)))</f>
        <v/>
      </c>
      <c r="AD259" t="str">
        <f>IF($A259="","",IF(Allocation!$N$4="VOL_EFF",$L259,IF(Allocation!$N$4="VOL_CLASS",$M259,$N259)))</f>
        <v/>
      </c>
      <c r="AE259" t="str">
        <f>IF($A259="","",IF(Allocation!$N$3="VOL_EFF",$L259,IF(Allocation!$N$3="VOL_CLASS",$M259,$N259)))</f>
        <v/>
      </c>
      <c r="AF259" t="str">
        <f>IF($A259="","",IF(Allocation!$N$3="VOL_EFF",$Q259,IF(Allocation!$N$3="VOL_CLASS",$R259,$S259)))</f>
        <v/>
      </c>
      <c r="AG259" t="str">
        <f>IF($A259="","",IF(Allocation!$N$1="VOL_EFF",$Q259,IF(Allocation!$N$1="VOL_CLASS",$R259,$S259)))</f>
        <v/>
      </c>
      <c r="AH259" t="str">
        <f>IF($A259="","",IF(Allocation!$N$1="VOL_EFF",$T259,IF(Allocation!$N$1="VOL_CLASS",$U259,$V259)))</f>
        <v/>
      </c>
      <c r="AI259" t="str">
        <f t="shared" si="88"/>
        <v/>
      </c>
      <c r="AJ259" t="str">
        <f t="shared" si="89"/>
        <v/>
      </c>
      <c r="AK259" t="str">
        <f t="shared" si="90"/>
        <v/>
      </c>
      <c r="AL259" t="str">
        <f t="shared" si="91"/>
        <v/>
      </c>
      <c r="AM259" t="str">
        <f t="shared" si="92"/>
        <v/>
      </c>
      <c r="AN259" t="str">
        <f t="shared" si="93"/>
        <v/>
      </c>
      <c r="AO259" t="str">
        <f>IF($A259="","",Allocation!CJ259)</f>
        <v/>
      </c>
      <c r="AP259" t="str">
        <f>IF($A259="","",IF(Allocation!$N$2="VOL_EFF",$Q259,IF(Allocation!$N$2="VOL_CLASS",$R259,$S259)))</f>
        <v/>
      </c>
      <c r="AQ259" t="str">
        <f>IF($A259="","",IF(Allocation!$N$2="VOL_EFF",$T259,IF(Allocation!$N$2="VOL_CLASS",$U259,$V259)))</f>
        <v/>
      </c>
      <c r="AR259" t="str">
        <f t="shared" si="94"/>
        <v/>
      </c>
      <c r="AS259" t="str">
        <f>IF($A259="","",$A259&amp;"|"&amp;Allocation!BG259)</f>
        <v/>
      </c>
    </row>
    <row r="260" spans="1:45" x14ac:dyDescent="0.45">
      <c r="A260" t="str">
        <f>IF(Allocation!BI260="","",Allocation!BI260)</f>
        <v/>
      </c>
      <c r="B260" t="str">
        <f>IF(Allocation!BJ260="","",Allocation!BJ260)</f>
        <v/>
      </c>
      <c r="C260" t="str">
        <f>IF(Allocation!BK260="","",Allocation!BK260)</f>
        <v/>
      </c>
      <c r="D260" t="str">
        <f>IF(Allocation!BL260="","",Allocation!BL260)</f>
        <v/>
      </c>
      <c r="E260" t="str">
        <f>IF(Allocation!BM260="","",Allocation!BM260)</f>
        <v/>
      </c>
      <c r="F260" t="str">
        <f>IF(Allocation!BN260="","",Allocation!BN260)</f>
        <v/>
      </c>
      <c r="G260" t="str">
        <f>IF(Allocation!BO260="","",Allocation!BO260)</f>
        <v/>
      </c>
      <c r="H260" t="str">
        <f>IF(Allocation!BP260="","",Allocation!BP260)</f>
        <v/>
      </c>
      <c r="I260" t="str">
        <f>IF(Allocation!BQ260="","",Allocation!BQ260)</f>
        <v/>
      </c>
      <c r="J260" t="str">
        <f>IF(Allocation!CC260="","",Allocation!CC260)</f>
        <v/>
      </c>
      <c r="K260" t="str">
        <f t="shared" si="76"/>
        <v/>
      </c>
      <c r="L260" t="str">
        <f t="shared" si="77"/>
        <v/>
      </c>
      <c r="M260" t="str">
        <f t="shared" si="78"/>
        <v/>
      </c>
      <c r="N260" t="str">
        <f t="shared" si="79"/>
        <v/>
      </c>
      <c r="O260" t="str">
        <f t="shared" si="80"/>
        <v/>
      </c>
      <c r="P260" t="str">
        <f t="shared" si="81"/>
        <v/>
      </c>
      <c r="Q260" t="str">
        <f t="shared" si="82"/>
        <v/>
      </c>
      <c r="R260" t="str">
        <f t="shared" si="83"/>
        <v/>
      </c>
      <c r="S260" t="str">
        <f t="shared" si="84"/>
        <v/>
      </c>
      <c r="T260" t="str">
        <f t="shared" si="85"/>
        <v/>
      </c>
      <c r="U260" t="str">
        <f t="shared" si="86"/>
        <v/>
      </c>
      <c r="V260" t="str">
        <f t="shared" si="87"/>
        <v/>
      </c>
      <c r="W260" t="str">
        <f>IF($A260="","",Allocation!CD260)</f>
        <v/>
      </c>
      <c r="X260" t="str">
        <f>IF($A260="","",Allocation!CE260)</f>
        <v/>
      </c>
      <c r="Y260" t="str">
        <f>IF($A260="","",Allocation!CF260)</f>
        <v/>
      </c>
      <c r="Z260" t="str">
        <f>IF($A260="","",Allocation!CG260)</f>
        <v/>
      </c>
      <c r="AA260" t="str">
        <f>IF($A260="","",Allocation!CH260)</f>
        <v/>
      </c>
      <c r="AB260" t="str">
        <f>IF($A260="","",Allocation!CI260)</f>
        <v/>
      </c>
      <c r="AC260" t="str">
        <f>IF($A260="","",IF(Allocation!$N$4="VOL_EFF",$G260,IF(Allocation!$N$4="VOL_CLASS",$H260,$I260)))</f>
        <v/>
      </c>
      <c r="AD260" t="str">
        <f>IF($A260="","",IF(Allocation!$N$4="VOL_EFF",$L260,IF(Allocation!$N$4="VOL_CLASS",$M260,$N260)))</f>
        <v/>
      </c>
      <c r="AE260" t="str">
        <f>IF($A260="","",IF(Allocation!$N$3="VOL_EFF",$L260,IF(Allocation!$N$3="VOL_CLASS",$M260,$N260)))</f>
        <v/>
      </c>
      <c r="AF260" t="str">
        <f>IF($A260="","",IF(Allocation!$N$3="VOL_EFF",$Q260,IF(Allocation!$N$3="VOL_CLASS",$R260,$S260)))</f>
        <v/>
      </c>
      <c r="AG260" t="str">
        <f>IF($A260="","",IF(Allocation!$N$1="VOL_EFF",$Q260,IF(Allocation!$N$1="VOL_CLASS",$R260,$S260)))</f>
        <v/>
      </c>
      <c r="AH260" t="str">
        <f>IF($A260="","",IF(Allocation!$N$1="VOL_EFF",$T260,IF(Allocation!$N$1="VOL_CLASS",$U260,$V260)))</f>
        <v/>
      </c>
      <c r="AI260" t="str">
        <f t="shared" si="88"/>
        <v/>
      </c>
      <c r="AJ260" t="str">
        <f t="shared" si="89"/>
        <v/>
      </c>
      <c r="AK260" t="str">
        <f t="shared" si="90"/>
        <v/>
      </c>
      <c r="AL260" t="str">
        <f t="shared" si="91"/>
        <v/>
      </c>
      <c r="AM260" t="str">
        <f t="shared" si="92"/>
        <v/>
      </c>
      <c r="AN260" t="str">
        <f t="shared" si="93"/>
        <v/>
      </c>
      <c r="AO260" t="str">
        <f>IF($A260="","",Allocation!CJ260)</f>
        <v/>
      </c>
      <c r="AP260" t="str">
        <f>IF($A260="","",IF(Allocation!$N$2="VOL_EFF",$Q260,IF(Allocation!$N$2="VOL_CLASS",$R260,$S260)))</f>
        <v/>
      </c>
      <c r="AQ260" t="str">
        <f>IF($A260="","",IF(Allocation!$N$2="VOL_EFF",$T260,IF(Allocation!$N$2="VOL_CLASS",$U260,$V260)))</f>
        <v/>
      </c>
      <c r="AR260" t="str">
        <f t="shared" si="94"/>
        <v/>
      </c>
      <c r="AS260" t="str">
        <f>IF($A260="","",$A260&amp;"|"&amp;Allocation!BG260)</f>
        <v/>
      </c>
    </row>
    <row r="261" spans="1:45" x14ac:dyDescent="0.45">
      <c r="A261" t="str">
        <f>IF(Allocation!BI261="","",Allocation!BI261)</f>
        <v/>
      </c>
      <c r="B261" t="str">
        <f>IF(Allocation!BJ261="","",Allocation!BJ261)</f>
        <v/>
      </c>
      <c r="C261" t="str">
        <f>IF(Allocation!BK261="","",Allocation!BK261)</f>
        <v/>
      </c>
      <c r="D261" t="str">
        <f>IF(Allocation!BL261="","",Allocation!BL261)</f>
        <v/>
      </c>
      <c r="E261" t="str">
        <f>IF(Allocation!BM261="","",Allocation!BM261)</f>
        <v/>
      </c>
      <c r="F261" t="str">
        <f>IF(Allocation!BN261="","",Allocation!BN261)</f>
        <v/>
      </c>
      <c r="G261" t="str">
        <f>IF(Allocation!BO261="","",Allocation!BO261)</f>
        <v/>
      </c>
      <c r="H261" t="str">
        <f>IF(Allocation!BP261="","",Allocation!BP261)</f>
        <v/>
      </c>
      <c r="I261" t="str">
        <f>IF(Allocation!BQ261="","",Allocation!BQ261)</f>
        <v/>
      </c>
      <c r="J261" t="str">
        <f>IF(Allocation!CC261="","",Allocation!CC261)</f>
        <v/>
      </c>
      <c r="K261" t="str">
        <f t="shared" si="76"/>
        <v/>
      </c>
      <c r="L261" t="str">
        <f t="shared" si="77"/>
        <v/>
      </c>
      <c r="M261" t="str">
        <f t="shared" si="78"/>
        <v/>
      </c>
      <c r="N261" t="str">
        <f t="shared" si="79"/>
        <v/>
      </c>
      <c r="O261" t="str">
        <f t="shared" si="80"/>
        <v/>
      </c>
      <c r="P261" t="str">
        <f t="shared" si="81"/>
        <v/>
      </c>
      <c r="Q261" t="str">
        <f t="shared" si="82"/>
        <v/>
      </c>
      <c r="R261" t="str">
        <f t="shared" si="83"/>
        <v/>
      </c>
      <c r="S261" t="str">
        <f t="shared" si="84"/>
        <v/>
      </c>
      <c r="T261" t="str">
        <f t="shared" si="85"/>
        <v/>
      </c>
      <c r="U261" t="str">
        <f t="shared" si="86"/>
        <v/>
      </c>
      <c r="V261" t="str">
        <f t="shared" si="87"/>
        <v/>
      </c>
      <c r="W261" t="str">
        <f>IF($A261="","",Allocation!CD261)</f>
        <v/>
      </c>
      <c r="X261" t="str">
        <f>IF($A261="","",Allocation!CE261)</f>
        <v/>
      </c>
      <c r="Y261" t="str">
        <f>IF($A261="","",Allocation!CF261)</f>
        <v/>
      </c>
      <c r="Z261" t="str">
        <f>IF($A261="","",Allocation!CG261)</f>
        <v/>
      </c>
      <c r="AA261" t="str">
        <f>IF($A261="","",Allocation!CH261)</f>
        <v/>
      </c>
      <c r="AB261" t="str">
        <f>IF($A261="","",Allocation!CI261)</f>
        <v/>
      </c>
      <c r="AC261" t="str">
        <f>IF($A261="","",IF(Allocation!$N$4="VOL_EFF",$G261,IF(Allocation!$N$4="VOL_CLASS",$H261,$I261)))</f>
        <v/>
      </c>
      <c r="AD261" t="str">
        <f>IF($A261="","",IF(Allocation!$N$4="VOL_EFF",$L261,IF(Allocation!$N$4="VOL_CLASS",$M261,$N261)))</f>
        <v/>
      </c>
      <c r="AE261" t="str">
        <f>IF($A261="","",IF(Allocation!$N$3="VOL_EFF",$L261,IF(Allocation!$N$3="VOL_CLASS",$M261,$N261)))</f>
        <v/>
      </c>
      <c r="AF261" t="str">
        <f>IF($A261="","",IF(Allocation!$N$3="VOL_EFF",$Q261,IF(Allocation!$N$3="VOL_CLASS",$R261,$S261)))</f>
        <v/>
      </c>
      <c r="AG261" t="str">
        <f>IF($A261="","",IF(Allocation!$N$1="VOL_EFF",$Q261,IF(Allocation!$N$1="VOL_CLASS",$R261,$S261)))</f>
        <v/>
      </c>
      <c r="AH261" t="str">
        <f>IF($A261="","",IF(Allocation!$N$1="VOL_EFF",$T261,IF(Allocation!$N$1="VOL_CLASS",$U261,$V261)))</f>
        <v/>
      </c>
      <c r="AI261" t="str">
        <f t="shared" si="88"/>
        <v/>
      </c>
      <c r="AJ261" t="str">
        <f t="shared" si="89"/>
        <v/>
      </c>
      <c r="AK261" t="str">
        <f t="shared" si="90"/>
        <v/>
      </c>
      <c r="AL261" t="str">
        <f t="shared" si="91"/>
        <v/>
      </c>
      <c r="AM261" t="str">
        <f t="shared" si="92"/>
        <v/>
      </c>
      <c r="AN261" t="str">
        <f t="shared" si="93"/>
        <v/>
      </c>
      <c r="AO261" t="str">
        <f>IF($A261="","",Allocation!CJ261)</f>
        <v/>
      </c>
      <c r="AP261" t="str">
        <f>IF($A261="","",IF(Allocation!$N$2="VOL_EFF",$Q261,IF(Allocation!$N$2="VOL_CLASS",$R261,$S261)))</f>
        <v/>
      </c>
      <c r="AQ261" t="str">
        <f>IF($A261="","",IF(Allocation!$N$2="VOL_EFF",$T261,IF(Allocation!$N$2="VOL_CLASS",$U261,$V261)))</f>
        <v/>
      </c>
      <c r="AR261" t="str">
        <f t="shared" si="94"/>
        <v/>
      </c>
      <c r="AS261" t="str">
        <f>IF($A261="","",$A261&amp;"|"&amp;Allocation!BG261)</f>
        <v/>
      </c>
    </row>
    <row r="262" spans="1:45" x14ac:dyDescent="0.45">
      <c r="A262" t="str">
        <f>IF(Allocation!BI262="","",Allocation!BI262)</f>
        <v/>
      </c>
      <c r="B262" t="str">
        <f>IF(Allocation!BJ262="","",Allocation!BJ262)</f>
        <v/>
      </c>
      <c r="C262" t="str">
        <f>IF(Allocation!BK262="","",Allocation!BK262)</f>
        <v/>
      </c>
      <c r="D262" t="str">
        <f>IF(Allocation!BL262="","",Allocation!BL262)</f>
        <v/>
      </c>
      <c r="E262" t="str">
        <f>IF(Allocation!BM262="","",Allocation!BM262)</f>
        <v/>
      </c>
      <c r="F262" t="str">
        <f>IF(Allocation!BN262="","",Allocation!BN262)</f>
        <v/>
      </c>
      <c r="G262" t="str">
        <f>IF(Allocation!BO262="","",Allocation!BO262)</f>
        <v/>
      </c>
      <c r="H262" t="str">
        <f>IF(Allocation!BP262="","",Allocation!BP262)</f>
        <v/>
      </c>
      <c r="I262" t="str">
        <f>IF(Allocation!BQ262="","",Allocation!BQ262)</f>
        <v/>
      </c>
      <c r="J262" t="str">
        <f>IF(Allocation!CC262="","",Allocation!CC262)</f>
        <v/>
      </c>
      <c r="K262" t="str">
        <f t="shared" si="76"/>
        <v/>
      </c>
      <c r="L262" t="str">
        <f t="shared" si="77"/>
        <v/>
      </c>
      <c r="M262" t="str">
        <f t="shared" si="78"/>
        <v/>
      </c>
      <c r="N262" t="str">
        <f t="shared" si="79"/>
        <v/>
      </c>
      <c r="O262" t="str">
        <f t="shared" si="80"/>
        <v/>
      </c>
      <c r="P262" t="str">
        <f t="shared" si="81"/>
        <v/>
      </c>
      <c r="Q262" t="str">
        <f t="shared" si="82"/>
        <v/>
      </c>
      <c r="R262" t="str">
        <f t="shared" si="83"/>
        <v/>
      </c>
      <c r="S262" t="str">
        <f t="shared" si="84"/>
        <v/>
      </c>
      <c r="T262" t="str">
        <f t="shared" si="85"/>
        <v/>
      </c>
      <c r="U262" t="str">
        <f t="shared" si="86"/>
        <v/>
      </c>
      <c r="V262" t="str">
        <f t="shared" si="87"/>
        <v/>
      </c>
      <c r="W262" t="str">
        <f>IF($A262="","",Allocation!CD262)</f>
        <v/>
      </c>
      <c r="X262" t="str">
        <f>IF($A262="","",Allocation!CE262)</f>
        <v/>
      </c>
      <c r="Y262" t="str">
        <f>IF($A262="","",Allocation!CF262)</f>
        <v/>
      </c>
      <c r="Z262" t="str">
        <f>IF($A262="","",Allocation!CG262)</f>
        <v/>
      </c>
      <c r="AA262" t="str">
        <f>IF($A262="","",Allocation!CH262)</f>
        <v/>
      </c>
      <c r="AB262" t="str">
        <f>IF($A262="","",Allocation!CI262)</f>
        <v/>
      </c>
      <c r="AC262" t="str">
        <f>IF($A262="","",IF(Allocation!$N$4="VOL_EFF",$G262,IF(Allocation!$N$4="VOL_CLASS",$H262,$I262)))</f>
        <v/>
      </c>
      <c r="AD262" t="str">
        <f>IF($A262="","",IF(Allocation!$N$4="VOL_EFF",$L262,IF(Allocation!$N$4="VOL_CLASS",$M262,$N262)))</f>
        <v/>
      </c>
      <c r="AE262" t="str">
        <f>IF($A262="","",IF(Allocation!$N$3="VOL_EFF",$L262,IF(Allocation!$N$3="VOL_CLASS",$M262,$N262)))</f>
        <v/>
      </c>
      <c r="AF262" t="str">
        <f>IF($A262="","",IF(Allocation!$N$3="VOL_EFF",$Q262,IF(Allocation!$N$3="VOL_CLASS",$R262,$S262)))</f>
        <v/>
      </c>
      <c r="AG262" t="str">
        <f>IF($A262="","",IF(Allocation!$N$1="VOL_EFF",$Q262,IF(Allocation!$N$1="VOL_CLASS",$R262,$S262)))</f>
        <v/>
      </c>
      <c r="AH262" t="str">
        <f>IF($A262="","",IF(Allocation!$N$1="VOL_EFF",$T262,IF(Allocation!$N$1="VOL_CLASS",$U262,$V262)))</f>
        <v/>
      </c>
      <c r="AI262" t="str">
        <f t="shared" si="88"/>
        <v/>
      </c>
      <c r="AJ262" t="str">
        <f t="shared" si="89"/>
        <v/>
      </c>
      <c r="AK262" t="str">
        <f t="shared" si="90"/>
        <v/>
      </c>
      <c r="AL262" t="str">
        <f t="shared" si="91"/>
        <v/>
      </c>
      <c r="AM262" t="str">
        <f t="shared" si="92"/>
        <v/>
      </c>
      <c r="AN262" t="str">
        <f t="shared" si="93"/>
        <v/>
      </c>
      <c r="AO262" t="str">
        <f>IF($A262="","",Allocation!CJ262)</f>
        <v/>
      </c>
      <c r="AP262" t="str">
        <f>IF($A262="","",IF(Allocation!$N$2="VOL_EFF",$Q262,IF(Allocation!$N$2="VOL_CLASS",$R262,$S262)))</f>
        <v/>
      </c>
      <c r="AQ262" t="str">
        <f>IF($A262="","",IF(Allocation!$N$2="VOL_EFF",$T262,IF(Allocation!$N$2="VOL_CLASS",$U262,$V262)))</f>
        <v/>
      </c>
      <c r="AR262" t="str">
        <f t="shared" si="94"/>
        <v/>
      </c>
      <c r="AS262" t="str">
        <f>IF($A262="","",$A262&amp;"|"&amp;Allocation!BG262)</f>
        <v/>
      </c>
    </row>
    <row r="263" spans="1:45" x14ac:dyDescent="0.45">
      <c r="A263" t="str">
        <f>IF(Allocation!BI263="","",Allocation!BI263)</f>
        <v/>
      </c>
      <c r="B263" t="str">
        <f>IF(Allocation!BJ263="","",Allocation!BJ263)</f>
        <v/>
      </c>
      <c r="C263" t="str">
        <f>IF(Allocation!BK263="","",Allocation!BK263)</f>
        <v/>
      </c>
      <c r="D263" t="str">
        <f>IF(Allocation!BL263="","",Allocation!BL263)</f>
        <v/>
      </c>
      <c r="E263" t="str">
        <f>IF(Allocation!BM263="","",Allocation!BM263)</f>
        <v/>
      </c>
      <c r="F263" t="str">
        <f>IF(Allocation!BN263="","",Allocation!BN263)</f>
        <v/>
      </c>
      <c r="G263" t="str">
        <f>IF(Allocation!BO263="","",Allocation!BO263)</f>
        <v/>
      </c>
      <c r="H263" t="str">
        <f>IF(Allocation!BP263="","",Allocation!BP263)</f>
        <v/>
      </c>
      <c r="I263" t="str">
        <f>IF(Allocation!BQ263="","",Allocation!BQ263)</f>
        <v/>
      </c>
      <c r="J263" t="str">
        <f>IF(Allocation!CC263="","",Allocation!CC263)</f>
        <v/>
      </c>
      <c r="K263" t="str">
        <f t="shared" si="76"/>
        <v/>
      </c>
      <c r="L263" t="str">
        <f t="shared" si="77"/>
        <v/>
      </c>
      <c r="M263" t="str">
        <f t="shared" si="78"/>
        <v/>
      </c>
      <c r="N263" t="str">
        <f t="shared" si="79"/>
        <v/>
      </c>
      <c r="O263" t="str">
        <f t="shared" si="80"/>
        <v/>
      </c>
      <c r="P263" t="str">
        <f t="shared" si="81"/>
        <v/>
      </c>
      <c r="Q263" t="str">
        <f t="shared" si="82"/>
        <v/>
      </c>
      <c r="R263" t="str">
        <f t="shared" si="83"/>
        <v/>
      </c>
      <c r="S263" t="str">
        <f t="shared" si="84"/>
        <v/>
      </c>
      <c r="T263" t="str">
        <f t="shared" si="85"/>
        <v/>
      </c>
      <c r="U263" t="str">
        <f t="shared" si="86"/>
        <v/>
      </c>
      <c r="V263" t="str">
        <f t="shared" si="87"/>
        <v/>
      </c>
      <c r="W263" t="str">
        <f>IF($A263="","",Allocation!CD263)</f>
        <v/>
      </c>
      <c r="X263" t="str">
        <f>IF($A263="","",Allocation!CE263)</f>
        <v/>
      </c>
      <c r="Y263" t="str">
        <f>IF($A263="","",Allocation!CF263)</f>
        <v/>
      </c>
      <c r="Z263" t="str">
        <f>IF($A263="","",Allocation!CG263)</f>
        <v/>
      </c>
      <c r="AA263" t="str">
        <f>IF($A263="","",Allocation!CH263)</f>
        <v/>
      </c>
      <c r="AB263" t="str">
        <f>IF($A263="","",Allocation!CI263)</f>
        <v/>
      </c>
      <c r="AC263" t="str">
        <f>IF($A263="","",IF(Allocation!$N$4="VOL_EFF",$G263,IF(Allocation!$N$4="VOL_CLASS",$H263,$I263)))</f>
        <v/>
      </c>
      <c r="AD263" t="str">
        <f>IF($A263="","",IF(Allocation!$N$4="VOL_EFF",$L263,IF(Allocation!$N$4="VOL_CLASS",$M263,$N263)))</f>
        <v/>
      </c>
      <c r="AE263" t="str">
        <f>IF($A263="","",IF(Allocation!$N$3="VOL_EFF",$L263,IF(Allocation!$N$3="VOL_CLASS",$M263,$N263)))</f>
        <v/>
      </c>
      <c r="AF263" t="str">
        <f>IF($A263="","",IF(Allocation!$N$3="VOL_EFF",$Q263,IF(Allocation!$N$3="VOL_CLASS",$R263,$S263)))</f>
        <v/>
      </c>
      <c r="AG263" t="str">
        <f>IF($A263="","",IF(Allocation!$N$1="VOL_EFF",$Q263,IF(Allocation!$N$1="VOL_CLASS",$R263,$S263)))</f>
        <v/>
      </c>
      <c r="AH263" t="str">
        <f>IF($A263="","",IF(Allocation!$N$1="VOL_EFF",$T263,IF(Allocation!$N$1="VOL_CLASS",$U263,$V263)))</f>
        <v/>
      </c>
      <c r="AI263" t="str">
        <f t="shared" si="88"/>
        <v/>
      </c>
      <c r="AJ263" t="str">
        <f t="shared" si="89"/>
        <v/>
      </c>
      <c r="AK263" t="str">
        <f t="shared" si="90"/>
        <v/>
      </c>
      <c r="AL263" t="str">
        <f t="shared" si="91"/>
        <v/>
      </c>
      <c r="AM263" t="str">
        <f t="shared" si="92"/>
        <v/>
      </c>
      <c r="AN263" t="str">
        <f t="shared" si="93"/>
        <v/>
      </c>
      <c r="AO263" t="str">
        <f>IF($A263="","",Allocation!CJ263)</f>
        <v/>
      </c>
      <c r="AP263" t="str">
        <f>IF($A263="","",IF(Allocation!$N$2="VOL_EFF",$Q263,IF(Allocation!$N$2="VOL_CLASS",$R263,$S263)))</f>
        <v/>
      </c>
      <c r="AQ263" t="str">
        <f>IF($A263="","",IF(Allocation!$N$2="VOL_EFF",$T263,IF(Allocation!$N$2="VOL_CLASS",$U263,$V263)))</f>
        <v/>
      </c>
      <c r="AR263" t="str">
        <f t="shared" si="94"/>
        <v/>
      </c>
      <c r="AS263" t="str">
        <f>IF($A263="","",$A263&amp;"|"&amp;Allocation!BG263)</f>
        <v/>
      </c>
    </row>
    <row r="264" spans="1:45" x14ac:dyDescent="0.45">
      <c r="A264" t="str">
        <f>IF(Allocation!BI264="","",Allocation!BI264)</f>
        <v/>
      </c>
      <c r="B264" t="str">
        <f>IF(Allocation!BJ264="","",Allocation!BJ264)</f>
        <v/>
      </c>
      <c r="C264" t="str">
        <f>IF(Allocation!BK264="","",Allocation!BK264)</f>
        <v/>
      </c>
      <c r="D264" t="str">
        <f>IF(Allocation!BL264="","",Allocation!BL264)</f>
        <v/>
      </c>
      <c r="E264" t="str">
        <f>IF(Allocation!BM264="","",Allocation!BM264)</f>
        <v/>
      </c>
      <c r="F264" t="str">
        <f>IF(Allocation!BN264="","",Allocation!BN264)</f>
        <v/>
      </c>
      <c r="G264" t="str">
        <f>IF(Allocation!BO264="","",Allocation!BO264)</f>
        <v/>
      </c>
      <c r="H264" t="str">
        <f>IF(Allocation!BP264="","",Allocation!BP264)</f>
        <v/>
      </c>
      <c r="I264" t="str">
        <f>IF(Allocation!BQ264="","",Allocation!BQ264)</f>
        <v/>
      </c>
      <c r="J264" t="str">
        <f>IF(Allocation!CC264="","",Allocation!CC264)</f>
        <v/>
      </c>
      <c r="K264" t="str">
        <f t="shared" si="76"/>
        <v/>
      </c>
      <c r="L264" t="str">
        <f t="shared" si="77"/>
        <v/>
      </c>
      <c r="M264" t="str">
        <f t="shared" si="78"/>
        <v/>
      </c>
      <c r="N264" t="str">
        <f t="shared" si="79"/>
        <v/>
      </c>
      <c r="O264" t="str">
        <f t="shared" si="80"/>
        <v/>
      </c>
      <c r="P264" t="str">
        <f t="shared" si="81"/>
        <v/>
      </c>
      <c r="Q264" t="str">
        <f t="shared" si="82"/>
        <v/>
      </c>
      <c r="R264" t="str">
        <f t="shared" si="83"/>
        <v/>
      </c>
      <c r="S264" t="str">
        <f t="shared" si="84"/>
        <v/>
      </c>
      <c r="T264" t="str">
        <f t="shared" si="85"/>
        <v/>
      </c>
      <c r="U264" t="str">
        <f t="shared" si="86"/>
        <v/>
      </c>
      <c r="V264" t="str">
        <f t="shared" si="87"/>
        <v/>
      </c>
      <c r="W264" t="str">
        <f>IF($A264="","",Allocation!CD264)</f>
        <v/>
      </c>
      <c r="X264" t="str">
        <f>IF($A264="","",Allocation!CE264)</f>
        <v/>
      </c>
      <c r="Y264" t="str">
        <f>IF($A264="","",Allocation!CF264)</f>
        <v/>
      </c>
      <c r="Z264" t="str">
        <f>IF($A264="","",Allocation!CG264)</f>
        <v/>
      </c>
      <c r="AA264" t="str">
        <f>IF($A264="","",Allocation!CH264)</f>
        <v/>
      </c>
      <c r="AB264" t="str">
        <f>IF($A264="","",Allocation!CI264)</f>
        <v/>
      </c>
      <c r="AC264" t="str">
        <f>IF($A264="","",IF(Allocation!$N$4="VOL_EFF",$G264,IF(Allocation!$N$4="VOL_CLASS",$H264,$I264)))</f>
        <v/>
      </c>
      <c r="AD264" t="str">
        <f>IF($A264="","",IF(Allocation!$N$4="VOL_EFF",$L264,IF(Allocation!$N$4="VOL_CLASS",$M264,$N264)))</f>
        <v/>
      </c>
      <c r="AE264" t="str">
        <f>IF($A264="","",IF(Allocation!$N$3="VOL_EFF",$L264,IF(Allocation!$N$3="VOL_CLASS",$M264,$N264)))</f>
        <v/>
      </c>
      <c r="AF264" t="str">
        <f>IF($A264="","",IF(Allocation!$N$3="VOL_EFF",$Q264,IF(Allocation!$N$3="VOL_CLASS",$R264,$S264)))</f>
        <v/>
      </c>
      <c r="AG264" t="str">
        <f>IF($A264="","",IF(Allocation!$N$1="VOL_EFF",$Q264,IF(Allocation!$N$1="VOL_CLASS",$R264,$S264)))</f>
        <v/>
      </c>
      <c r="AH264" t="str">
        <f>IF($A264="","",IF(Allocation!$N$1="VOL_EFF",$T264,IF(Allocation!$N$1="VOL_CLASS",$U264,$V264)))</f>
        <v/>
      </c>
      <c r="AI264" t="str">
        <f t="shared" si="88"/>
        <v/>
      </c>
      <c r="AJ264" t="str">
        <f t="shared" si="89"/>
        <v/>
      </c>
      <c r="AK264" t="str">
        <f t="shared" si="90"/>
        <v/>
      </c>
      <c r="AL264" t="str">
        <f t="shared" si="91"/>
        <v/>
      </c>
      <c r="AM264" t="str">
        <f t="shared" si="92"/>
        <v/>
      </c>
      <c r="AN264" t="str">
        <f t="shared" si="93"/>
        <v/>
      </c>
      <c r="AO264" t="str">
        <f>IF($A264="","",Allocation!CJ264)</f>
        <v/>
      </c>
      <c r="AP264" t="str">
        <f>IF($A264="","",IF(Allocation!$N$2="VOL_EFF",$Q264,IF(Allocation!$N$2="VOL_CLASS",$R264,$S264)))</f>
        <v/>
      </c>
      <c r="AQ264" t="str">
        <f>IF($A264="","",IF(Allocation!$N$2="VOL_EFF",$T264,IF(Allocation!$N$2="VOL_CLASS",$U264,$V264)))</f>
        <v/>
      </c>
      <c r="AR264" t="str">
        <f t="shared" si="94"/>
        <v/>
      </c>
      <c r="AS264" t="str">
        <f>IF($A264="","",$A264&amp;"|"&amp;Allocation!BG264)</f>
        <v/>
      </c>
    </row>
    <row r="265" spans="1:45" x14ac:dyDescent="0.45">
      <c r="A265" t="str">
        <f>IF(Allocation!BI265="","",Allocation!BI265)</f>
        <v/>
      </c>
      <c r="B265" t="str">
        <f>IF(Allocation!BJ265="","",Allocation!BJ265)</f>
        <v/>
      </c>
      <c r="C265" t="str">
        <f>IF(Allocation!BK265="","",Allocation!BK265)</f>
        <v/>
      </c>
      <c r="D265" t="str">
        <f>IF(Allocation!BL265="","",Allocation!BL265)</f>
        <v/>
      </c>
      <c r="E265" t="str">
        <f>IF(Allocation!BM265="","",Allocation!BM265)</f>
        <v/>
      </c>
      <c r="F265" t="str">
        <f>IF(Allocation!BN265="","",Allocation!BN265)</f>
        <v/>
      </c>
      <c r="G265" t="str">
        <f>IF(Allocation!BO265="","",Allocation!BO265)</f>
        <v/>
      </c>
      <c r="H265" t="str">
        <f>IF(Allocation!BP265="","",Allocation!BP265)</f>
        <v/>
      </c>
      <c r="I265" t="str">
        <f>IF(Allocation!BQ265="","",Allocation!BQ265)</f>
        <v/>
      </c>
      <c r="J265" t="str">
        <f>IF(Allocation!CC265="","",Allocation!CC265)</f>
        <v/>
      </c>
      <c r="K265" t="str">
        <f t="shared" si="76"/>
        <v/>
      </c>
      <c r="L265" t="str">
        <f t="shared" si="77"/>
        <v/>
      </c>
      <c r="M265" t="str">
        <f t="shared" si="78"/>
        <v/>
      </c>
      <c r="N265" t="str">
        <f t="shared" si="79"/>
        <v/>
      </c>
      <c r="O265" t="str">
        <f t="shared" si="80"/>
        <v/>
      </c>
      <c r="P265" t="str">
        <f t="shared" si="81"/>
        <v/>
      </c>
      <c r="Q265" t="str">
        <f t="shared" si="82"/>
        <v/>
      </c>
      <c r="R265" t="str">
        <f t="shared" si="83"/>
        <v/>
      </c>
      <c r="S265" t="str">
        <f t="shared" si="84"/>
        <v/>
      </c>
      <c r="T265" t="str">
        <f t="shared" si="85"/>
        <v/>
      </c>
      <c r="U265" t="str">
        <f t="shared" si="86"/>
        <v/>
      </c>
      <c r="V265" t="str">
        <f t="shared" si="87"/>
        <v/>
      </c>
      <c r="W265" t="str">
        <f>IF($A265="","",Allocation!CD265)</f>
        <v/>
      </c>
      <c r="X265" t="str">
        <f>IF($A265="","",Allocation!CE265)</f>
        <v/>
      </c>
      <c r="Y265" t="str">
        <f>IF($A265="","",Allocation!CF265)</f>
        <v/>
      </c>
      <c r="Z265" t="str">
        <f>IF($A265="","",Allocation!CG265)</f>
        <v/>
      </c>
      <c r="AA265" t="str">
        <f>IF($A265="","",Allocation!CH265)</f>
        <v/>
      </c>
      <c r="AB265" t="str">
        <f>IF($A265="","",Allocation!CI265)</f>
        <v/>
      </c>
      <c r="AC265" t="str">
        <f>IF($A265="","",IF(Allocation!$N$4="VOL_EFF",$G265,IF(Allocation!$N$4="VOL_CLASS",$H265,$I265)))</f>
        <v/>
      </c>
      <c r="AD265" t="str">
        <f>IF($A265="","",IF(Allocation!$N$4="VOL_EFF",$L265,IF(Allocation!$N$4="VOL_CLASS",$M265,$N265)))</f>
        <v/>
      </c>
      <c r="AE265" t="str">
        <f>IF($A265="","",IF(Allocation!$N$3="VOL_EFF",$L265,IF(Allocation!$N$3="VOL_CLASS",$M265,$N265)))</f>
        <v/>
      </c>
      <c r="AF265" t="str">
        <f>IF($A265="","",IF(Allocation!$N$3="VOL_EFF",$Q265,IF(Allocation!$N$3="VOL_CLASS",$R265,$S265)))</f>
        <v/>
      </c>
      <c r="AG265" t="str">
        <f>IF($A265="","",IF(Allocation!$N$1="VOL_EFF",$Q265,IF(Allocation!$N$1="VOL_CLASS",$R265,$S265)))</f>
        <v/>
      </c>
      <c r="AH265" t="str">
        <f>IF($A265="","",IF(Allocation!$N$1="VOL_EFF",$T265,IF(Allocation!$N$1="VOL_CLASS",$U265,$V265)))</f>
        <v/>
      </c>
      <c r="AI265" t="str">
        <f t="shared" si="88"/>
        <v/>
      </c>
      <c r="AJ265" t="str">
        <f t="shared" si="89"/>
        <v/>
      </c>
      <c r="AK265" t="str">
        <f t="shared" si="90"/>
        <v/>
      </c>
      <c r="AL265" t="str">
        <f t="shared" si="91"/>
        <v/>
      </c>
      <c r="AM265" t="str">
        <f t="shared" si="92"/>
        <v/>
      </c>
      <c r="AN265" t="str">
        <f t="shared" si="93"/>
        <v/>
      </c>
      <c r="AO265" t="str">
        <f>IF($A265="","",Allocation!CJ265)</f>
        <v/>
      </c>
      <c r="AP265" t="str">
        <f>IF($A265="","",IF(Allocation!$N$2="VOL_EFF",$Q265,IF(Allocation!$N$2="VOL_CLASS",$R265,$S265)))</f>
        <v/>
      </c>
      <c r="AQ265" t="str">
        <f>IF($A265="","",IF(Allocation!$N$2="VOL_EFF",$T265,IF(Allocation!$N$2="VOL_CLASS",$U265,$V265)))</f>
        <v/>
      </c>
      <c r="AR265" t="str">
        <f t="shared" si="94"/>
        <v/>
      </c>
      <c r="AS265" t="str">
        <f>IF($A265="","",$A265&amp;"|"&amp;Allocation!BG265)</f>
        <v/>
      </c>
    </row>
    <row r="266" spans="1:45" x14ac:dyDescent="0.45">
      <c r="A266" t="str">
        <f>IF(Allocation!BI266="","",Allocation!BI266)</f>
        <v/>
      </c>
      <c r="B266" t="str">
        <f>IF(Allocation!BJ266="","",Allocation!BJ266)</f>
        <v/>
      </c>
      <c r="C266" t="str">
        <f>IF(Allocation!BK266="","",Allocation!BK266)</f>
        <v/>
      </c>
      <c r="D266" t="str">
        <f>IF(Allocation!BL266="","",Allocation!BL266)</f>
        <v/>
      </c>
      <c r="E266" t="str">
        <f>IF(Allocation!BM266="","",Allocation!BM266)</f>
        <v/>
      </c>
      <c r="F266" t="str">
        <f>IF(Allocation!BN266="","",Allocation!BN266)</f>
        <v/>
      </c>
      <c r="G266" t="str">
        <f>IF(Allocation!BO266="","",Allocation!BO266)</f>
        <v/>
      </c>
      <c r="H266" t="str">
        <f>IF(Allocation!BP266="","",Allocation!BP266)</f>
        <v/>
      </c>
      <c r="I266" t="str">
        <f>IF(Allocation!BQ266="","",Allocation!BQ266)</f>
        <v/>
      </c>
      <c r="J266" t="str">
        <f>IF(Allocation!CC266="","",Allocation!CC266)</f>
        <v/>
      </c>
      <c r="K266" t="str">
        <f t="shared" si="76"/>
        <v/>
      </c>
      <c r="L266" t="str">
        <f t="shared" si="77"/>
        <v/>
      </c>
      <c r="M266" t="str">
        <f t="shared" si="78"/>
        <v/>
      </c>
      <c r="N266" t="str">
        <f t="shared" si="79"/>
        <v/>
      </c>
      <c r="O266" t="str">
        <f t="shared" si="80"/>
        <v/>
      </c>
      <c r="P266" t="str">
        <f t="shared" si="81"/>
        <v/>
      </c>
      <c r="Q266" t="str">
        <f t="shared" si="82"/>
        <v/>
      </c>
      <c r="R266" t="str">
        <f t="shared" si="83"/>
        <v/>
      </c>
      <c r="S266" t="str">
        <f t="shared" si="84"/>
        <v/>
      </c>
      <c r="T266" t="str">
        <f t="shared" si="85"/>
        <v/>
      </c>
      <c r="U266" t="str">
        <f t="shared" si="86"/>
        <v/>
      </c>
      <c r="V266" t="str">
        <f t="shared" si="87"/>
        <v/>
      </c>
      <c r="W266" t="str">
        <f>IF($A266="","",Allocation!CD266)</f>
        <v/>
      </c>
      <c r="X266" t="str">
        <f>IF($A266="","",Allocation!CE266)</f>
        <v/>
      </c>
      <c r="Y266" t="str">
        <f>IF($A266="","",Allocation!CF266)</f>
        <v/>
      </c>
      <c r="Z266" t="str">
        <f>IF($A266="","",Allocation!CG266)</f>
        <v/>
      </c>
      <c r="AA266" t="str">
        <f>IF($A266="","",Allocation!CH266)</f>
        <v/>
      </c>
      <c r="AB266" t="str">
        <f>IF($A266="","",Allocation!CI266)</f>
        <v/>
      </c>
      <c r="AC266" t="str">
        <f>IF($A266="","",IF(Allocation!$N$4="VOL_EFF",$G266,IF(Allocation!$N$4="VOL_CLASS",$H266,$I266)))</f>
        <v/>
      </c>
      <c r="AD266" t="str">
        <f>IF($A266="","",IF(Allocation!$N$4="VOL_EFF",$L266,IF(Allocation!$N$4="VOL_CLASS",$M266,$N266)))</f>
        <v/>
      </c>
      <c r="AE266" t="str">
        <f>IF($A266="","",IF(Allocation!$N$3="VOL_EFF",$L266,IF(Allocation!$N$3="VOL_CLASS",$M266,$N266)))</f>
        <v/>
      </c>
      <c r="AF266" t="str">
        <f>IF($A266="","",IF(Allocation!$N$3="VOL_EFF",$Q266,IF(Allocation!$N$3="VOL_CLASS",$R266,$S266)))</f>
        <v/>
      </c>
      <c r="AG266" t="str">
        <f>IF($A266="","",IF(Allocation!$N$1="VOL_EFF",$Q266,IF(Allocation!$N$1="VOL_CLASS",$R266,$S266)))</f>
        <v/>
      </c>
      <c r="AH266" t="str">
        <f>IF($A266="","",IF(Allocation!$N$1="VOL_EFF",$T266,IF(Allocation!$N$1="VOL_CLASS",$U266,$V266)))</f>
        <v/>
      </c>
      <c r="AI266" t="str">
        <f t="shared" si="88"/>
        <v/>
      </c>
      <c r="AJ266" t="str">
        <f t="shared" si="89"/>
        <v/>
      </c>
      <c r="AK266" t="str">
        <f t="shared" si="90"/>
        <v/>
      </c>
      <c r="AL266" t="str">
        <f t="shared" si="91"/>
        <v/>
      </c>
      <c r="AM266" t="str">
        <f t="shared" si="92"/>
        <v/>
      </c>
      <c r="AN266" t="str">
        <f t="shared" si="93"/>
        <v/>
      </c>
      <c r="AO266" t="str">
        <f>IF($A266="","",Allocation!CJ266)</f>
        <v/>
      </c>
      <c r="AP266" t="str">
        <f>IF($A266="","",IF(Allocation!$N$2="VOL_EFF",$Q266,IF(Allocation!$N$2="VOL_CLASS",$R266,$S266)))</f>
        <v/>
      </c>
      <c r="AQ266" t="str">
        <f>IF($A266="","",IF(Allocation!$N$2="VOL_EFF",$T266,IF(Allocation!$N$2="VOL_CLASS",$U266,$V266)))</f>
        <v/>
      </c>
      <c r="AR266" t="str">
        <f t="shared" si="94"/>
        <v/>
      </c>
      <c r="AS266" t="str">
        <f>IF($A266="","",$A266&amp;"|"&amp;Allocation!BG266)</f>
        <v/>
      </c>
    </row>
    <row r="267" spans="1:45" x14ac:dyDescent="0.45">
      <c r="A267" t="str">
        <f>IF(Allocation!BI267="","",Allocation!BI267)</f>
        <v/>
      </c>
      <c r="B267" t="str">
        <f>IF(Allocation!BJ267="","",Allocation!BJ267)</f>
        <v/>
      </c>
      <c r="C267" t="str">
        <f>IF(Allocation!BK267="","",Allocation!BK267)</f>
        <v/>
      </c>
      <c r="D267" t="str">
        <f>IF(Allocation!BL267="","",Allocation!BL267)</f>
        <v/>
      </c>
      <c r="E267" t="str">
        <f>IF(Allocation!BM267="","",Allocation!BM267)</f>
        <v/>
      </c>
      <c r="F267" t="str">
        <f>IF(Allocation!BN267="","",Allocation!BN267)</f>
        <v/>
      </c>
      <c r="G267" t="str">
        <f>IF(Allocation!BO267="","",Allocation!BO267)</f>
        <v/>
      </c>
      <c r="H267" t="str">
        <f>IF(Allocation!BP267="","",Allocation!BP267)</f>
        <v/>
      </c>
      <c r="I267" t="str">
        <f>IF(Allocation!BQ267="","",Allocation!BQ267)</f>
        <v/>
      </c>
      <c r="J267" t="str">
        <f>IF(Allocation!CC267="","",Allocation!CC267)</f>
        <v/>
      </c>
      <c r="K267" t="str">
        <f t="shared" si="76"/>
        <v/>
      </c>
      <c r="L267" t="str">
        <f t="shared" si="77"/>
        <v/>
      </c>
      <c r="M267" t="str">
        <f t="shared" si="78"/>
        <v/>
      </c>
      <c r="N267" t="str">
        <f t="shared" si="79"/>
        <v/>
      </c>
      <c r="O267" t="str">
        <f t="shared" si="80"/>
        <v/>
      </c>
      <c r="P267" t="str">
        <f t="shared" si="81"/>
        <v/>
      </c>
      <c r="Q267" t="str">
        <f t="shared" si="82"/>
        <v/>
      </c>
      <c r="R267" t="str">
        <f t="shared" si="83"/>
        <v/>
      </c>
      <c r="S267" t="str">
        <f t="shared" si="84"/>
        <v/>
      </c>
      <c r="T267" t="str">
        <f t="shared" si="85"/>
        <v/>
      </c>
      <c r="U267" t="str">
        <f t="shared" si="86"/>
        <v/>
      </c>
      <c r="V267" t="str">
        <f t="shared" si="87"/>
        <v/>
      </c>
      <c r="W267" t="str">
        <f>IF($A267="","",Allocation!CD267)</f>
        <v/>
      </c>
      <c r="X267" t="str">
        <f>IF($A267="","",Allocation!CE267)</f>
        <v/>
      </c>
      <c r="Y267" t="str">
        <f>IF($A267="","",Allocation!CF267)</f>
        <v/>
      </c>
      <c r="Z267" t="str">
        <f>IF($A267="","",Allocation!CG267)</f>
        <v/>
      </c>
      <c r="AA267" t="str">
        <f>IF($A267="","",Allocation!CH267)</f>
        <v/>
      </c>
      <c r="AB267" t="str">
        <f>IF($A267="","",Allocation!CI267)</f>
        <v/>
      </c>
      <c r="AC267" t="str">
        <f>IF($A267="","",IF(Allocation!$N$4="VOL_EFF",$G267,IF(Allocation!$N$4="VOL_CLASS",$H267,$I267)))</f>
        <v/>
      </c>
      <c r="AD267" t="str">
        <f>IF($A267="","",IF(Allocation!$N$4="VOL_EFF",$L267,IF(Allocation!$N$4="VOL_CLASS",$M267,$N267)))</f>
        <v/>
      </c>
      <c r="AE267" t="str">
        <f>IF($A267="","",IF(Allocation!$N$3="VOL_EFF",$L267,IF(Allocation!$N$3="VOL_CLASS",$M267,$N267)))</f>
        <v/>
      </c>
      <c r="AF267" t="str">
        <f>IF($A267="","",IF(Allocation!$N$3="VOL_EFF",$Q267,IF(Allocation!$N$3="VOL_CLASS",$R267,$S267)))</f>
        <v/>
      </c>
      <c r="AG267" t="str">
        <f>IF($A267="","",IF(Allocation!$N$1="VOL_EFF",$Q267,IF(Allocation!$N$1="VOL_CLASS",$R267,$S267)))</f>
        <v/>
      </c>
      <c r="AH267" t="str">
        <f>IF($A267="","",IF(Allocation!$N$1="VOL_EFF",$T267,IF(Allocation!$N$1="VOL_CLASS",$U267,$V267)))</f>
        <v/>
      </c>
      <c r="AI267" t="str">
        <f t="shared" si="88"/>
        <v/>
      </c>
      <c r="AJ267" t="str">
        <f t="shared" si="89"/>
        <v/>
      </c>
      <c r="AK267" t="str">
        <f t="shared" si="90"/>
        <v/>
      </c>
      <c r="AL267" t="str">
        <f t="shared" si="91"/>
        <v/>
      </c>
      <c r="AM267" t="str">
        <f t="shared" si="92"/>
        <v/>
      </c>
      <c r="AN267" t="str">
        <f t="shared" si="93"/>
        <v/>
      </c>
      <c r="AO267" t="str">
        <f>IF($A267="","",Allocation!CJ267)</f>
        <v/>
      </c>
      <c r="AP267" t="str">
        <f>IF($A267="","",IF(Allocation!$N$2="VOL_EFF",$Q267,IF(Allocation!$N$2="VOL_CLASS",$R267,$S267)))</f>
        <v/>
      </c>
      <c r="AQ267" t="str">
        <f>IF($A267="","",IF(Allocation!$N$2="VOL_EFF",$T267,IF(Allocation!$N$2="VOL_CLASS",$U267,$V267)))</f>
        <v/>
      </c>
      <c r="AR267" t="str">
        <f t="shared" si="94"/>
        <v/>
      </c>
      <c r="AS267" t="str">
        <f>IF($A267="","",$A267&amp;"|"&amp;Allocation!BG267)</f>
        <v/>
      </c>
    </row>
    <row r="268" spans="1:45" x14ac:dyDescent="0.45">
      <c r="A268" t="str">
        <f>IF(Allocation!BI268="","",Allocation!BI268)</f>
        <v/>
      </c>
      <c r="B268" t="str">
        <f>IF(Allocation!BJ268="","",Allocation!BJ268)</f>
        <v/>
      </c>
      <c r="C268" t="str">
        <f>IF(Allocation!BK268="","",Allocation!BK268)</f>
        <v/>
      </c>
      <c r="D268" t="str">
        <f>IF(Allocation!BL268="","",Allocation!BL268)</f>
        <v/>
      </c>
      <c r="E268" t="str">
        <f>IF(Allocation!BM268="","",Allocation!BM268)</f>
        <v/>
      </c>
      <c r="F268" t="str">
        <f>IF(Allocation!BN268="","",Allocation!BN268)</f>
        <v/>
      </c>
      <c r="G268" t="str">
        <f>IF(Allocation!BO268="","",Allocation!BO268)</f>
        <v/>
      </c>
      <c r="H268" t="str">
        <f>IF(Allocation!BP268="","",Allocation!BP268)</f>
        <v/>
      </c>
      <c r="I268" t="str">
        <f>IF(Allocation!BQ268="","",Allocation!BQ268)</f>
        <v/>
      </c>
      <c r="J268" t="str">
        <f>IF(Allocation!CC268="","",Allocation!CC268)</f>
        <v/>
      </c>
      <c r="K268" t="str">
        <f t="shared" si="76"/>
        <v/>
      </c>
      <c r="L268" t="str">
        <f t="shared" si="77"/>
        <v/>
      </c>
      <c r="M268" t="str">
        <f t="shared" si="78"/>
        <v/>
      </c>
      <c r="N268" t="str">
        <f t="shared" si="79"/>
        <v/>
      </c>
      <c r="O268" t="str">
        <f t="shared" si="80"/>
        <v/>
      </c>
      <c r="P268" t="str">
        <f t="shared" si="81"/>
        <v/>
      </c>
      <c r="Q268" t="str">
        <f t="shared" si="82"/>
        <v/>
      </c>
      <c r="R268" t="str">
        <f t="shared" si="83"/>
        <v/>
      </c>
      <c r="S268" t="str">
        <f t="shared" si="84"/>
        <v/>
      </c>
      <c r="T268" t="str">
        <f t="shared" si="85"/>
        <v/>
      </c>
      <c r="U268" t="str">
        <f t="shared" si="86"/>
        <v/>
      </c>
      <c r="V268" t="str">
        <f t="shared" si="87"/>
        <v/>
      </c>
      <c r="W268" t="str">
        <f>IF($A268="","",Allocation!CD268)</f>
        <v/>
      </c>
      <c r="X268" t="str">
        <f>IF($A268="","",Allocation!CE268)</f>
        <v/>
      </c>
      <c r="Y268" t="str">
        <f>IF($A268="","",Allocation!CF268)</f>
        <v/>
      </c>
      <c r="Z268" t="str">
        <f>IF($A268="","",Allocation!CG268)</f>
        <v/>
      </c>
      <c r="AA268" t="str">
        <f>IF($A268="","",Allocation!CH268)</f>
        <v/>
      </c>
      <c r="AB268" t="str">
        <f>IF($A268="","",Allocation!CI268)</f>
        <v/>
      </c>
      <c r="AC268" t="str">
        <f>IF($A268="","",IF(Allocation!$N$4="VOL_EFF",$G268,IF(Allocation!$N$4="VOL_CLASS",$H268,$I268)))</f>
        <v/>
      </c>
      <c r="AD268" t="str">
        <f>IF($A268="","",IF(Allocation!$N$4="VOL_EFF",$L268,IF(Allocation!$N$4="VOL_CLASS",$M268,$N268)))</f>
        <v/>
      </c>
      <c r="AE268" t="str">
        <f>IF($A268="","",IF(Allocation!$N$3="VOL_EFF",$L268,IF(Allocation!$N$3="VOL_CLASS",$M268,$N268)))</f>
        <v/>
      </c>
      <c r="AF268" t="str">
        <f>IF($A268="","",IF(Allocation!$N$3="VOL_EFF",$Q268,IF(Allocation!$N$3="VOL_CLASS",$R268,$S268)))</f>
        <v/>
      </c>
      <c r="AG268" t="str">
        <f>IF($A268="","",IF(Allocation!$N$1="VOL_EFF",$Q268,IF(Allocation!$N$1="VOL_CLASS",$R268,$S268)))</f>
        <v/>
      </c>
      <c r="AH268" t="str">
        <f>IF($A268="","",IF(Allocation!$N$1="VOL_EFF",$T268,IF(Allocation!$N$1="VOL_CLASS",$U268,$V268)))</f>
        <v/>
      </c>
      <c r="AI268" t="str">
        <f t="shared" si="88"/>
        <v/>
      </c>
      <c r="AJ268" t="str">
        <f t="shared" si="89"/>
        <v/>
      </c>
      <c r="AK268" t="str">
        <f t="shared" si="90"/>
        <v/>
      </c>
      <c r="AL268" t="str">
        <f t="shared" si="91"/>
        <v/>
      </c>
      <c r="AM268" t="str">
        <f t="shared" si="92"/>
        <v/>
      </c>
      <c r="AN268" t="str">
        <f t="shared" si="93"/>
        <v/>
      </c>
      <c r="AO268" t="str">
        <f>IF($A268="","",Allocation!CJ268)</f>
        <v/>
      </c>
      <c r="AP268" t="str">
        <f>IF($A268="","",IF(Allocation!$N$2="VOL_EFF",$Q268,IF(Allocation!$N$2="VOL_CLASS",$R268,$S268)))</f>
        <v/>
      </c>
      <c r="AQ268" t="str">
        <f>IF($A268="","",IF(Allocation!$N$2="VOL_EFF",$T268,IF(Allocation!$N$2="VOL_CLASS",$U268,$V268)))</f>
        <v/>
      </c>
      <c r="AR268" t="str">
        <f t="shared" si="94"/>
        <v/>
      </c>
      <c r="AS268" t="str">
        <f>IF($A268="","",$A268&amp;"|"&amp;Allocation!BG268)</f>
        <v/>
      </c>
    </row>
    <row r="269" spans="1:45" x14ac:dyDescent="0.45">
      <c r="A269" t="str">
        <f>IF(Allocation!BI269="","",Allocation!BI269)</f>
        <v/>
      </c>
      <c r="B269" t="str">
        <f>IF(Allocation!BJ269="","",Allocation!BJ269)</f>
        <v/>
      </c>
      <c r="C269" t="str">
        <f>IF(Allocation!BK269="","",Allocation!BK269)</f>
        <v/>
      </c>
      <c r="D269" t="str">
        <f>IF(Allocation!BL269="","",Allocation!BL269)</f>
        <v/>
      </c>
      <c r="E269" t="str">
        <f>IF(Allocation!BM269="","",Allocation!BM269)</f>
        <v/>
      </c>
      <c r="F269" t="str">
        <f>IF(Allocation!BN269="","",Allocation!BN269)</f>
        <v/>
      </c>
      <c r="G269" t="str">
        <f>IF(Allocation!BO269="","",Allocation!BO269)</f>
        <v/>
      </c>
      <c r="H269" t="str">
        <f>IF(Allocation!BP269="","",Allocation!BP269)</f>
        <v/>
      </c>
      <c r="I269" t="str">
        <f>IF(Allocation!BQ269="","",Allocation!BQ269)</f>
        <v/>
      </c>
      <c r="J269" t="str">
        <f>IF(Allocation!CC269="","",Allocation!CC269)</f>
        <v/>
      </c>
      <c r="K269" t="str">
        <f t="shared" si="76"/>
        <v/>
      </c>
      <c r="L269" t="str">
        <f t="shared" si="77"/>
        <v/>
      </c>
      <c r="M269" t="str">
        <f t="shared" si="78"/>
        <v/>
      </c>
      <c r="N269" t="str">
        <f t="shared" si="79"/>
        <v/>
      </c>
      <c r="O269" t="str">
        <f t="shared" si="80"/>
        <v/>
      </c>
      <c r="P269" t="str">
        <f t="shared" si="81"/>
        <v/>
      </c>
      <c r="Q269" t="str">
        <f t="shared" si="82"/>
        <v/>
      </c>
      <c r="R269" t="str">
        <f t="shared" si="83"/>
        <v/>
      </c>
      <c r="S269" t="str">
        <f t="shared" si="84"/>
        <v/>
      </c>
      <c r="T269" t="str">
        <f t="shared" si="85"/>
        <v/>
      </c>
      <c r="U269" t="str">
        <f t="shared" si="86"/>
        <v/>
      </c>
      <c r="V269" t="str">
        <f t="shared" si="87"/>
        <v/>
      </c>
      <c r="W269" t="str">
        <f>IF($A269="","",Allocation!CD269)</f>
        <v/>
      </c>
      <c r="X269" t="str">
        <f>IF($A269="","",Allocation!CE269)</f>
        <v/>
      </c>
      <c r="Y269" t="str">
        <f>IF($A269="","",Allocation!CF269)</f>
        <v/>
      </c>
      <c r="Z269" t="str">
        <f>IF($A269="","",Allocation!CG269)</f>
        <v/>
      </c>
      <c r="AA269" t="str">
        <f>IF($A269="","",Allocation!CH269)</f>
        <v/>
      </c>
      <c r="AB269" t="str">
        <f>IF($A269="","",Allocation!CI269)</f>
        <v/>
      </c>
      <c r="AC269" t="str">
        <f>IF($A269="","",IF(Allocation!$N$4="VOL_EFF",$G269,IF(Allocation!$N$4="VOL_CLASS",$H269,$I269)))</f>
        <v/>
      </c>
      <c r="AD269" t="str">
        <f>IF($A269="","",IF(Allocation!$N$4="VOL_EFF",$L269,IF(Allocation!$N$4="VOL_CLASS",$M269,$N269)))</f>
        <v/>
      </c>
      <c r="AE269" t="str">
        <f>IF($A269="","",IF(Allocation!$N$3="VOL_EFF",$L269,IF(Allocation!$N$3="VOL_CLASS",$M269,$N269)))</f>
        <v/>
      </c>
      <c r="AF269" t="str">
        <f>IF($A269="","",IF(Allocation!$N$3="VOL_EFF",$Q269,IF(Allocation!$N$3="VOL_CLASS",$R269,$S269)))</f>
        <v/>
      </c>
      <c r="AG269" t="str">
        <f>IF($A269="","",IF(Allocation!$N$1="VOL_EFF",$Q269,IF(Allocation!$N$1="VOL_CLASS",$R269,$S269)))</f>
        <v/>
      </c>
      <c r="AH269" t="str">
        <f>IF($A269="","",IF(Allocation!$N$1="VOL_EFF",$T269,IF(Allocation!$N$1="VOL_CLASS",$U269,$V269)))</f>
        <v/>
      </c>
      <c r="AI269" t="str">
        <f t="shared" si="88"/>
        <v/>
      </c>
      <c r="AJ269" t="str">
        <f t="shared" si="89"/>
        <v/>
      </c>
      <c r="AK269" t="str">
        <f t="shared" si="90"/>
        <v/>
      </c>
      <c r="AL269" t="str">
        <f t="shared" si="91"/>
        <v/>
      </c>
      <c r="AM269" t="str">
        <f t="shared" si="92"/>
        <v/>
      </c>
      <c r="AN269" t="str">
        <f t="shared" si="93"/>
        <v/>
      </c>
      <c r="AO269" t="str">
        <f>IF($A269="","",Allocation!CJ269)</f>
        <v/>
      </c>
      <c r="AP269" t="str">
        <f>IF($A269="","",IF(Allocation!$N$2="VOL_EFF",$Q269,IF(Allocation!$N$2="VOL_CLASS",$R269,$S269)))</f>
        <v/>
      </c>
      <c r="AQ269" t="str">
        <f>IF($A269="","",IF(Allocation!$N$2="VOL_EFF",$T269,IF(Allocation!$N$2="VOL_CLASS",$U269,$V269)))</f>
        <v/>
      </c>
      <c r="AR269" t="str">
        <f t="shared" si="94"/>
        <v/>
      </c>
      <c r="AS269" t="str">
        <f>IF($A269="","",$A269&amp;"|"&amp;Allocation!BG269)</f>
        <v/>
      </c>
    </row>
    <row r="270" spans="1:45" x14ac:dyDescent="0.45">
      <c r="A270" t="str">
        <f>IF(Allocation!BI270="","",Allocation!BI270)</f>
        <v/>
      </c>
      <c r="B270" t="str">
        <f>IF(Allocation!BJ270="","",Allocation!BJ270)</f>
        <v/>
      </c>
      <c r="C270" t="str">
        <f>IF(Allocation!BK270="","",Allocation!BK270)</f>
        <v/>
      </c>
      <c r="D270" t="str">
        <f>IF(Allocation!BL270="","",Allocation!BL270)</f>
        <v/>
      </c>
      <c r="E270" t="str">
        <f>IF(Allocation!BM270="","",Allocation!BM270)</f>
        <v/>
      </c>
      <c r="F270" t="str">
        <f>IF(Allocation!BN270="","",Allocation!BN270)</f>
        <v/>
      </c>
      <c r="G270" t="str">
        <f>IF(Allocation!BO270="","",Allocation!BO270)</f>
        <v/>
      </c>
      <c r="H270" t="str">
        <f>IF(Allocation!BP270="","",Allocation!BP270)</f>
        <v/>
      </c>
      <c r="I270" t="str">
        <f>IF(Allocation!BQ270="","",Allocation!BQ270)</f>
        <v/>
      </c>
      <c r="J270" t="str">
        <f>IF(Allocation!CC270="","",Allocation!CC270)</f>
        <v/>
      </c>
      <c r="K270" t="str">
        <f t="shared" si="76"/>
        <v/>
      </c>
      <c r="L270" t="str">
        <f t="shared" si="77"/>
        <v/>
      </c>
      <c r="M270" t="str">
        <f t="shared" si="78"/>
        <v/>
      </c>
      <c r="N270" t="str">
        <f t="shared" si="79"/>
        <v/>
      </c>
      <c r="O270" t="str">
        <f t="shared" si="80"/>
        <v/>
      </c>
      <c r="P270" t="str">
        <f t="shared" si="81"/>
        <v/>
      </c>
      <c r="Q270" t="str">
        <f t="shared" si="82"/>
        <v/>
      </c>
      <c r="R270" t="str">
        <f t="shared" si="83"/>
        <v/>
      </c>
      <c r="S270" t="str">
        <f t="shared" si="84"/>
        <v/>
      </c>
      <c r="T270" t="str">
        <f t="shared" si="85"/>
        <v/>
      </c>
      <c r="U270" t="str">
        <f t="shared" si="86"/>
        <v/>
      </c>
      <c r="V270" t="str">
        <f t="shared" si="87"/>
        <v/>
      </c>
      <c r="W270" t="str">
        <f>IF($A270="","",Allocation!CD270)</f>
        <v/>
      </c>
      <c r="X270" t="str">
        <f>IF($A270="","",Allocation!CE270)</f>
        <v/>
      </c>
      <c r="Y270" t="str">
        <f>IF($A270="","",Allocation!CF270)</f>
        <v/>
      </c>
      <c r="Z270" t="str">
        <f>IF($A270="","",Allocation!CG270)</f>
        <v/>
      </c>
      <c r="AA270" t="str">
        <f>IF($A270="","",Allocation!CH270)</f>
        <v/>
      </c>
      <c r="AB270" t="str">
        <f>IF($A270="","",Allocation!CI270)</f>
        <v/>
      </c>
      <c r="AC270" t="str">
        <f>IF($A270="","",IF(Allocation!$N$4="VOL_EFF",$G270,IF(Allocation!$N$4="VOL_CLASS",$H270,$I270)))</f>
        <v/>
      </c>
      <c r="AD270" t="str">
        <f>IF($A270="","",IF(Allocation!$N$4="VOL_EFF",$L270,IF(Allocation!$N$4="VOL_CLASS",$M270,$N270)))</f>
        <v/>
      </c>
      <c r="AE270" t="str">
        <f>IF($A270="","",IF(Allocation!$N$3="VOL_EFF",$L270,IF(Allocation!$N$3="VOL_CLASS",$M270,$N270)))</f>
        <v/>
      </c>
      <c r="AF270" t="str">
        <f>IF($A270="","",IF(Allocation!$N$3="VOL_EFF",$Q270,IF(Allocation!$N$3="VOL_CLASS",$R270,$S270)))</f>
        <v/>
      </c>
      <c r="AG270" t="str">
        <f>IF($A270="","",IF(Allocation!$N$1="VOL_EFF",$Q270,IF(Allocation!$N$1="VOL_CLASS",$R270,$S270)))</f>
        <v/>
      </c>
      <c r="AH270" t="str">
        <f>IF($A270="","",IF(Allocation!$N$1="VOL_EFF",$T270,IF(Allocation!$N$1="VOL_CLASS",$U270,$V270)))</f>
        <v/>
      </c>
      <c r="AI270" t="str">
        <f t="shared" si="88"/>
        <v/>
      </c>
      <c r="AJ270" t="str">
        <f t="shared" si="89"/>
        <v/>
      </c>
      <c r="AK270" t="str">
        <f t="shared" si="90"/>
        <v/>
      </c>
      <c r="AL270" t="str">
        <f t="shared" si="91"/>
        <v/>
      </c>
      <c r="AM270" t="str">
        <f t="shared" si="92"/>
        <v/>
      </c>
      <c r="AN270" t="str">
        <f t="shared" si="93"/>
        <v/>
      </c>
      <c r="AO270" t="str">
        <f>IF($A270="","",Allocation!CJ270)</f>
        <v/>
      </c>
      <c r="AP270" t="str">
        <f>IF($A270="","",IF(Allocation!$N$2="VOL_EFF",$Q270,IF(Allocation!$N$2="VOL_CLASS",$R270,$S270)))</f>
        <v/>
      </c>
      <c r="AQ270" t="str">
        <f>IF($A270="","",IF(Allocation!$N$2="VOL_EFF",$T270,IF(Allocation!$N$2="VOL_CLASS",$U270,$V270)))</f>
        <v/>
      </c>
      <c r="AR270" t="str">
        <f t="shared" si="94"/>
        <v/>
      </c>
      <c r="AS270" t="str">
        <f>IF($A270="","",$A270&amp;"|"&amp;Allocation!BG270)</f>
        <v/>
      </c>
    </row>
    <row r="271" spans="1:45" x14ac:dyDescent="0.45">
      <c r="A271" t="str">
        <f>IF(Allocation!BI271="","",Allocation!BI271)</f>
        <v/>
      </c>
      <c r="B271" t="str">
        <f>IF(Allocation!BJ271="","",Allocation!BJ271)</f>
        <v/>
      </c>
      <c r="C271" t="str">
        <f>IF(Allocation!BK271="","",Allocation!BK271)</f>
        <v/>
      </c>
      <c r="D271" t="str">
        <f>IF(Allocation!BL271="","",Allocation!BL271)</f>
        <v/>
      </c>
      <c r="E271" t="str">
        <f>IF(Allocation!BM271="","",Allocation!BM271)</f>
        <v/>
      </c>
      <c r="F271" t="str">
        <f>IF(Allocation!BN271="","",Allocation!BN271)</f>
        <v/>
      </c>
      <c r="G271" t="str">
        <f>IF(Allocation!BO271="","",Allocation!BO271)</f>
        <v/>
      </c>
      <c r="H271" t="str">
        <f>IF(Allocation!BP271="","",Allocation!BP271)</f>
        <v/>
      </c>
      <c r="I271" t="str">
        <f>IF(Allocation!BQ271="","",Allocation!BQ271)</f>
        <v/>
      </c>
      <c r="J271" t="str">
        <f>IF(Allocation!CC271="","",Allocation!CC271)</f>
        <v/>
      </c>
      <c r="K271" t="str">
        <f t="shared" si="76"/>
        <v/>
      </c>
      <c r="L271" t="str">
        <f t="shared" si="77"/>
        <v/>
      </c>
      <c r="M271" t="str">
        <f t="shared" si="78"/>
        <v/>
      </c>
      <c r="N271" t="str">
        <f t="shared" si="79"/>
        <v/>
      </c>
      <c r="O271" t="str">
        <f t="shared" si="80"/>
        <v/>
      </c>
      <c r="P271" t="str">
        <f t="shared" si="81"/>
        <v/>
      </c>
      <c r="Q271" t="str">
        <f t="shared" si="82"/>
        <v/>
      </c>
      <c r="R271" t="str">
        <f t="shared" si="83"/>
        <v/>
      </c>
      <c r="S271" t="str">
        <f t="shared" si="84"/>
        <v/>
      </c>
      <c r="T271" t="str">
        <f t="shared" si="85"/>
        <v/>
      </c>
      <c r="U271" t="str">
        <f t="shared" si="86"/>
        <v/>
      </c>
      <c r="V271" t="str">
        <f t="shared" si="87"/>
        <v/>
      </c>
      <c r="W271" t="str">
        <f>IF($A271="","",Allocation!CD271)</f>
        <v/>
      </c>
      <c r="X271" t="str">
        <f>IF($A271="","",Allocation!CE271)</f>
        <v/>
      </c>
      <c r="Y271" t="str">
        <f>IF($A271="","",Allocation!CF271)</f>
        <v/>
      </c>
      <c r="Z271" t="str">
        <f>IF($A271="","",Allocation!CG271)</f>
        <v/>
      </c>
      <c r="AA271" t="str">
        <f>IF($A271="","",Allocation!CH271)</f>
        <v/>
      </c>
      <c r="AB271" t="str">
        <f>IF($A271="","",Allocation!CI271)</f>
        <v/>
      </c>
      <c r="AC271" t="str">
        <f>IF($A271="","",IF(Allocation!$N$4="VOL_EFF",$G271,IF(Allocation!$N$4="VOL_CLASS",$H271,$I271)))</f>
        <v/>
      </c>
      <c r="AD271" t="str">
        <f>IF($A271="","",IF(Allocation!$N$4="VOL_EFF",$L271,IF(Allocation!$N$4="VOL_CLASS",$M271,$N271)))</f>
        <v/>
      </c>
      <c r="AE271" t="str">
        <f>IF($A271="","",IF(Allocation!$N$3="VOL_EFF",$L271,IF(Allocation!$N$3="VOL_CLASS",$M271,$N271)))</f>
        <v/>
      </c>
      <c r="AF271" t="str">
        <f>IF($A271="","",IF(Allocation!$N$3="VOL_EFF",$Q271,IF(Allocation!$N$3="VOL_CLASS",$R271,$S271)))</f>
        <v/>
      </c>
      <c r="AG271" t="str">
        <f>IF($A271="","",IF(Allocation!$N$1="VOL_EFF",$Q271,IF(Allocation!$N$1="VOL_CLASS",$R271,$S271)))</f>
        <v/>
      </c>
      <c r="AH271" t="str">
        <f>IF($A271="","",IF(Allocation!$N$1="VOL_EFF",$T271,IF(Allocation!$N$1="VOL_CLASS",$U271,$V271)))</f>
        <v/>
      </c>
      <c r="AI271" t="str">
        <f t="shared" si="88"/>
        <v/>
      </c>
      <c r="AJ271" t="str">
        <f t="shared" si="89"/>
        <v/>
      </c>
      <c r="AK271" t="str">
        <f t="shared" si="90"/>
        <v/>
      </c>
      <c r="AL271" t="str">
        <f t="shared" si="91"/>
        <v/>
      </c>
      <c r="AM271" t="str">
        <f t="shared" si="92"/>
        <v/>
      </c>
      <c r="AN271" t="str">
        <f t="shared" si="93"/>
        <v/>
      </c>
      <c r="AO271" t="str">
        <f>IF($A271="","",Allocation!CJ271)</f>
        <v/>
      </c>
      <c r="AP271" t="str">
        <f>IF($A271="","",IF(Allocation!$N$2="VOL_EFF",$Q271,IF(Allocation!$N$2="VOL_CLASS",$R271,$S271)))</f>
        <v/>
      </c>
      <c r="AQ271" t="str">
        <f>IF($A271="","",IF(Allocation!$N$2="VOL_EFF",$T271,IF(Allocation!$N$2="VOL_CLASS",$U271,$V271)))</f>
        <v/>
      </c>
      <c r="AR271" t="str">
        <f t="shared" si="94"/>
        <v/>
      </c>
      <c r="AS271" t="str">
        <f>IF($A271="","",$A271&amp;"|"&amp;Allocation!BG271)</f>
        <v/>
      </c>
    </row>
    <row r="272" spans="1:45" x14ac:dyDescent="0.45">
      <c r="A272" t="str">
        <f>IF(Allocation!BI272="","",Allocation!BI272)</f>
        <v/>
      </c>
      <c r="B272" t="str">
        <f>IF(Allocation!BJ272="","",Allocation!BJ272)</f>
        <v/>
      </c>
      <c r="C272" t="str">
        <f>IF(Allocation!BK272="","",Allocation!BK272)</f>
        <v/>
      </c>
      <c r="D272" t="str">
        <f>IF(Allocation!BL272="","",Allocation!BL272)</f>
        <v/>
      </c>
      <c r="E272" t="str">
        <f>IF(Allocation!BM272="","",Allocation!BM272)</f>
        <v/>
      </c>
      <c r="F272" t="str">
        <f>IF(Allocation!BN272="","",Allocation!BN272)</f>
        <v/>
      </c>
      <c r="G272" t="str">
        <f>IF(Allocation!BO272="","",Allocation!BO272)</f>
        <v/>
      </c>
      <c r="H272" t="str">
        <f>IF(Allocation!BP272="","",Allocation!BP272)</f>
        <v/>
      </c>
      <c r="I272" t="str">
        <f>IF(Allocation!BQ272="","",Allocation!BQ272)</f>
        <v/>
      </c>
      <c r="J272" t="str">
        <f>IF(Allocation!CC272="","",Allocation!CC272)</f>
        <v/>
      </c>
      <c r="K272" t="str">
        <f t="shared" si="76"/>
        <v/>
      </c>
      <c r="L272" t="str">
        <f t="shared" si="77"/>
        <v/>
      </c>
      <c r="M272" t="str">
        <f t="shared" si="78"/>
        <v/>
      </c>
      <c r="N272" t="str">
        <f t="shared" si="79"/>
        <v/>
      </c>
      <c r="O272" t="str">
        <f t="shared" si="80"/>
        <v/>
      </c>
      <c r="P272" t="str">
        <f t="shared" si="81"/>
        <v/>
      </c>
      <c r="Q272" t="str">
        <f t="shared" si="82"/>
        <v/>
      </c>
      <c r="R272" t="str">
        <f t="shared" si="83"/>
        <v/>
      </c>
      <c r="S272" t="str">
        <f t="shared" si="84"/>
        <v/>
      </c>
      <c r="T272" t="str">
        <f t="shared" si="85"/>
        <v/>
      </c>
      <c r="U272" t="str">
        <f t="shared" si="86"/>
        <v/>
      </c>
      <c r="V272" t="str">
        <f t="shared" si="87"/>
        <v/>
      </c>
      <c r="W272" t="str">
        <f>IF($A272="","",Allocation!CD272)</f>
        <v/>
      </c>
      <c r="X272" t="str">
        <f>IF($A272="","",Allocation!CE272)</f>
        <v/>
      </c>
      <c r="Y272" t="str">
        <f>IF($A272="","",Allocation!CF272)</f>
        <v/>
      </c>
      <c r="Z272" t="str">
        <f>IF($A272="","",Allocation!CG272)</f>
        <v/>
      </c>
      <c r="AA272" t="str">
        <f>IF($A272="","",Allocation!CH272)</f>
        <v/>
      </c>
      <c r="AB272" t="str">
        <f>IF($A272="","",Allocation!CI272)</f>
        <v/>
      </c>
      <c r="AC272" t="str">
        <f>IF($A272="","",IF(Allocation!$N$4="VOL_EFF",$G272,IF(Allocation!$N$4="VOL_CLASS",$H272,$I272)))</f>
        <v/>
      </c>
      <c r="AD272" t="str">
        <f>IF($A272="","",IF(Allocation!$N$4="VOL_EFF",$L272,IF(Allocation!$N$4="VOL_CLASS",$M272,$N272)))</f>
        <v/>
      </c>
      <c r="AE272" t="str">
        <f>IF($A272="","",IF(Allocation!$N$3="VOL_EFF",$L272,IF(Allocation!$N$3="VOL_CLASS",$M272,$N272)))</f>
        <v/>
      </c>
      <c r="AF272" t="str">
        <f>IF($A272="","",IF(Allocation!$N$3="VOL_EFF",$Q272,IF(Allocation!$N$3="VOL_CLASS",$R272,$S272)))</f>
        <v/>
      </c>
      <c r="AG272" t="str">
        <f>IF($A272="","",IF(Allocation!$N$1="VOL_EFF",$Q272,IF(Allocation!$N$1="VOL_CLASS",$R272,$S272)))</f>
        <v/>
      </c>
      <c r="AH272" t="str">
        <f>IF($A272="","",IF(Allocation!$N$1="VOL_EFF",$T272,IF(Allocation!$N$1="VOL_CLASS",$U272,$V272)))</f>
        <v/>
      </c>
      <c r="AI272" t="str">
        <f t="shared" si="88"/>
        <v/>
      </c>
      <c r="AJ272" t="str">
        <f t="shared" si="89"/>
        <v/>
      </c>
      <c r="AK272" t="str">
        <f t="shared" si="90"/>
        <v/>
      </c>
      <c r="AL272" t="str">
        <f t="shared" si="91"/>
        <v/>
      </c>
      <c r="AM272" t="str">
        <f t="shared" si="92"/>
        <v/>
      </c>
      <c r="AN272" t="str">
        <f t="shared" si="93"/>
        <v/>
      </c>
      <c r="AO272" t="str">
        <f>IF($A272="","",Allocation!CJ272)</f>
        <v/>
      </c>
      <c r="AP272" t="str">
        <f>IF($A272="","",IF(Allocation!$N$2="VOL_EFF",$Q272,IF(Allocation!$N$2="VOL_CLASS",$R272,$S272)))</f>
        <v/>
      </c>
      <c r="AQ272" t="str">
        <f>IF($A272="","",IF(Allocation!$N$2="VOL_EFF",$T272,IF(Allocation!$N$2="VOL_CLASS",$U272,$V272)))</f>
        <v/>
      </c>
      <c r="AR272" t="str">
        <f t="shared" si="94"/>
        <v/>
      </c>
      <c r="AS272" t="str">
        <f>IF($A272="","",$A272&amp;"|"&amp;Allocation!BG272)</f>
        <v/>
      </c>
    </row>
    <row r="273" spans="1:45" x14ac:dyDescent="0.45">
      <c r="A273" t="str">
        <f>IF(Allocation!BI273="","",Allocation!BI273)</f>
        <v/>
      </c>
      <c r="B273" t="str">
        <f>IF(Allocation!BJ273="","",Allocation!BJ273)</f>
        <v/>
      </c>
      <c r="C273" t="str">
        <f>IF(Allocation!BK273="","",Allocation!BK273)</f>
        <v/>
      </c>
      <c r="D273" t="str">
        <f>IF(Allocation!BL273="","",Allocation!BL273)</f>
        <v/>
      </c>
      <c r="E273" t="str">
        <f>IF(Allocation!BM273="","",Allocation!BM273)</f>
        <v/>
      </c>
      <c r="F273" t="str">
        <f>IF(Allocation!BN273="","",Allocation!BN273)</f>
        <v/>
      </c>
      <c r="G273" t="str">
        <f>IF(Allocation!BO273="","",Allocation!BO273)</f>
        <v/>
      </c>
      <c r="H273" t="str">
        <f>IF(Allocation!BP273="","",Allocation!BP273)</f>
        <v/>
      </c>
      <c r="I273" t="str">
        <f>IF(Allocation!BQ273="","",Allocation!BQ273)</f>
        <v/>
      </c>
      <c r="J273" t="str">
        <f>IF(Allocation!CC273="","",Allocation!CC273)</f>
        <v/>
      </c>
      <c r="K273" t="str">
        <f t="shared" si="76"/>
        <v/>
      </c>
      <c r="L273" t="str">
        <f t="shared" si="77"/>
        <v/>
      </c>
      <c r="M273" t="str">
        <f t="shared" si="78"/>
        <v/>
      </c>
      <c r="N273" t="str">
        <f t="shared" si="79"/>
        <v/>
      </c>
      <c r="O273" t="str">
        <f t="shared" si="80"/>
        <v/>
      </c>
      <c r="P273" t="str">
        <f t="shared" si="81"/>
        <v/>
      </c>
      <c r="Q273" t="str">
        <f t="shared" si="82"/>
        <v/>
      </c>
      <c r="R273" t="str">
        <f t="shared" si="83"/>
        <v/>
      </c>
      <c r="S273" t="str">
        <f t="shared" si="84"/>
        <v/>
      </c>
      <c r="T273" t="str">
        <f t="shared" si="85"/>
        <v/>
      </c>
      <c r="U273" t="str">
        <f t="shared" si="86"/>
        <v/>
      </c>
      <c r="V273" t="str">
        <f t="shared" si="87"/>
        <v/>
      </c>
      <c r="W273" t="str">
        <f>IF($A273="","",Allocation!CD273)</f>
        <v/>
      </c>
      <c r="X273" t="str">
        <f>IF($A273="","",Allocation!CE273)</f>
        <v/>
      </c>
      <c r="Y273" t="str">
        <f>IF($A273="","",Allocation!CF273)</f>
        <v/>
      </c>
      <c r="Z273" t="str">
        <f>IF($A273="","",Allocation!CG273)</f>
        <v/>
      </c>
      <c r="AA273" t="str">
        <f>IF($A273="","",Allocation!CH273)</f>
        <v/>
      </c>
      <c r="AB273" t="str">
        <f>IF($A273="","",Allocation!CI273)</f>
        <v/>
      </c>
      <c r="AC273" t="str">
        <f>IF($A273="","",IF(Allocation!$N$4="VOL_EFF",$G273,IF(Allocation!$N$4="VOL_CLASS",$H273,$I273)))</f>
        <v/>
      </c>
      <c r="AD273" t="str">
        <f>IF($A273="","",IF(Allocation!$N$4="VOL_EFF",$L273,IF(Allocation!$N$4="VOL_CLASS",$M273,$N273)))</f>
        <v/>
      </c>
      <c r="AE273" t="str">
        <f>IF($A273="","",IF(Allocation!$N$3="VOL_EFF",$L273,IF(Allocation!$N$3="VOL_CLASS",$M273,$N273)))</f>
        <v/>
      </c>
      <c r="AF273" t="str">
        <f>IF($A273="","",IF(Allocation!$N$3="VOL_EFF",$Q273,IF(Allocation!$N$3="VOL_CLASS",$R273,$S273)))</f>
        <v/>
      </c>
      <c r="AG273" t="str">
        <f>IF($A273="","",IF(Allocation!$N$1="VOL_EFF",$Q273,IF(Allocation!$N$1="VOL_CLASS",$R273,$S273)))</f>
        <v/>
      </c>
      <c r="AH273" t="str">
        <f>IF($A273="","",IF(Allocation!$N$1="VOL_EFF",$T273,IF(Allocation!$N$1="VOL_CLASS",$U273,$V273)))</f>
        <v/>
      </c>
      <c r="AI273" t="str">
        <f t="shared" si="88"/>
        <v/>
      </c>
      <c r="AJ273" t="str">
        <f t="shared" si="89"/>
        <v/>
      </c>
      <c r="AK273" t="str">
        <f t="shared" si="90"/>
        <v/>
      </c>
      <c r="AL273" t="str">
        <f t="shared" si="91"/>
        <v/>
      </c>
      <c r="AM273" t="str">
        <f t="shared" si="92"/>
        <v/>
      </c>
      <c r="AN273" t="str">
        <f t="shared" si="93"/>
        <v/>
      </c>
      <c r="AO273" t="str">
        <f>IF($A273="","",Allocation!CJ273)</f>
        <v/>
      </c>
      <c r="AP273" t="str">
        <f>IF($A273="","",IF(Allocation!$N$2="VOL_EFF",$Q273,IF(Allocation!$N$2="VOL_CLASS",$R273,$S273)))</f>
        <v/>
      </c>
      <c r="AQ273" t="str">
        <f>IF($A273="","",IF(Allocation!$N$2="VOL_EFF",$T273,IF(Allocation!$N$2="VOL_CLASS",$U273,$V273)))</f>
        <v/>
      </c>
      <c r="AR273" t="str">
        <f t="shared" si="94"/>
        <v/>
      </c>
      <c r="AS273" t="str">
        <f>IF($A273="","",$A273&amp;"|"&amp;Allocation!BG273)</f>
        <v/>
      </c>
    </row>
    <row r="274" spans="1:45" x14ac:dyDescent="0.45">
      <c r="A274" t="str">
        <f>IF(Allocation!BI274="","",Allocation!BI274)</f>
        <v/>
      </c>
      <c r="B274" t="str">
        <f>IF(Allocation!BJ274="","",Allocation!BJ274)</f>
        <v/>
      </c>
      <c r="C274" t="str">
        <f>IF(Allocation!BK274="","",Allocation!BK274)</f>
        <v/>
      </c>
      <c r="D274" t="str">
        <f>IF(Allocation!BL274="","",Allocation!BL274)</f>
        <v/>
      </c>
      <c r="E274" t="str">
        <f>IF(Allocation!BM274="","",Allocation!BM274)</f>
        <v/>
      </c>
      <c r="F274" t="str">
        <f>IF(Allocation!BN274="","",Allocation!BN274)</f>
        <v/>
      </c>
      <c r="G274" t="str">
        <f>IF(Allocation!BO274="","",Allocation!BO274)</f>
        <v/>
      </c>
      <c r="H274" t="str">
        <f>IF(Allocation!BP274="","",Allocation!BP274)</f>
        <v/>
      </c>
      <c r="I274" t="str">
        <f>IF(Allocation!BQ274="","",Allocation!BQ274)</f>
        <v/>
      </c>
      <c r="J274" t="str">
        <f>IF(Allocation!CC274="","",Allocation!CC274)</f>
        <v/>
      </c>
      <c r="K274" t="str">
        <f t="shared" si="76"/>
        <v/>
      </c>
      <c r="L274" t="str">
        <f t="shared" si="77"/>
        <v/>
      </c>
      <c r="M274" t="str">
        <f t="shared" si="78"/>
        <v/>
      </c>
      <c r="N274" t="str">
        <f t="shared" si="79"/>
        <v/>
      </c>
      <c r="O274" t="str">
        <f t="shared" si="80"/>
        <v/>
      </c>
      <c r="P274" t="str">
        <f t="shared" si="81"/>
        <v/>
      </c>
      <c r="Q274" t="str">
        <f t="shared" si="82"/>
        <v/>
      </c>
      <c r="R274" t="str">
        <f t="shared" si="83"/>
        <v/>
      </c>
      <c r="S274" t="str">
        <f t="shared" si="84"/>
        <v/>
      </c>
      <c r="T274" t="str">
        <f t="shared" si="85"/>
        <v/>
      </c>
      <c r="U274" t="str">
        <f t="shared" si="86"/>
        <v/>
      </c>
      <c r="V274" t="str">
        <f t="shared" si="87"/>
        <v/>
      </c>
      <c r="W274" t="str">
        <f>IF($A274="","",Allocation!CD274)</f>
        <v/>
      </c>
      <c r="X274" t="str">
        <f>IF($A274="","",Allocation!CE274)</f>
        <v/>
      </c>
      <c r="Y274" t="str">
        <f>IF($A274="","",Allocation!CF274)</f>
        <v/>
      </c>
      <c r="Z274" t="str">
        <f>IF($A274="","",Allocation!CG274)</f>
        <v/>
      </c>
      <c r="AA274" t="str">
        <f>IF($A274="","",Allocation!CH274)</f>
        <v/>
      </c>
      <c r="AB274" t="str">
        <f>IF($A274="","",Allocation!CI274)</f>
        <v/>
      </c>
      <c r="AC274" t="str">
        <f>IF($A274="","",IF(Allocation!$N$4="VOL_EFF",$G274,IF(Allocation!$N$4="VOL_CLASS",$H274,$I274)))</f>
        <v/>
      </c>
      <c r="AD274" t="str">
        <f>IF($A274="","",IF(Allocation!$N$4="VOL_EFF",$L274,IF(Allocation!$N$4="VOL_CLASS",$M274,$N274)))</f>
        <v/>
      </c>
      <c r="AE274" t="str">
        <f>IF($A274="","",IF(Allocation!$N$3="VOL_EFF",$L274,IF(Allocation!$N$3="VOL_CLASS",$M274,$N274)))</f>
        <v/>
      </c>
      <c r="AF274" t="str">
        <f>IF($A274="","",IF(Allocation!$N$3="VOL_EFF",$Q274,IF(Allocation!$N$3="VOL_CLASS",$R274,$S274)))</f>
        <v/>
      </c>
      <c r="AG274" t="str">
        <f>IF($A274="","",IF(Allocation!$N$1="VOL_EFF",$Q274,IF(Allocation!$N$1="VOL_CLASS",$R274,$S274)))</f>
        <v/>
      </c>
      <c r="AH274" t="str">
        <f>IF($A274="","",IF(Allocation!$N$1="VOL_EFF",$T274,IF(Allocation!$N$1="VOL_CLASS",$U274,$V274)))</f>
        <v/>
      </c>
      <c r="AI274" t="str">
        <f t="shared" si="88"/>
        <v/>
      </c>
      <c r="AJ274" t="str">
        <f t="shared" si="89"/>
        <v/>
      </c>
      <c r="AK274" t="str">
        <f t="shared" si="90"/>
        <v/>
      </c>
      <c r="AL274" t="str">
        <f t="shared" si="91"/>
        <v/>
      </c>
      <c r="AM274" t="str">
        <f t="shared" si="92"/>
        <v/>
      </c>
      <c r="AN274" t="str">
        <f t="shared" si="93"/>
        <v/>
      </c>
      <c r="AO274" t="str">
        <f>IF($A274="","",Allocation!CJ274)</f>
        <v/>
      </c>
      <c r="AP274" t="str">
        <f>IF($A274="","",IF(Allocation!$N$2="VOL_EFF",$Q274,IF(Allocation!$N$2="VOL_CLASS",$R274,$S274)))</f>
        <v/>
      </c>
      <c r="AQ274" t="str">
        <f>IF($A274="","",IF(Allocation!$N$2="VOL_EFF",$T274,IF(Allocation!$N$2="VOL_CLASS",$U274,$V274)))</f>
        <v/>
      </c>
      <c r="AR274" t="str">
        <f t="shared" si="94"/>
        <v/>
      </c>
      <c r="AS274" t="str">
        <f>IF($A274="","",$A274&amp;"|"&amp;Allocation!BG274)</f>
        <v/>
      </c>
    </row>
    <row r="275" spans="1:45" x14ac:dyDescent="0.45">
      <c r="A275" t="str">
        <f>IF(Allocation!BI275="","",Allocation!BI275)</f>
        <v/>
      </c>
      <c r="B275" t="str">
        <f>IF(Allocation!BJ275="","",Allocation!BJ275)</f>
        <v/>
      </c>
      <c r="C275" t="str">
        <f>IF(Allocation!BK275="","",Allocation!BK275)</f>
        <v/>
      </c>
      <c r="D275" t="str">
        <f>IF(Allocation!BL275="","",Allocation!BL275)</f>
        <v/>
      </c>
      <c r="E275" t="str">
        <f>IF(Allocation!BM275="","",Allocation!BM275)</f>
        <v/>
      </c>
      <c r="F275" t="str">
        <f>IF(Allocation!BN275="","",Allocation!BN275)</f>
        <v/>
      </c>
      <c r="G275" t="str">
        <f>IF(Allocation!BO275="","",Allocation!BO275)</f>
        <v/>
      </c>
      <c r="H275" t="str">
        <f>IF(Allocation!BP275="","",Allocation!BP275)</f>
        <v/>
      </c>
      <c r="I275" t="str">
        <f>IF(Allocation!BQ275="","",Allocation!BQ275)</f>
        <v/>
      </c>
      <c r="J275" t="str">
        <f>IF(Allocation!CC275="","",Allocation!CC275)</f>
        <v/>
      </c>
      <c r="K275" t="str">
        <f t="shared" si="76"/>
        <v/>
      </c>
      <c r="L275" t="str">
        <f t="shared" si="77"/>
        <v/>
      </c>
      <c r="M275" t="str">
        <f t="shared" si="78"/>
        <v/>
      </c>
      <c r="N275" t="str">
        <f t="shared" si="79"/>
        <v/>
      </c>
      <c r="O275" t="str">
        <f t="shared" si="80"/>
        <v/>
      </c>
      <c r="P275" t="str">
        <f t="shared" si="81"/>
        <v/>
      </c>
      <c r="Q275" t="str">
        <f t="shared" si="82"/>
        <v/>
      </c>
      <c r="R275" t="str">
        <f t="shared" si="83"/>
        <v/>
      </c>
      <c r="S275" t="str">
        <f t="shared" si="84"/>
        <v/>
      </c>
      <c r="T275" t="str">
        <f t="shared" si="85"/>
        <v/>
      </c>
      <c r="U275" t="str">
        <f t="shared" si="86"/>
        <v/>
      </c>
      <c r="V275" t="str">
        <f t="shared" si="87"/>
        <v/>
      </c>
      <c r="W275" t="str">
        <f>IF($A275="","",Allocation!CD275)</f>
        <v/>
      </c>
      <c r="X275" t="str">
        <f>IF($A275="","",Allocation!CE275)</f>
        <v/>
      </c>
      <c r="Y275" t="str">
        <f>IF($A275="","",Allocation!CF275)</f>
        <v/>
      </c>
      <c r="Z275" t="str">
        <f>IF($A275="","",Allocation!CG275)</f>
        <v/>
      </c>
      <c r="AA275" t="str">
        <f>IF($A275="","",Allocation!CH275)</f>
        <v/>
      </c>
      <c r="AB275" t="str">
        <f>IF($A275="","",Allocation!CI275)</f>
        <v/>
      </c>
      <c r="AC275" t="str">
        <f>IF($A275="","",IF(Allocation!$N$4="VOL_EFF",$G275,IF(Allocation!$N$4="VOL_CLASS",$H275,$I275)))</f>
        <v/>
      </c>
      <c r="AD275" t="str">
        <f>IF($A275="","",IF(Allocation!$N$4="VOL_EFF",$L275,IF(Allocation!$N$4="VOL_CLASS",$M275,$N275)))</f>
        <v/>
      </c>
      <c r="AE275" t="str">
        <f>IF($A275="","",IF(Allocation!$N$3="VOL_EFF",$L275,IF(Allocation!$N$3="VOL_CLASS",$M275,$N275)))</f>
        <v/>
      </c>
      <c r="AF275" t="str">
        <f>IF($A275="","",IF(Allocation!$N$3="VOL_EFF",$Q275,IF(Allocation!$N$3="VOL_CLASS",$R275,$S275)))</f>
        <v/>
      </c>
      <c r="AG275" t="str">
        <f>IF($A275="","",IF(Allocation!$N$1="VOL_EFF",$Q275,IF(Allocation!$N$1="VOL_CLASS",$R275,$S275)))</f>
        <v/>
      </c>
      <c r="AH275" t="str">
        <f>IF($A275="","",IF(Allocation!$N$1="VOL_EFF",$T275,IF(Allocation!$N$1="VOL_CLASS",$U275,$V275)))</f>
        <v/>
      </c>
      <c r="AI275" t="str">
        <f t="shared" si="88"/>
        <v/>
      </c>
      <c r="AJ275" t="str">
        <f t="shared" si="89"/>
        <v/>
      </c>
      <c r="AK275" t="str">
        <f t="shared" si="90"/>
        <v/>
      </c>
      <c r="AL275" t="str">
        <f t="shared" si="91"/>
        <v/>
      </c>
      <c r="AM275" t="str">
        <f t="shared" si="92"/>
        <v/>
      </c>
      <c r="AN275" t="str">
        <f t="shared" si="93"/>
        <v/>
      </c>
      <c r="AO275" t="str">
        <f>IF($A275="","",Allocation!CJ275)</f>
        <v/>
      </c>
      <c r="AP275" t="str">
        <f>IF($A275="","",IF(Allocation!$N$2="VOL_EFF",$Q275,IF(Allocation!$N$2="VOL_CLASS",$R275,$S275)))</f>
        <v/>
      </c>
      <c r="AQ275" t="str">
        <f>IF($A275="","",IF(Allocation!$N$2="VOL_EFF",$T275,IF(Allocation!$N$2="VOL_CLASS",$U275,$V275)))</f>
        <v/>
      </c>
      <c r="AR275" t="str">
        <f t="shared" si="94"/>
        <v/>
      </c>
      <c r="AS275" t="str">
        <f>IF($A275="","",$A275&amp;"|"&amp;Allocation!BG275)</f>
        <v/>
      </c>
    </row>
    <row r="276" spans="1:45" x14ac:dyDescent="0.45">
      <c r="A276" t="str">
        <f>IF(Allocation!BI276="","",Allocation!BI276)</f>
        <v/>
      </c>
      <c r="B276" t="str">
        <f>IF(Allocation!BJ276="","",Allocation!BJ276)</f>
        <v/>
      </c>
      <c r="C276" t="str">
        <f>IF(Allocation!BK276="","",Allocation!BK276)</f>
        <v/>
      </c>
      <c r="D276" t="str">
        <f>IF(Allocation!BL276="","",Allocation!BL276)</f>
        <v/>
      </c>
      <c r="E276" t="str">
        <f>IF(Allocation!BM276="","",Allocation!BM276)</f>
        <v/>
      </c>
      <c r="F276" t="str">
        <f>IF(Allocation!BN276="","",Allocation!BN276)</f>
        <v/>
      </c>
      <c r="G276" t="str">
        <f>IF(Allocation!BO276="","",Allocation!BO276)</f>
        <v/>
      </c>
      <c r="H276" t="str">
        <f>IF(Allocation!BP276="","",Allocation!BP276)</f>
        <v/>
      </c>
      <c r="I276" t="str">
        <f>IF(Allocation!BQ276="","",Allocation!BQ276)</f>
        <v/>
      </c>
      <c r="J276" t="str">
        <f>IF(Allocation!CC276="","",Allocation!CC276)</f>
        <v/>
      </c>
      <c r="K276" t="str">
        <f t="shared" si="76"/>
        <v/>
      </c>
      <c r="L276" t="str">
        <f t="shared" si="77"/>
        <v/>
      </c>
      <c r="M276" t="str">
        <f t="shared" si="78"/>
        <v/>
      </c>
      <c r="N276" t="str">
        <f t="shared" si="79"/>
        <v/>
      </c>
      <c r="O276" t="str">
        <f t="shared" si="80"/>
        <v/>
      </c>
      <c r="P276" t="str">
        <f t="shared" si="81"/>
        <v/>
      </c>
      <c r="Q276" t="str">
        <f t="shared" si="82"/>
        <v/>
      </c>
      <c r="R276" t="str">
        <f t="shared" si="83"/>
        <v/>
      </c>
      <c r="S276" t="str">
        <f t="shared" si="84"/>
        <v/>
      </c>
      <c r="T276" t="str">
        <f t="shared" si="85"/>
        <v/>
      </c>
      <c r="U276" t="str">
        <f t="shared" si="86"/>
        <v/>
      </c>
      <c r="V276" t="str">
        <f t="shared" si="87"/>
        <v/>
      </c>
      <c r="W276" t="str">
        <f>IF($A276="","",Allocation!CD276)</f>
        <v/>
      </c>
      <c r="X276" t="str">
        <f>IF($A276="","",Allocation!CE276)</f>
        <v/>
      </c>
      <c r="Y276" t="str">
        <f>IF($A276="","",Allocation!CF276)</f>
        <v/>
      </c>
      <c r="Z276" t="str">
        <f>IF($A276="","",Allocation!CG276)</f>
        <v/>
      </c>
      <c r="AA276" t="str">
        <f>IF($A276="","",Allocation!CH276)</f>
        <v/>
      </c>
      <c r="AB276" t="str">
        <f>IF($A276="","",Allocation!CI276)</f>
        <v/>
      </c>
      <c r="AC276" t="str">
        <f>IF($A276="","",IF(Allocation!$N$4="VOL_EFF",$G276,IF(Allocation!$N$4="VOL_CLASS",$H276,$I276)))</f>
        <v/>
      </c>
      <c r="AD276" t="str">
        <f>IF($A276="","",IF(Allocation!$N$4="VOL_EFF",$L276,IF(Allocation!$N$4="VOL_CLASS",$M276,$N276)))</f>
        <v/>
      </c>
      <c r="AE276" t="str">
        <f>IF($A276="","",IF(Allocation!$N$3="VOL_EFF",$L276,IF(Allocation!$N$3="VOL_CLASS",$M276,$N276)))</f>
        <v/>
      </c>
      <c r="AF276" t="str">
        <f>IF($A276="","",IF(Allocation!$N$3="VOL_EFF",$Q276,IF(Allocation!$N$3="VOL_CLASS",$R276,$S276)))</f>
        <v/>
      </c>
      <c r="AG276" t="str">
        <f>IF($A276="","",IF(Allocation!$N$1="VOL_EFF",$Q276,IF(Allocation!$N$1="VOL_CLASS",$R276,$S276)))</f>
        <v/>
      </c>
      <c r="AH276" t="str">
        <f>IF($A276="","",IF(Allocation!$N$1="VOL_EFF",$T276,IF(Allocation!$N$1="VOL_CLASS",$U276,$V276)))</f>
        <v/>
      </c>
      <c r="AI276" t="str">
        <f t="shared" si="88"/>
        <v/>
      </c>
      <c r="AJ276" t="str">
        <f t="shared" si="89"/>
        <v/>
      </c>
      <c r="AK276" t="str">
        <f t="shared" si="90"/>
        <v/>
      </c>
      <c r="AL276" t="str">
        <f t="shared" si="91"/>
        <v/>
      </c>
      <c r="AM276" t="str">
        <f t="shared" si="92"/>
        <v/>
      </c>
      <c r="AN276" t="str">
        <f t="shared" si="93"/>
        <v/>
      </c>
      <c r="AO276" t="str">
        <f>IF($A276="","",Allocation!CJ276)</f>
        <v/>
      </c>
      <c r="AP276" t="str">
        <f>IF($A276="","",IF(Allocation!$N$2="VOL_EFF",$Q276,IF(Allocation!$N$2="VOL_CLASS",$R276,$S276)))</f>
        <v/>
      </c>
      <c r="AQ276" t="str">
        <f>IF($A276="","",IF(Allocation!$N$2="VOL_EFF",$T276,IF(Allocation!$N$2="VOL_CLASS",$U276,$V276)))</f>
        <v/>
      </c>
      <c r="AR276" t="str">
        <f t="shared" si="94"/>
        <v/>
      </c>
      <c r="AS276" t="str">
        <f>IF($A276="","",$A276&amp;"|"&amp;Allocation!BG276)</f>
        <v/>
      </c>
    </row>
    <row r="277" spans="1:45" x14ac:dyDescent="0.45">
      <c r="A277" t="str">
        <f>IF(Allocation!BI277="","",Allocation!BI277)</f>
        <v/>
      </c>
      <c r="B277" t="str">
        <f>IF(Allocation!BJ277="","",Allocation!BJ277)</f>
        <v/>
      </c>
      <c r="C277" t="str">
        <f>IF(Allocation!BK277="","",Allocation!BK277)</f>
        <v/>
      </c>
      <c r="D277" t="str">
        <f>IF(Allocation!BL277="","",Allocation!BL277)</f>
        <v/>
      </c>
      <c r="E277" t="str">
        <f>IF(Allocation!BM277="","",Allocation!BM277)</f>
        <v/>
      </c>
      <c r="F277" t="str">
        <f>IF(Allocation!BN277="","",Allocation!BN277)</f>
        <v/>
      </c>
      <c r="G277" t="str">
        <f>IF(Allocation!BO277="","",Allocation!BO277)</f>
        <v/>
      </c>
      <c r="H277" t="str">
        <f>IF(Allocation!BP277="","",Allocation!BP277)</f>
        <v/>
      </c>
      <c r="I277" t="str">
        <f>IF(Allocation!BQ277="","",Allocation!BQ277)</f>
        <v/>
      </c>
      <c r="J277" t="str">
        <f>IF(Allocation!CC277="","",Allocation!CC277)</f>
        <v/>
      </c>
      <c r="K277" t="str">
        <f t="shared" si="76"/>
        <v/>
      </c>
      <c r="L277" t="str">
        <f t="shared" si="77"/>
        <v/>
      </c>
      <c r="M277" t="str">
        <f t="shared" si="78"/>
        <v/>
      </c>
      <c r="N277" t="str">
        <f t="shared" si="79"/>
        <v/>
      </c>
      <c r="O277" t="str">
        <f t="shared" si="80"/>
        <v/>
      </c>
      <c r="P277" t="str">
        <f t="shared" si="81"/>
        <v/>
      </c>
      <c r="Q277" t="str">
        <f t="shared" si="82"/>
        <v/>
      </c>
      <c r="R277" t="str">
        <f t="shared" si="83"/>
        <v/>
      </c>
      <c r="S277" t="str">
        <f t="shared" si="84"/>
        <v/>
      </c>
      <c r="T277" t="str">
        <f t="shared" si="85"/>
        <v/>
      </c>
      <c r="U277" t="str">
        <f t="shared" si="86"/>
        <v/>
      </c>
      <c r="V277" t="str">
        <f t="shared" si="87"/>
        <v/>
      </c>
      <c r="W277" t="str">
        <f>IF($A277="","",Allocation!CD277)</f>
        <v/>
      </c>
      <c r="X277" t="str">
        <f>IF($A277="","",Allocation!CE277)</f>
        <v/>
      </c>
      <c r="Y277" t="str">
        <f>IF($A277="","",Allocation!CF277)</f>
        <v/>
      </c>
      <c r="Z277" t="str">
        <f>IF($A277="","",Allocation!CG277)</f>
        <v/>
      </c>
      <c r="AA277" t="str">
        <f>IF($A277="","",Allocation!CH277)</f>
        <v/>
      </c>
      <c r="AB277" t="str">
        <f>IF($A277="","",Allocation!CI277)</f>
        <v/>
      </c>
      <c r="AC277" t="str">
        <f>IF($A277="","",IF(Allocation!$N$4="VOL_EFF",$G277,IF(Allocation!$N$4="VOL_CLASS",$H277,$I277)))</f>
        <v/>
      </c>
      <c r="AD277" t="str">
        <f>IF($A277="","",IF(Allocation!$N$4="VOL_EFF",$L277,IF(Allocation!$N$4="VOL_CLASS",$M277,$N277)))</f>
        <v/>
      </c>
      <c r="AE277" t="str">
        <f>IF($A277="","",IF(Allocation!$N$3="VOL_EFF",$L277,IF(Allocation!$N$3="VOL_CLASS",$M277,$N277)))</f>
        <v/>
      </c>
      <c r="AF277" t="str">
        <f>IF($A277="","",IF(Allocation!$N$3="VOL_EFF",$Q277,IF(Allocation!$N$3="VOL_CLASS",$R277,$S277)))</f>
        <v/>
      </c>
      <c r="AG277" t="str">
        <f>IF($A277="","",IF(Allocation!$N$1="VOL_EFF",$Q277,IF(Allocation!$N$1="VOL_CLASS",$R277,$S277)))</f>
        <v/>
      </c>
      <c r="AH277" t="str">
        <f>IF($A277="","",IF(Allocation!$N$1="VOL_EFF",$T277,IF(Allocation!$N$1="VOL_CLASS",$U277,$V277)))</f>
        <v/>
      </c>
      <c r="AI277" t="str">
        <f t="shared" si="88"/>
        <v/>
      </c>
      <c r="AJ277" t="str">
        <f t="shared" si="89"/>
        <v/>
      </c>
      <c r="AK277" t="str">
        <f t="shared" si="90"/>
        <v/>
      </c>
      <c r="AL277" t="str">
        <f t="shared" si="91"/>
        <v/>
      </c>
      <c r="AM277" t="str">
        <f t="shared" si="92"/>
        <v/>
      </c>
      <c r="AN277" t="str">
        <f t="shared" si="93"/>
        <v/>
      </c>
      <c r="AO277" t="str">
        <f>IF($A277="","",Allocation!CJ277)</f>
        <v/>
      </c>
      <c r="AP277" t="str">
        <f>IF($A277="","",IF(Allocation!$N$2="VOL_EFF",$Q277,IF(Allocation!$N$2="VOL_CLASS",$R277,$S277)))</f>
        <v/>
      </c>
      <c r="AQ277" t="str">
        <f>IF($A277="","",IF(Allocation!$N$2="VOL_EFF",$T277,IF(Allocation!$N$2="VOL_CLASS",$U277,$V277)))</f>
        <v/>
      </c>
      <c r="AR277" t="str">
        <f t="shared" si="94"/>
        <v/>
      </c>
      <c r="AS277" t="str">
        <f>IF($A277="","",$A277&amp;"|"&amp;Allocation!BG277)</f>
        <v/>
      </c>
    </row>
    <row r="278" spans="1:45" x14ac:dyDescent="0.45">
      <c r="A278" t="str">
        <f>IF(Allocation!BI278="","",Allocation!BI278)</f>
        <v/>
      </c>
      <c r="B278" t="str">
        <f>IF(Allocation!BJ278="","",Allocation!BJ278)</f>
        <v/>
      </c>
      <c r="C278" t="str">
        <f>IF(Allocation!BK278="","",Allocation!BK278)</f>
        <v/>
      </c>
      <c r="D278" t="str">
        <f>IF(Allocation!BL278="","",Allocation!BL278)</f>
        <v/>
      </c>
      <c r="E278" t="str">
        <f>IF(Allocation!BM278="","",Allocation!BM278)</f>
        <v/>
      </c>
      <c r="F278" t="str">
        <f>IF(Allocation!BN278="","",Allocation!BN278)</f>
        <v/>
      </c>
      <c r="G278" t="str">
        <f>IF(Allocation!BO278="","",Allocation!BO278)</f>
        <v/>
      </c>
      <c r="H278" t="str">
        <f>IF(Allocation!BP278="","",Allocation!BP278)</f>
        <v/>
      </c>
      <c r="I278" t="str">
        <f>IF(Allocation!BQ278="","",Allocation!BQ278)</f>
        <v/>
      </c>
      <c r="J278" t="str">
        <f>IF(Allocation!CC278="","",Allocation!CC278)</f>
        <v/>
      </c>
      <c r="K278" t="str">
        <f t="shared" si="76"/>
        <v/>
      </c>
      <c r="L278" t="str">
        <f t="shared" si="77"/>
        <v/>
      </c>
      <c r="M278" t="str">
        <f t="shared" si="78"/>
        <v/>
      </c>
      <c r="N278" t="str">
        <f t="shared" si="79"/>
        <v/>
      </c>
      <c r="O278" t="str">
        <f t="shared" si="80"/>
        <v/>
      </c>
      <c r="P278" t="str">
        <f t="shared" si="81"/>
        <v/>
      </c>
      <c r="Q278" t="str">
        <f t="shared" si="82"/>
        <v/>
      </c>
      <c r="R278" t="str">
        <f t="shared" si="83"/>
        <v/>
      </c>
      <c r="S278" t="str">
        <f t="shared" si="84"/>
        <v/>
      </c>
      <c r="T278" t="str">
        <f t="shared" si="85"/>
        <v/>
      </c>
      <c r="U278" t="str">
        <f t="shared" si="86"/>
        <v/>
      </c>
      <c r="V278" t="str">
        <f t="shared" si="87"/>
        <v/>
      </c>
      <c r="W278" t="str">
        <f>IF($A278="","",Allocation!CD278)</f>
        <v/>
      </c>
      <c r="X278" t="str">
        <f>IF($A278="","",Allocation!CE278)</f>
        <v/>
      </c>
      <c r="Y278" t="str">
        <f>IF($A278="","",Allocation!CF278)</f>
        <v/>
      </c>
      <c r="Z278" t="str">
        <f>IF($A278="","",Allocation!CG278)</f>
        <v/>
      </c>
      <c r="AA278" t="str">
        <f>IF($A278="","",Allocation!CH278)</f>
        <v/>
      </c>
      <c r="AB278" t="str">
        <f>IF($A278="","",Allocation!CI278)</f>
        <v/>
      </c>
      <c r="AC278" t="str">
        <f>IF($A278="","",IF(Allocation!$N$4="VOL_EFF",$G278,IF(Allocation!$N$4="VOL_CLASS",$H278,$I278)))</f>
        <v/>
      </c>
      <c r="AD278" t="str">
        <f>IF($A278="","",IF(Allocation!$N$4="VOL_EFF",$L278,IF(Allocation!$N$4="VOL_CLASS",$M278,$N278)))</f>
        <v/>
      </c>
      <c r="AE278" t="str">
        <f>IF($A278="","",IF(Allocation!$N$3="VOL_EFF",$L278,IF(Allocation!$N$3="VOL_CLASS",$M278,$N278)))</f>
        <v/>
      </c>
      <c r="AF278" t="str">
        <f>IF($A278="","",IF(Allocation!$N$3="VOL_EFF",$Q278,IF(Allocation!$N$3="VOL_CLASS",$R278,$S278)))</f>
        <v/>
      </c>
      <c r="AG278" t="str">
        <f>IF($A278="","",IF(Allocation!$N$1="VOL_EFF",$Q278,IF(Allocation!$N$1="VOL_CLASS",$R278,$S278)))</f>
        <v/>
      </c>
      <c r="AH278" t="str">
        <f>IF($A278="","",IF(Allocation!$N$1="VOL_EFF",$T278,IF(Allocation!$N$1="VOL_CLASS",$U278,$V278)))</f>
        <v/>
      </c>
      <c r="AI278" t="str">
        <f t="shared" si="88"/>
        <v/>
      </c>
      <c r="AJ278" t="str">
        <f t="shared" si="89"/>
        <v/>
      </c>
      <c r="AK278" t="str">
        <f t="shared" si="90"/>
        <v/>
      </c>
      <c r="AL278" t="str">
        <f t="shared" si="91"/>
        <v/>
      </c>
      <c r="AM278" t="str">
        <f t="shared" si="92"/>
        <v/>
      </c>
      <c r="AN278" t="str">
        <f t="shared" si="93"/>
        <v/>
      </c>
      <c r="AO278" t="str">
        <f>IF($A278="","",Allocation!CJ278)</f>
        <v/>
      </c>
      <c r="AP278" t="str">
        <f>IF($A278="","",IF(Allocation!$N$2="VOL_EFF",$Q278,IF(Allocation!$N$2="VOL_CLASS",$R278,$S278)))</f>
        <v/>
      </c>
      <c r="AQ278" t="str">
        <f>IF($A278="","",IF(Allocation!$N$2="VOL_EFF",$T278,IF(Allocation!$N$2="VOL_CLASS",$U278,$V278)))</f>
        <v/>
      </c>
      <c r="AR278" t="str">
        <f t="shared" si="94"/>
        <v/>
      </c>
      <c r="AS278" t="str">
        <f>IF($A278="","",$A278&amp;"|"&amp;Allocation!BG278)</f>
        <v/>
      </c>
    </row>
    <row r="279" spans="1:45" x14ac:dyDescent="0.45">
      <c r="A279" t="str">
        <f>IF(Allocation!BI279="","",Allocation!BI279)</f>
        <v/>
      </c>
      <c r="B279" t="str">
        <f>IF(Allocation!BJ279="","",Allocation!BJ279)</f>
        <v/>
      </c>
      <c r="C279" t="str">
        <f>IF(Allocation!BK279="","",Allocation!BK279)</f>
        <v/>
      </c>
      <c r="D279" t="str">
        <f>IF(Allocation!BL279="","",Allocation!BL279)</f>
        <v/>
      </c>
      <c r="E279" t="str">
        <f>IF(Allocation!BM279="","",Allocation!BM279)</f>
        <v/>
      </c>
      <c r="F279" t="str">
        <f>IF(Allocation!BN279="","",Allocation!BN279)</f>
        <v/>
      </c>
      <c r="G279" t="str">
        <f>IF(Allocation!BO279="","",Allocation!BO279)</f>
        <v/>
      </c>
      <c r="H279" t="str">
        <f>IF(Allocation!BP279="","",Allocation!BP279)</f>
        <v/>
      </c>
      <c r="I279" t="str">
        <f>IF(Allocation!BQ279="","",Allocation!BQ279)</f>
        <v/>
      </c>
      <c r="J279" t="str">
        <f>IF(Allocation!CC279="","",Allocation!CC279)</f>
        <v/>
      </c>
      <c r="K279" t="str">
        <f t="shared" si="76"/>
        <v/>
      </c>
      <c r="L279" t="str">
        <f t="shared" si="77"/>
        <v/>
      </c>
      <c r="M279" t="str">
        <f t="shared" si="78"/>
        <v/>
      </c>
      <c r="N279" t="str">
        <f t="shared" si="79"/>
        <v/>
      </c>
      <c r="O279" t="str">
        <f t="shared" si="80"/>
        <v/>
      </c>
      <c r="P279" t="str">
        <f t="shared" si="81"/>
        <v/>
      </c>
      <c r="Q279" t="str">
        <f t="shared" si="82"/>
        <v/>
      </c>
      <c r="R279" t="str">
        <f t="shared" si="83"/>
        <v/>
      </c>
      <c r="S279" t="str">
        <f t="shared" si="84"/>
        <v/>
      </c>
      <c r="T279" t="str">
        <f t="shared" si="85"/>
        <v/>
      </c>
      <c r="U279" t="str">
        <f t="shared" si="86"/>
        <v/>
      </c>
      <c r="V279" t="str">
        <f t="shared" si="87"/>
        <v/>
      </c>
      <c r="W279" t="str">
        <f>IF($A279="","",Allocation!CD279)</f>
        <v/>
      </c>
      <c r="X279" t="str">
        <f>IF($A279="","",Allocation!CE279)</f>
        <v/>
      </c>
      <c r="Y279" t="str">
        <f>IF($A279="","",Allocation!CF279)</f>
        <v/>
      </c>
      <c r="Z279" t="str">
        <f>IF($A279="","",Allocation!CG279)</f>
        <v/>
      </c>
      <c r="AA279" t="str">
        <f>IF($A279="","",Allocation!CH279)</f>
        <v/>
      </c>
      <c r="AB279" t="str">
        <f>IF($A279="","",Allocation!CI279)</f>
        <v/>
      </c>
      <c r="AC279" t="str">
        <f>IF($A279="","",IF(Allocation!$N$4="VOL_EFF",$G279,IF(Allocation!$N$4="VOL_CLASS",$H279,$I279)))</f>
        <v/>
      </c>
      <c r="AD279" t="str">
        <f>IF($A279="","",IF(Allocation!$N$4="VOL_EFF",$L279,IF(Allocation!$N$4="VOL_CLASS",$M279,$N279)))</f>
        <v/>
      </c>
      <c r="AE279" t="str">
        <f>IF($A279="","",IF(Allocation!$N$3="VOL_EFF",$L279,IF(Allocation!$N$3="VOL_CLASS",$M279,$N279)))</f>
        <v/>
      </c>
      <c r="AF279" t="str">
        <f>IF($A279="","",IF(Allocation!$N$3="VOL_EFF",$Q279,IF(Allocation!$N$3="VOL_CLASS",$R279,$S279)))</f>
        <v/>
      </c>
      <c r="AG279" t="str">
        <f>IF($A279="","",IF(Allocation!$N$1="VOL_EFF",$Q279,IF(Allocation!$N$1="VOL_CLASS",$R279,$S279)))</f>
        <v/>
      </c>
      <c r="AH279" t="str">
        <f>IF($A279="","",IF(Allocation!$N$1="VOL_EFF",$T279,IF(Allocation!$N$1="VOL_CLASS",$U279,$V279)))</f>
        <v/>
      </c>
      <c r="AI279" t="str">
        <f t="shared" si="88"/>
        <v/>
      </c>
      <c r="AJ279" t="str">
        <f t="shared" si="89"/>
        <v/>
      </c>
      <c r="AK279" t="str">
        <f t="shared" si="90"/>
        <v/>
      </c>
      <c r="AL279" t="str">
        <f t="shared" si="91"/>
        <v/>
      </c>
      <c r="AM279" t="str">
        <f t="shared" si="92"/>
        <v/>
      </c>
      <c r="AN279" t="str">
        <f t="shared" si="93"/>
        <v/>
      </c>
      <c r="AO279" t="str">
        <f>IF($A279="","",Allocation!CJ279)</f>
        <v/>
      </c>
      <c r="AP279" t="str">
        <f>IF($A279="","",IF(Allocation!$N$2="VOL_EFF",$Q279,IF(Allocation!$N$2="VOL_CLASS",$R279,$S279)))</f>
        <v/>
      </c>
      <c r="AQ279" t="str">
        <f>IF($A279="","",IF(Allocation!$N$2="VOL_EFF",$T279,IF(Allocation!$N$2="VOL_CLASS",$U279,$V279)))</f>
        <v/>
      </c>
      <c r="AR279" t="str">
        <f t="shared" si="94"/>
        <v/>
      </c>
      <c r="AS279" t="str">
        <f>IF($A279="","",$A279&amp;"|"&amp;Allocation!BG279)</f>
        <v/>
      </c>
    </row>
    <row r="280" spans="1:45" x14ac:dyDescent="0.45">
      <c r="A280" t="str">
        <f>IF(Allocation!BI280="","",Allocation!BI280)</f>
        <v/>
      </c>
      <c r="B280" t="str">
        <f>IF(Allocation!BJ280="","",Allocation!BJ280)</f>
        <v/>
      </c>
      <c r="C280" t="str">
        <f>IF(Allocation!BK280="","",Allocation!BK280)</f>
        <v/>
      </c>
      <c r="D280" t="str">
        <f>IF(Allocation!BL280="","",Allocation!BL280)</f>
        <v/>
      </c>
      <c r="E280" t="str">
        <f>IF(Allocation!BM280="","",Allocation!BM280)</f>
        <v/>
      </c>
      <c r="F280" t="str">
        <f>IF(Allocation!BN280="","",Allocation!BN280)</f>
        <v/>
      </c>
      <c r="G280" t="str">
        <f>IF(Allocation!BO280="","",Allocation!BO280)</f>
        <v/>
      </c>
      <c r="H280" t="str">
        <f>IF(Allocation!BP280="","",Allocation!BP280)</f>
        <v/>
      </c>
      <c r="I280" t="str">
        <f>IF(Allocation!BQ280="","",Allocation!BQ280)</f>
        <v/>
      </c>
      <c r="J280" t="str">
        <f>IF(Allocation!CC280="","",Allocation!CC280)</f>
        <v/>
      </c>
      <c r="K280" t="str">
        <f t="shared" si="76"/>
        <v/>
      </c>
      <c r="L280" t="str">
        <f t="shared" si="77"/>
        <v/>
      </c>
      <c r="M280" t="str">
        <f t="shared" si="78"/>
        <v/>
      </c>
      <c r="N280" t="str">
        <f t="shared" si="79"/>
        <v/>
      </c>
      <c r="O280" t="str">
        <f t="shared" si="80"/>
        <v/>
      </c>
      <c r="P280" t="str">
        <f t="shared" si="81"/>
        <v/>
      </c>
      <c r="Q280" t="str">
        <f t="shared" si="82"/>
        <v/>
      </c>
      <c r="R280" t="str">
        <f t="shared" si="83"/>
        <v/>
      </c>
      <c r="S280" t="str">
        <f t="shared" si="84"/>
        <v/>
      </c>
      <c r="T280" t="str">
        <f t="shared" si="85"/>
        <v/>
      </c>
      <c r="U280" t="str">
        <f t="shared" si="86"/>
        <v/>
      </c>
      <c r="V280" t="str">
        <f t="shared" si="87"/>
        <v/>
      </c>
      <c r="W280" t="str">
        <f>IF($A280="","",Allocation!CD280)</f>
        <v/>
      </c>
      <c r="X280" t="str">
        <f>IF($A280="","",Allocation!CE280)</f>
        <v/>
      </c>
      <c r="Y280" t="str">
        <f>IF($A280="","",Allocation!CF280)</f>
        <v/>
      </c>
      <c r="Z280" t="str">
        <f>IF($A280="","",Allocation!CG280)</f>
        <v/>
      </c>
      <c r="AA280" t="str">
        <f>IF($A280="","",Allocation!CH280)</f>
        <v/>
      </c>
      <c r="AB280" t="str">
        <f>IF($A280="","",Allocation!CI280)</f>
        <v/>
      </c>
      <c r="AC280" t="str">
        <f>IF($A280="","",IF(Allocation!$N$4="VOL_EFF",$G280,IF(Allocation!$N$4="VOL_CLASS",$H280,$I280)))</f>
        <v/>
      </c>
      <c r="AD280" t="str">
        <f>IF($A280="","",IF(Allocation!$N$4="VOL_EFF",$L280,IF(Allocation!$N$4="VOL_CLASS",$M280,$N280)))</f>
        <v/>
      </c>
      <c r="AE280" t="str">
        <f>IF($A280="","",IF(Allocation!$N$3="VOL_EFF",$L280,IF(Allocation!$N$3="VOL_CLASS",$M280,$N280)))</f>
        <v/>
      </c>
      <c r="AF280" t="str">
        <f>IF($A280="","",IF(Allocation!$N$3="VOL_EFF",$Q280,IF(Allocation!$N$3="VOL_CLASS",$R280,$S280)))</f>
        <v/>
      </c>
      <c r="AG280" t="str">
        <f>IF($A280="","",IF(Allocation!$N$1="VOL_EFF",$Q280,IF(Allocation!$N$1="VOL_CLASS",$R280,$S280)))</f>
        <v/>
      </c>
      <c r="AH280" t="str">
        <f>IF($A280="","",IF(Allocation!$N$1="VOL_EFF",$T280,IF(Allocation!$N$1="VOL_CLASS",$U280,$V280)))</f>
        <v/>
      </c>
      <c r="AI280" t="str">
        <f t="shared" si="88"/>
        <v/>
      </c>
      <c r="AJ280" t="str">
        <f t="shared" si="89"/>
        <v/>
      </c>
      <c r="AK280" t="str">
        <f t="shared" si="90"/>
        <v/>
      </c>
      <c r="AL280" t="str">
        <f t="shared" si="91"/>
        <v/>
      </c>
      <c r="AM280" t="str">
        <f t="shared" si="92"/>
        <v/>
      </c>
      <c r="AN280" t="str">
        <f t="shared" si="93"/>
        <v/>
      </c>
      <c r="AO280" t="str">
        <f>IF($A280="","",Allocation!CJ280)</f>
        <v/>
      </c>
      <c r="AP280" t="str">
        <f>IF($A280="","",IF(Allocation!$N$2="VOL_EFF",$Q280,IF(Allocation!$N$2="VOL_CLASS",$R280,$S280)))</f>
        <v/>
      </c>
      <c r="AQ280" t="str">
        <f>IF($A280="","",IF(Allocation!$N$2="VOL_EFF",$T280,IF(Allocation!$N$2="VOL_CLASS",$U280,$V280)))</f>
        <v/>
      </c>
      <c r="AR280" t="str">
        <f t="shared" si="94"/>
        <v/>
      </c>
      <c r="AS280" t="str">
        <f>IF($A280="","",$A280&amp;"|"&amp;Allocation!BG280)</f>
        <v/>
      </c>
    </row>
    <row r="281" spans="1:45" x14ac:dyDescent="0.45">
      <c r="A281" t="str">
        <f>IF(Allocation!BI281="","",Allocation!BI281)</f>
        <v/>
      </c>
      <c r="B281" t="str">
        <f>IF(Allocation!BJ281="","",Allocation!BJ281)</f>
        <v/>
      </c>
      <c r="C281" t="str">
        <f>IF(Allocation!BK281="","",Allocation!BK281)</f>
        <v/>
      </c>
      <c r="D281" t="str">
        <f>IF(Allocation!BL281="","",Allocation!BL281)</f>
        <v/>
      </c>
      <c r="E281" t="str">
        <f>IF(Allocation!BM281="","",Allocation!BM281)</f>
        <v/>
      </c>
      <c r="F281" t="str">
        <f>IF(Allocation!BN281="","",Allocation!BN281)</f>
        <v/>
      </c>
      <c r="G281" t="str">
        <f>IF(Allocation!BO281="","",Allocation!BO281)</f>
        <v/>
      </c>
      <c r="H281" t="str">
        <f>IF(Allocation!BP281="","",Allocation!BP281)</f>
        <v/>
      </c>
      <c r="I281" t="str">
        <f>IF(Allocation!BQ281="","",Allocation!BQ281)</f>
        <v/>
      </c>
      <c r="J281" t="str">
        <f>IF(Allocation!CC281="","",Allocation!CC281)</f>
        <v/>
      </c>
      <c r="K281" t="str">
        <f t="shared" si="76"/>
        <v/>
      </c>
      <c r="L281" t="str">
        <f t="shared" si="77"/>
        <v/>
      </c>
      <c r="M281" t="str">
        <f t="shared" si="78"/>
        <v/>
      </c>
      <c r="N281" t="str">
        <f t="shared" si="79"/>
        <v/>
      </c>
      <c r="O281" t="str">
        <f t="shared" si="80"/>
        <v/>
      </c>
      <c r="P281" t="str">
        <f t="shared" si="81"/>
        <v/>
      </c>
      <c r="Q281" t="str">
        <f t="shared" si="82"/>
        <v/>
      </c>
      <c r="R281" t="str">
        <f t="shared" si="83"/>
        <v/>
      </c>
      <c r="S281" t="str">
        <f t="shared" si="84"/>
        <v/>
      </c>
      <c r="T281" t="str">
        <f t="shared" si="85"/>
        <v/>
      </c>
      <c r="U281" t="str">
        <f t="shared" si="86"/>
        <v/>
      </c>
      <c r="V281" t="str">
        <f t="shared" si="87"/>
        <v/>
      </c>
      <c r="W281" t="str">
        <f>IF($A281="","",Allocation!CD281)</f>
        <v/>
      </c>
      <c r="X281" t="str">
        <f>IF($A281="","",Allocation!CE281)</f>
        <v/>
      </c>
      <c r="Y281" t="str">
        <f>IF($A281="","",Allocation!CF281)</f>
        <v/>
      </c>
      <c r="Z281" t="str">
        <f>IF($A281="","",Allocation!CG281)</f>
        <v/>
      </c>
      <c r="AA281" t="str">
        <f>IF($A281="","",Allocation!CH281)</f>
        <v/>
      </c>
      <c r="AB281" t="str">
        <f>IF($A281="","",Allocation!CI281)</f>
        <v/>
      </c>
      <c r="AC281" t="str">
        <f>IF($A281="","",IF(Allocation!$N$4="VOL_EFF",$G281,IF(Allocation!$N$4="VOL_CLASS",$H281,$I281)))</f>
        <v/>
      </c>
      <c r="AD281" t="str">
        <f>IF($A281="","",IF(Allocation!$N$4="VOL_EFF",$L281,IF(Allocation!$N$4="VOL_CLASS",$M281,$N281)))</f>
        <v/>
      </c>
      <c r="AE281" t="str">
        <f>IF($A281="","",IF(Allocation!$N$3="VOL_EFF",$L281,IF(Allocation!$N$3="VOL_CLASS",$M281,$N281)))</f>
        <v/>
      </c>
      <c r="AF281" t="str">
        <f>IF($A281="","",IF(Allocation!$N$3="VOL_EFF",$Q281,IF(Allocation!$N$3="VOL_CLASS",$R281,$S281)))</f>
        <v/>
      </c>
      <c r="AG281" t="str">
        <f>IF($A281="","",IF(Allocation!$N$1="VOL_EFF",$Q281,IF(Allocation!$N$1="VOL_CLASS",$R281,$S281)))</f>
        <v/>
      </c>
      <c r="AH281" t="str">
        <f>IF($A281="","",IF(Allocation!$N$1="VOL_EFF",$T281,IF(Allocation!$N$1="VOL_CLASS",$U281,$V281)))</f>
        <v/>
      </c>
      <c r="AI281" t="str">
        <f t="shared" si="88"/>
        <v/>
      </c>
      <c r="AJ281" t="str">
        <f t="shared" si="89"/>
        <v/>
      </c>
      <c r="AK281" t="str">
        <f t="shared" si="90"/>
        <v/>
      </c>
      <c r="AL281" t="str">
        <f t="shared" si="91"/>
        <v/>
      </c>
      <c r="AM281" t="str">
        <f t="shared" si="92"/>
        <v/>
      </c>
      <c r="AN281" t="str">
        <f t="shared" si="93"/>
        <v/>
      </c>
      <c r="AO281" t="str">
        <f>IF($A281="","",Allocation!CJ281)</f>
        <v/>
      </c>
      <c r="AP281" t="str">
        <f>IF($A281="","",IF(Allocation!$N$2="VOL_EFF",$Q281,IF(Allocation!$N$2="VOL_CLASS",$R281,$S281)))</f>
        <v/>
      </c>
      <c r="AQ281" t="str">
        <f>IF($A281="","",IF(Allocation!$N$2="VOL_EFF",$T281,IF(Allocation!$N$2="VOL_CLASS",$U281,$V281)))</f>
        <v/>
      </c>
      <c r="AR281" t="str">
        <f t="shared" si="94"/>
        <v/>
      </c>
      <c r="AS281" t="str">
        <f>IF($A281="","",$A281&amp;"|"&amp;Allocation!BG281)</f>
        <v/>
      </c>
    </row>
    <row r="282" spans="1:45" x14ac:dyDescent="0.45">
      <c r="A282" t="str">
        <f>IF(Allocation!BI282="","",Allocation!BI282)</f>
        <v/>
      </c>
      <c r="B282" t="str">
        <f>IF(Allocation!BJ282="","",Allocation!BJ282)</f>
        <v/>
      </c>
      <c r="C282" t="str">
        <f>IF(Allocation!BK282="","",Allocation!BK282)</f>
        <v/>
      </c>
      <c r="D282" t="str">
        <f>IF(Allocation!BL282="","",Allocation!BL282)</f>
        <v/>
      </c>
      <c r="E282" t="str">
        <f>IF(Allocation!BM282="","",Allocation!BM282)</f>
        <v/>
      </c>
      <c r="F282" t="str">
        <f>IF(Allocation!BN282="","",Allocation!BN282)</f>
        <v/>
      </c>
      <c r="G282" t="str">
        <f>IF(Allocation!BO282="","",Allocation!BO282)</f>
        <v/>
      </c>
      <c r="H282" t="str">
        <f>IF(Allocation!BP282="","",Allocation!BP282)</f>
        <v/>
      </c>
      <c r="I282" t="str">
        <f>IF(Allocation!BQ282="","",Allocation!BQ282)</f>
        <v/>
      </c>
      <c r="J282" t="str">
        <f>IF(Allocation!CC282="","",Allocation!CC282)</f>
        <v/>
      </c>
      <c r="K282" t="str">
        <f t="shared" si="76"/>
        <v/>
      </c>
      <c r="L282" t="str">
        <f t="shared" si="77"/>
        <v/>
      </c>
      <c r="M282" t="str">
        <f t="shared" si="78"/>
        <v/>
      </c>
      <c r="N282" t="str">
        <f t="shared" si="79"/>
        <v/>
      </c>
      <c r="O282" t="str">
        <f t="shared" si="80"/>
        <v/>
      </c>
      <c r="P282" t="str">
        <f t="shared" si="81"/>
        <v/>
      </c>
      <c r="Q282" t="str">
        <f t="shared" si="82"/>
        <v/>
      </c>
      <c r="R282" t="str">
        <f t="shared" si="83"/>
        <v/>
      </c>
      <c r="S282" t="str">
        <f t="shared" si="84"/>
        <v/>
      </c>
      <c r="T282" t="str">
        <f t="shared" si="85"/>
        <v/>
      </c>
      <c r="U282" t="str">
        <f t="shared" si="86"/>
        <v/>
      </c>
      <c r="V282" t="str">
        <f t="shared" si="87"/>
        <v/>
      </c>
      <c r="W282" t="str">
        <f>IF($A282="","",Allocation!CD282)</f>
        <v/>
      </c>
      <c r="X282" t="str">
        <f>IF($A282="","",Allocation!CE282)</f>
        <v/>
      </c>
      <c r="Y282" t="str">
        <f>IF($A282="","",Allocation!CF282)</f>
        <v/>
      </c>
      <c r="Z282" t="str">
        <f>IF($A282="","",Allocation!CG282)</f>
        <v/>
      </c>
      <c r="AA282" t="str">
        <f>IF($A282="","",Allocation!CH282)</f>
        <v/>
      </c>
      <c r="AB282" t="str">
        <f>IF($A282="","",Allocation!CI282)</f>
        <v/>
      </c>
      <c r="AC282" t="str">
        <f>IF($A282="","",IF(Allocation!$N$4="VOL_EFF",$G282,IF(Allocation!$N$4="VOL_CLASS",$H282,$I282)))</f>
        <v/>
      </c>
      <c r="AD282" t="str">
        <f>IF($A282="","",IF(Allocation!$N$4="VOL_EFF",$L282,IF(Allocation!$N$4="VOL_CLASS",$M282,$N282)))</f>
        <v/>
      </c>
      <c r="AE282" t="str">
        <f>IF($A282="","",IF(Allocation!$N$3="VOL_EFF",$L282,IF(Allocation!$N$3="VOL_CLASS",$M282,$N282)))</f>
        <v/>
      </c>
      <c r="AF282" t="str">
        <f>IF($A282="","",IF(Allocation!$N$3="VOL_EFF",$Q282,IF(Allocation!$N$3="VOL_CLASS",$R282,$S282)))</f>
        <v/>
      </c>
      <c r="AG282" t="str">
        <f>IF($A282="","",IF(Allocation!$N$1="VOL_EFF",$Q282,IF(Allocation!$N$1="VOL_CLASS",$R282,$S282)))</f>
        <v/>
      </c>
      <c r="AH282" t="str">
        <f>IF($A282="","",IF(Allocation!$N$1="VOL_EFF",$T282,IF(Allocation!$N$1="VOL_CLASS",$U282,$V282)))</f>
        <v/>
      </c>
      <c r="AI282" t="str">
        <f t="shared" si="88"/>
        <v/>
      </c>
      <c r="AJ282" t="str">
        <f t="shared" si="89"/>
        <v/>
      </c>
      <c r="AK282" t="str">
        <f t="shared" si="90"/>
        <v/>
      </c>
      <c r="AL282" t="str">
        <f t="shared" si="91"/>
        <v/>
      </c>
      <c r="AM282" t="str">
        <f t="shared" si="92"/>
        <v/>
      </c>
      <c r="AN282" t="str">
        <f t="shared" si="93"/>
        <v/>
      </c>
      <c r="AO282" t="str">
        <f>IF($A282="","",Allocation!CJ282)</f>
        <v/>
      </c>
      <c r="AP282" t="str">
        <f>IF($A282="","",IF(Allocation!$N$2="VOL_EFF",$Q282,IF(Allocation!$N$2="VOL_CLASS",$R282,$S282)))</f>
        <v/>
      </c>
      <c r="AQ282" t="str">
        <f>IF($A282="","",IF(Allocation!$N$2="VOL_EFF",$T282,IF(Allocation!$N$2="VOL_CLASS",$U282,$V282)))</f>
        <v/>
      </c>
      <c r="AR282" t="str">
        <f t="shared" si="94"/>
        <v/>
      </c>
      <c r="AS282" t="str">
        <f>IF($A282="","",$A282&amp;"|"&amp;Allocation!BG282)</f>
        <v/>
      </c>
    </row>
    <row r="283" spans="1:45" x14ac:dyDescent="0.45">
      <c r="A283" t="str">
        <f>IF(Allocation!BI283="","",Allocation!BI283)</f>
        <v/>
      </c>
      <c r="B283" t="str">
        <f>IF(Allocation!BJ283="","",Allocation!BJ283)</f>
        <v/>
      </c>
      <c r="C283" t="str">
        <f>IF(Allocation!BK283="","",Allocation!BK283)</f>
        <v/>
      </c>
      <c r="D283" t="str">
        <f>IF(Allocation!BL283="","",Allocation!BL283)</f>
        <v/>
      </c>
      <c r="E283" t="str">
        <f>IF(Allocation!BM283="","",Allocation!BM283)</f>
        <v/>
      </c>
      <c r="F283" t="str">
        <f>IF(Allocation!BN283="","",Allocation!BN283)</f>
        <v/>
      </c>
      <c r="G283" t="str">
        <f>IF(Allocation!BO283="","",Allocation!BO283)</f>
        <v/>
      </c>
      <c r="H283" t="str">
        <f>IF(Allocation!BP283="","",Allocation!BP283)</f>
        <v/>
      </c>
      <c r="I283" t="str">
        <f>IF(Allocation!BQ283="","",Allocation!BQ283)</f>
        <v/>
      </c>
      <c r="J283" t="str">
        <f>IF(Allocation!CC283="","",Allocation!CC283)</f>
        <v/>
      </c>
      <c r="K283" t="str">
        <f t="shared" si="76"/>
        <v/>
      </c>
      <c r="L283" t="str">
        <f t="shared" si="77"/>
        <v/>
      </c>
      <c r="M283" t="str">
        <f t="shared" si="78"/>
        <v/>
      </c>
      <c r="N283" t="str">
        <f t="shared" si="79"/>
        <v/>
      </c>
      <c r="O283" t="str">
        <f t="shared" si="80"/>
        <v/>
      </c>
      <c r="P283" t="str">
        <f t="shared" si="81"/>
        <v/>
      </c>
      <c r="Q283" t="str">
        <f t="shared" si="82"/>
        <v/>
      </c>
      <c r="R283" t="str">
        <f t="shared" si="83"/>
        <v/>
      </c>
      <c r="S283" t="str">
        <f t="shared" si="84"/>
        <v/>
      </c>
      <c r="T283" t="str">
        <f t="shared" si="85"/>
        <v/>
      </c>
      <c r="U283" t="str">
        <f t="shared" si="86"/>
        <v/>
      </c>
      <c r="V283" t="str">
        <f t="shared" si="87"/>
        <v/>
      </c>
      <c r="W283" t="str">
        <f>IF($A283="","",Allocation!CD283)</f>
        <v/>
      </c>
      <c r="X283" t="str">
        <f>IF($A283="","",Allocation!CE283)</f>
        <v/>
      </c>
      <c r="Y283" t="str">
        <f>IF($A283="","",Allocation!CF283)</f>
        <v/>
      </c>
      <c r="Z283" t="str">
        <f>IF($A283="","",Allocation!CG283)</f>
        <v/>
      </c>
      <c r="AA283" t="str">
        <f>IF($A283="","",Allocation!CH283)</f>
        <v/>
      </c>
      <c r="AB283" t="str">
        <f>IF($A283="","",Allocation!CI283)</f>
        <v/>
      </c>
      <c r="AC283" t="str">
        <f>IF($A283="","",IF(Allocation!$N$4="VOL_EFF",$G283,IF(Allocation!$N$4="VOL_CLASS",$H283,$I283)))</f>
        <v/>
      </c>
      <c r="AD283" t="str">
        <f>IF($A283="","",IF(Allocation!$N$4="VOL_EFF",$L283,IF(Allocation!$N$4="VOL_CLASS",$M283,$N283)))</f>
        <v/>
      </c>
      <c r="AE283" t="str">
        <f>IF($A283="","",IF(Allocation!$N$3="VOL_EFF",$L283,IF(Allocation!$N$3="VOL_CLASS",$M283,$N283)))</f>
        <v/>
      </c>
      <c r="AF283" t="str">
        <f>IF($A283="","",IF(Allocation!$N$3="VOL_EFF",$Q283,IF(Allocation!$N$3="VOL_CLASS",$R283,$S283)))</f>
        <v/>
      </c>
      <c r="AG283" t="str">
        <f>IF($A283="","",IF(Allocation!$N$1="VOL_EFF",$Q283,IF(Allocation!$N$1="VOL_CLASS",$R283,$S283)))</f>
        <v/>
      </c>
      <c r="AH283" t="str">
        <f>IF($A283="","",IF(Allocation!$N$1="VOL_EFF",$T283,IF(Allocation!$N$1="VOL_CLASS",$U283,$V283)))</f>
        <v/>
      </c>
      <c r="AI283" t="str">
        <f t="shared" si="88"/>
        <v/>
      </c>
      <c r="AJ283" t="str">
        <f t="shared" si="89"/>
        <v/>
      </c>
      <c r="AK283" t="str">
        <f t="shared" si="90"/>
        <v/>
      </c>
      <c r="AL283" t="str">
        <f t="shared" si="91"/>
        <v/>
      </c>
      <c r="AM283" t="str">
        <f t="shared" si="92"/>
        <v/>
      </c>
      <c r="AN283" t="str">
        <f t="shared" si="93"/>
        <v/>
      </c>
      <c r="AO283" t="str">
        <f>IF($A283="","",Allocation!CJ283)</f>
        <v/>
      </c>
      <c r="AP283" t="str">
        <f>IF($A283="","",IF(Allocation!$N$2="VOL_EFF",$Q283,IF(Allocation!$N$2="VOL_CLASS",$R283,$S283)))</f>
        <v/>
      </c>
      <c r="AQ283" t="str">
        <f>IF($A283="","",IF(Allocation!$N$2="VOL_EFF",$T283,IF(Allocation!$N$2="VOL_CLASS",$U283,$V283)))</f>
        <v/>
      </c>
      <c r="AR283" t="str">
        <f t="shared" si="94"/>
        <v/>
      </c>
      <c r="AS283" t="str">
        <f>IF($A283="","",$A283&amp;"|"&amp;Allocation!BG283)</f>
        <v/>
      </c>
    </row>
    <row r="284" spans="1:45" x14ac:dyDescent="0.45">
      <c r="A284" t="str">
        <f>IF(Allocation!BI284="","",Allocation!BI284)</f>
        <v/>
      </c>
      <c r="B284" t="str">
        <f>IF(Allocation!BJ284="","",Allocation!BJ284)</f>
        <v/>
      </c>
      <c r="C284" t="str">
        <f>IF(Allocation!BK284="","",Allocation!BK284)</f>
        <v/>
      </c>
      <c r="D284" t="str">
        <f>IF(Allocation!BL284="","",Allocation!BL284)</f>
        <v/>
      </c>
      <c r="E284" t="str">
        <f>IF(Allocation!BM284="","",Allocation!BM284)</f>
        <v/>
      </c>
      <c r="F284" t="str">
        <f>IF(Allocation!BN284="","",Allocation!BN284)</f>
        <v/>
      </c>
      <c r="G284" t="str">
        <f>IF(Allocation!BO284="","",Allocation!BO284)</f>
        <v/>
      </c>
      <c r="H284" t="str">
        <f>IF(Allocation!BP284="","",Allocation!BP284)</f>
        <v/>
      </c>
      <c r="I284" t="str">
        <f>IF(Allocation!BQ284="","",Allocation!BQ284)</f>
        <v/>
      </c>
      <c r="J284" t="str">
        <f>IF(Allocation!CC284="","",Allocation!CC284)</f>
        <v/>
      </c>
      <c r="K284" t="str">
        <f t="shared" si="76"/>
        <v/>
      </c>
      <c r="L284" t="str">
        <f t="shared" si="77"/>
        <v/>
      </c>
      <c r="M284" t="str">
        <f t="shared" si="78"/>
        <v/>
      </c>
      <c r="N284" t="str">
        <f t="shared" si="79"/>
        <v/>
      </c>
      <c r="O284" t="str">
        <f t="shared" si="80"/>
        <v/>
      </c>
      <c r="P284" t="str">
        <f t="shared" si="81"/>
        <v/>
      </c>
      <c r="Q284" t="str">
        <f t="shared" si="82"/>
        <v/>
      </c>
      <c r="R284" t="str">
        <f t="shared" si="83"/>
        <v/>
      </c>
      <c r="S284" t="str">
        <f t="shared" si="84"/>
        <v/>
      </c>
      <c r="T284" t="str">
        <f t="shared" si="85"/>
        <v/>
      </c>
      <c r="U284" t="str">
        <f t="shared" si="86"/>
        <v/>
      </c>
      <c r="V284" t="str">
        <f t="shared" si="87"/>
        <v/>
      </c>
      <c r="W284" t="str">
        <f>IF($A284="","",Allocation!CD284)</f>
        <v/>
      </c>
      <c r="X284" t="str">
        <f>IF($A284="","",Allocation!CE284)</f>
        <v/>
      </c>
      <c r="Y284" t="str">
        <f>IF($A284="","",Allocation!CF284)</f>
        <v/>
      </c>
      <c r="Z284" t="str">
        <f>IF($A284="","",Allocation!CG284)</f>
        <v/>
      </c>
      <c r="AA284" t="str">
        <f>IF($A284="","",Allocation!CH284)</f>
        <v/>
      </c>
      <c r="AB284" t="str">
        <f>IF($A284="","",Allocation!CI284)</f>
        <v/>
      </c>
      <c r="AC284" t="str">
        <f>IF($A284="","",IF(Allocation!$N$4="VOL_EFF",$G284,IF(Allocation!$N$4="VOL_CLASS",$H284,$I284)))</f>
        <v/>
      </c>
      <c r="AD284" t="str">
        <f>IF($A284="","",IF(Allocation!$N$4="VOL_EFF",$L284,IF(Allocation!$N$4="VOL_CLASS",$M284,$N284)))</f>
        <v/>
      </c>
      <c r="AE284" t="str">
        <f>IF($A284="","",IF(Allocation!$N$3="VOL_EFF",$L284,IF(Allocation!$N$3="VOL_CLASS",$M284,$N284)))</f>
        <v/>
      </c>
      <c r="AF284" t="str">
        <f>IF($A284="","",IF(Allocation!$N$3="VOL_EFF",$Q284,IF(Allocation!$N$3="VOL_CLASS",$R284,$S284)))</f>
        <v/>
      </c>
      <c r="AG284" t="str">
        <f>IF($A284="","",IF(Allocation!$N$1="VOL_EFF",$Q284,IF(Allocation!$N$1="VOL_CLASS",$R284,$S284)))</f>
        <v/>
      </c>
      <c r="AH284" t="str">
        <f>IF($A284="","",IF(Allocation!$N$1="VOL_EFF",$T284,IF(Allocation!$N$1="VOL_CLASS",$U284,$V284)))</f>
        <v/>
      </c>
      <c r="AI284" t="str">
        <f t="shared" si="88"/>
        <v/>
      </c>
      <c r="AJ284" t="str">
        <f t="shared" si="89"/>
        <v/>
      </c>
      <c r="AK284" t="str">
        <f t="shared" si="90"/>
        <v/>
      </c>
      <c r="AL284" t="str">
        <f t="shared" si="91"/>
        <v/>
      </c>
      <c r="AM284" t="str">
        <f t="shared" si="92"/>
        <v/>
      </c>
      <c r="AN284" t="str">
        <f t="shared" si="93"/>
        <v/>
      </c>
      <c r="AO284" t="str">
        <f>IF($A284="","",Allocation!CJ284)</f>
        <v/>
      </c>
      <c r="AP284" t="str">
        <f>IF($A284="","",IF(Allocation!$N$2="VOL_EFF",$Q284,IF(Allocation!$N$2="VOL_CLASS",$R284,$S284)))</f>
        <v/>
      </c>
      <c r="AQ284" t="str">
        <f>IF($A284="","",IF(Allocation!$N$2="VOL_EFF",$T284,IF(Allocation!$N$2="VOL_CLASS",$U284,$V284)))</f>
        <v/>
      </c>
      <c r="AR284" t="str">
        <f t="shared" si="94"/>
        <v/>
      </c>
      <c r="AS284" t="str">
        <f>IF($A284="","",$A284&amp;"|"&amp;Allocation!BG284)</f>
        <v/>
      </c>
    </row>
    <row r="285" spans="1:45" x14ac:dyDescent="0.45">
      <c r="A285" t="str">
        <f>IF(Allocation!BI285="","",Allocation!BI285)</f>
        <v/>
      </c>
      <c r="B285" t="str">
        <f>IF(Allocation!BJ285="","",Allocation!BJ285)</f>
        <v/>
      </c>
      <c r="C285" t="str">
        <f>IF(Allocation!BK285="","",Allocation!BK285)</f>
        <v/>
      </c>
      <c r="D285" t="str">
        <f>IF(Allocation!BL285="","",Allocation!BL285)</f>
        <v/>
      </c>
      <c r="E285" t="str">
        <f>IF(Allocation!BM285="","",Allocation!BM285)</f>
        <v/>
      </c>
      <c r="F285" t="str">
        <f>IF(Allocation!BN285="","",Allocation!BN285)</f>
        <v/>
      </c>
      <c r="G285" t="str">
        <f>IF(Allocation!BO285="","",Allocation!BO285)</f>
        <v/>
      </c>
      <c r="H285" t="str">
        <f>IF(Allocation!BP285="","",Allocation!BP285)</f>
        <v/>
      </c>
      <c r="I285" t="str">
        <f>IF(Allocation!BQ285="","",Allocation!BQ285)</f>
        <v/>
      </c>
      <c r="J285" t="str">
        <f>IF(Allocation!CC285="","",Allocation!CC285)</f>
        <v/>
      </c>
      <c r="K285" t="str">
        <f t="shared" si="76"/>
        <v/>
      </c>
      <c r="L285" t="str">
        <f t="shared" si="77"/>
        <v/>
      </c>
      <c r="M285" t="str">
        <f t="shared" si="78"/>
        <v/>
      </c>
      <c r="N285" t="str">
        <f t="shared" si="79"/>
        <v/>
      </c>
      <c r="O285" t="str">
        <f t="shared" si="80"/>
        <v/>
      </c>
      <c r="P285" t="str">
        <f t="shared" si="81"/>
        <v/>
      </c>
      <c r="Q285" t="str">
        <f t="shared" si="82"/>
        <v/>
      </c>
      <c r="R285" t="str">
        <f t="shared" si="83"/>
        <v/>
      </c>
      <c r="S285" t="str">
        <f t="shared" si="84"/>
        <v/>
      </c>
      <c r="T285" t="str">
        <f t="shared" si="85"/>
        <v/>
      </c>
      <c r="U285" t="str">
        <f t="shared" si="86"/>
        <v/>
      </c>
      <c r="V285" t="str">
        <f t="shared" si="87"/>
        <v/>
      </c>
      <c r="W285" t="str">
        <f>IF($A285="","",Allocation!CD285)</f>
        <v/>
      </c>
      <c r="X285" t="str">
        <f>IF($A285="","",Allocation!CE285)</f>
        <v/>
      </c>
      <c r="Y285" t="str">
        <f>IF($A285="","",Allocation!CF285)</f>
        <v/>
      </c>
      <c r="Z285" t="str">
        <f>IF($A285="","",Allocation!CG285)</f>
        <v/>
      </c>
      <c r="AA285" t="str">
        <f>IF($A285="","",Allocation!CH285)</f>
        <v/>
      </c>
      <c r="AB285" t="str">
        <f>IF($A285="","",Allocation!CI285)</f>
        <v/>
      </c>
      <c r="AC285" t="str">
        <f>IF($A285="","",IF(Allocation!$N$4="VOL_EFF",$G285,IF(Allocation!$N$4="VOL_CLASS",$H285,$I285)))</f>
        <v/>
      </c>
      <c r="AD285" t="str">
        <f>IF($A285="","",IF(Allocation!$N$4="VOL_EFF",$L285,IF(Allocation!$N$4="VOL_CLASS",$M285,$N285)))</f>
        <v/>
      </c>
      <c r="AE285" t="str">
        <f>IF($A285="","",IF(Allocation!$N$3="VOL_EFF",$L285,IF(Allocation!$N$3="VOL_CLASS",$M285,$N285)))</f>
        <v/>
      </c>
      <c r="AF285" t="str">
        <f>IF($A285="","",IF(Allocation!$N$3="VOL_EFF",$Q285,IF(Allocation!$N$3="VOL_CLASS",$R285,$S285)))</f>
        <v/>
      </c>
      <c r="AG285" t="str">
        <f>IF($A285="","",IF(Allocation!$N$1="VOL_EFF",$Q285,IF(Allocation!$N$1="VOL_CLASS",$R285,$S285)))</f>
        <v/>
      </c>
      <c r="AH285" t="str">
        <f>IF($A285="","",IF(Allocation!$N$1="VOL_EFF",$T285,IF(Allocation!$N$1="VOL_CLASS",$U285,$V285)))</f>
        <v/>
      </c>
      <c r="AI285" t="str">
        <f t="shared" si="88"/>
        <v/>
      </c>
      <c r="AJ285" t="str">
        <f t="shared" si="89"/>
        <v/>
      </c>
      <c r="AK285" t="str">
        <f t="shared" si="90"/>
        <v/>
      </c>
      <c r="AL285" t="str">
        <f t="shared" si="91"/>
        <v/>
      </c>
      <c r="AM285" t="str">
        <f t="shared" si="92"/>
        <v/>
      </c>
      <c r="AN285" t="str">
        <f t="shared" si="93"/>
        <v/>
      </c>
      <c r="AO285" t="str">
        <f>IF($A285="","",Allocation!CJ285)</f>
        <v/>
      </c>
      <c r="AP285" t="str">
        <f>IF($A285="","",IF(Allocation!$N$2="VOL_EFF",$Q285,IF(Allocation!$N$2="VOL_CLASS",$R285,$S285)))</f>
        <v/>
      </c>
      <c r="AQ285" t="str">
        <f>IF($A285="","",IF(Allocation!$N$2="VOL_EFF",$T285,IF(Allocation!$N$2="VOL_CLASS",$U285,$V285)))</f>
        <v/>
      </c>
      <c r="AR285" t="str">
        <f t="shared" si="94"/>
        <v/>
      </c>
      <c r="AS285" t="str">
        <f>IF($A285="","",$A285&amp;"|"&amp;Allocation!BG285)</f>
        <v/>
      </c>
    </row>
    <row r="286" spans="1:45" x14ac:dyDescent="0.45">
      <c r="A286" t="str">
        <f>IF(Allocation!BI286="","",Allocation!BI286)</f>
        <v/>
      </c>
      <c r="B286" t="str">
        <f>IF(Allocation!BJ286="","",Allocation!BJ286)</f>
        <v/>
      </c>
      <c r="C286" t="str">
        <f>IF(Allocation!BK286="","",Allocation!BK286)</f>
        <v/>
      </c>
      <c r="D286" t="str">
        <f>IF(Allocation!BL286="","",Allocation!BL286)</f>
        <v/>
      </c>
      <c r="E286" t="str">
        <f>IF(Allocation!BM286="","",Allocation!BM286)</f>
        <v/>
      </c>
      <c r="F286" t="str">
        <f>IF(Allocation!BN286="","",Allocation!BN286)</f>
        <v/>
      </c>
      <c r="G286" t="str">
        <f>IF(Allocation!BO286="","",Allocation!BO286)</f>
        <v/>
      </c>
      <c r="H286" t="str">
        <f>IF(Allocation!BP286="","",Allocation!BP286)</f>
        <v/>
      </c>
      <c r="I286" t="str">
        <f>IF(Allocation!BQ286="","",Allocation!BQ286)</f>
        <v/>
      </c>
      <c r="J286" t="str">
        <f>IF(Allocation!CC286="","",Allocation!CC286)</f>
        <v/>
      </c>
      <c r="K286" t="str">
        <f t="shared" si="76"/>
        <v/>
      </c>
      <c r="L286" t="str">
        <f t="shared" si="77"/>
        <v/>
      </c>
      <c r="M286" t="str">
        <f t="shared" si="78"/>
        <v/>
      </c>
      <c r="N286" t="str">
        <f t="shared" si="79"/>
        <v/>
      </c>
      <c r="O286" t="str">
        <f t="shared" si="80"/>
        <v/>
      </c>
      <c r="P286" t="str">
        <f t="shared" si="81"/>
        <v/>
      </c>
      <c r="Q286" t="str">
        <f t="shared" si="82"/>
        <v/>
      </c>
      <c r="R286" t="str">
        <f t="shared" si="83"/>
        <v/>
      </c>
      <c r="S286" t="str">
        <f t="shared" si="84"/>
        <v/>
      </c>
      <c r="T286" t="str">
        <f t="shared" si="85"/>
        <v/>
      </c>
      <c r="U286" t="str">
        <f t="shared" si="86"/>
        <v/>
      </c>
      <c r="V286" t="str">
        <f t="shared" si="87"/>
        <v/>
      </c>
      <c r="W286" t="str">
        <f>IF($A286="","",Allocation!CD286)</f>
        <v/>
      </c>
      <c r="X286" t="str">
        <f>IF($A286="","",Allocation!CE286)</f>
        <v/>
      </c>
      <c r="Y286" t="str">
        <f>IF($A286="","",Allocation!CF286)</f>
        <v/>
      </c>
      <c r="Z286" t="str">
        <f>IF($A286="","",Allocation!CG286)</f>
        <v/>
      </c>
      <c r="AA286" t="str">
        <f>IF($A286="","",Allocation!CH286)</f>
        <v/>
      </c>
      <c r="AB286" t="str">
        <f>IF($A286="","",Allocation!CI286)</f>
        <v/>
      </c>
      <c r="AC286" t="str">
        <f>IF($A286="","",IF(Allocation!$N$4="VOL_EFF",$G286,IF(Allocation!$N$4="VOL_CLASS",$H286,$I286)))</f>
        <v/>
      </c>
      <c r="AD286" t="str">
        <f>IF($A286="","",IF(Allocation!$N$4="VOL_EFF",$L286,IF(Allocation!$N$4="VOL_CLASS",$M286,$N286)))</f>
        <v/>
      </c>
      <c r="AE286" t="str">
        <f>IF($A286="","",IF(Allocation!$N$3="VOL_EFF",$L286,IF(Allocation!$N$3="VOL_CLASS",$M286,$N286)))</f>
        <v/>
      </c>
      <c r="AF286" t="str">
        <f>IF($A286="","",IF(Allocation!$N$3="VOL_EFF",$Q286,IF(Allocation!$N$3="VOL_CLASS",$R286,$S286)))</f>
        <v/>
      </c>
      <c r="AG286" t="str">
        <f>IF($A286="","",IF(Allocation!$N$1="VOL_EFF",$Q286,IF(Allocation!$N$1="VOL_CLASS",$R286,$S286)))</f>
        <v/>
      </c>
      <c r="AH286" t="str">
        <f>IF($A286="","",IF(Allocation!$N$1="VOL_EFF",$T286,IF(Allocation!$N$1="VOL_CLASS",$U286,$V286)))</f>
        <v/>
      </c>
      <c r="AI286" t="str">
        <f t="shared" si="88"/>
        <v/>
      </c>
      <c r="AJ286" t="str">
        <f t="shared" si="89"/>
        <v/>
      </c>
      <c r="AK286" t="str">
        <f t="shared" si="90"/>
        <v/>
      </c>
      <c r="AL286" t="str">
        <f t="shared" si="91"/>
        <v/>
      </c>
      <c r="AM286" t="str">
        <f t="shared" si="92"/>
        <v/>
      </c>
      <c r="AN286" t="str">
        <f t="shared" si="93"/>
        <v/>
      </c>
      <c r="AO286" t="str">
        <f>IF($A286="","",Allocation!CJ286)</f>
        <v/>
      </c>
      <c r="AP286" t="str">
        <f>IF($A286="","",IF(Allocation!$N$2="VOL_EFF",$Q286,IF(Allocation!$N$2="VOL_CLASS",$R286,$S286)))</f>
        <v/>
      </c>
      <c r="AQ286" t="str">
        <f>IF($A286="","",IF(Allocation!$N$2="VOL_EFF",$T286,IF(Allocation!$N$2="VOL_CLASS",$U286,$V286)))</f>
        <v/>
      </c>
      <c r="AR286" t="str">
        <f t="shared" si="94"/>
        <v/>
      </c>
      <c r="AS286" t="str">
        <f>IF($A286="","",$A286&amp;"|"&amp;Allocation!BG286)</f>
        <v/>
      </c>
    </row>
    <row r="287" spans="1:45" x14ac:dyDescent="0.45">
      <c r="A287" t="str">
        <f>IF(Allocation!BI287="","",Allocation!BI287)</f>
        <v/>
      </c>
      <c r="B287" t="str">
        <f>IF(Allocation!BJ287="","",Allocation!BJ287)</f>
        <v/>
      </c>
      <c r="C287" t="str">
        <f>IF(Allocation!BK287="","",Allocation!BK287)</f>
        <v/>
      </c>
      <c r="D287" t="str">
        <f>IF(Allocation!BL287="","",Allocation!BL287)</f>
        <v/>
      </c>
      <c r="E287" t="str">
        <f>IF(Allocation!BM287="","",Allocation!BM287)</f>
        <v/>
      </c>
      <c r="F287" t="str">
        <f>IF(Allocation!BN287="","",Allocation!BN287)</f>
        <v/>
      </c>
      <c r="G287" t="str">
        <f>IF(Allocation!BO287="","",Allocation!BO287)</f>
        <v/>
      </c>
      <c r="H287" t="str">
        <f>IF(Allocation!BP287="","",Allocation!BP287)</f>
        <v/>
      </c>
      <c r="I287" t="str">
        <f>IF(Allocation!BQ287="","",Allocation!BQ287)</f>
        <v/>
      </c>
      <c r="J287" t="str">
        <f>IF(Allocation!CC287="","",Allocation!CC287)</f>
        <v/>
      </c>
      <c r="K287" t="str">
        <f t="shared" si="76"/>
        <v/>
      </c>
      <c r="L287" t="str">
        <f t="shared" si="77"/>
        <v/>
      </c>
      <c r="M287" t="str">
        <f t="shared" si="78"/>
        <v/>
      </c>
      <c r="N287" t="str">
        <f t="shared" si="79"/>
        <v/>
      </c>
      <c r="O287" t="str">
        <f t="shared" si="80"/>
        <v/>
      </c>
      <c r="P287" t="str">
        <f t="shared" si="81"/>
        <v/>
      </c>
      <c r="Q287" t="str">
        <f t="shared" si="82"/>
        <v/>
      </c>
      <c r="R287" t="str">
        <f t="shared" si="83"/>
        <v/>
      </c>
      <c r="S287" t="str">
        <f t="shared" si="84"/>
        <v/>
      </c>
      <c r="T287" t="str">
        <f t="shared" si="85"/>
        <v/>
      </c>
      <c r="U287" t="str">
        <f t="shared" si="86"/>
        <v/>
      </c>
      <c r="V287" t="str">
        <f t="shared" si="87"/>
        <v/>
      </c>
      <c r="W287" t="str">
        <f>IF($A287="","",Allocation!CD287)</f>
        <v/>
      </c>
      <c r="X287" t="str">
        <f>IF($A287="","",Allocation!CE287)</f>
        <v/>
      </c>
      <c r="Y287" t="str">
        <f>IF($A287="","",Allocation!CF287)</f>
        <v/>
      </c>
      <c r="Z287" t="str">
        <f>IF($A287="","",Allocation!CG287)</f>
        <v/>
      </c>
      <c r="AA287" t="str">
        <f>IF($A287="","",Allocation!CH287)</f>
        <v/>
      </c>
      <c r="AB287" t="str">
        <f>IF($A287="","",Allocation!CI287)</f>
        <v/>
      </c>
      <c r="AC287" t="str">
        <f>IF($A287="","",IF(Allocation!$N$4="VOL_EFF",$G287,IF(Allocation!$N$4="VOL_CLASS",$H287,$I287)))</f>
        <v/>
      </c>
      <c r="AD287" t="str">
        <f>IF($A287="","",IF(Allocation!$N$4="VOL_EFF",$L287,IF(Allocation!$N$4="VOL_CLASS",$M287,$N287)))</f>
        <v/>
      </c>
      <c r="AE287" t="str">
        <f>IF($A287="","",IF(Allocation!$N$3="VOL_EFF",$L287,IF(Allocation!$N$3="VOL_CLASS",$M287,$N287)))</f>
        <v/>
      </c>
      <c r="AF287" t="str">
        <f>IF($A287="","",IF(Allocation!$N$3="VOL_EFF",$Q287,IF(Allocation!$N$3="VOL_CLASS",$R287,$S287)))</f>
        <v/>
      </c>
      <c r="AG287" t="str">
        <f>IF($A287="","",IF(Allocation!$N$1="VOL_EFF",$Q287,IF(Allocation!$N$1="VOL_CLASS",$R287,$S287)))</f>
        <v/>
      </c>
      <c r="AH287" t="str">
        <f>IF($A287="","",IF(Allocation!$N$1="VOL_EFF",$T287,IF(Allocation!$N$1="VOL_CLASS",$U287,$V287)))</f>
        <v/>
      </c>
      <c r="AI287" t="str">
        <f t="shared" si="88"/>
        <v/>
      </c>
      <c r="AJ287" t="str">
        <f t="shared" si="89"/>
        <v/>
      </c>
      <c r="AK287" t="str">
        <f t="shared" si="90"/>
        <v/>
      </c>
      <c r="AL287" t="str">
        <f t="shared" si="91"/>
        <v/>
      </c>
      <c r="AM287" t="str">
        <f t="shared" si="92"/>
        <v/>
      </c>
      <c r="AN287" t="str">
        <f t="shared" si="93"/>
        <v/>
      </c>
      <c r="AO287" t="str">
        <f>IF($A287="","",Allocation!CJ287)</f>
        <v/>
      </c>
      <c r="AP287" t="str">
        <f>IF($A287="","",IF(Allocation!$N$2="VOL_EFF",$Q287,IF(Allocation!$N$2="VOL_CLASS",$R287,$S287)))</f>
        <v/>
      </c>
      <c r="AQ287" t="str">
        <f>IF($A287="","",IF(Allocation!$N$2="VOL_EFF",$T287,IF(Allocation!$N$2="VOL_CLASS",$U287,$V287)))</f>
        <v/>
      </c>
      <c r="AR287" t="str">
        <f t="shared" si="94"/>
        <v/>
      </c>
      <c r="AS287" t="str">
        <f>IF($A287="","",$A287&amp;"|"&amp;Allocation!BG287)</f>
        <v/>
      </c>
    </row>
    <row r="288" spans="1:45" x14ac:dyDescent="0.45">
      <c r="A288" t="str">
        <f>IF(Allocation!BI288="","",Allocation!BI288)</f>
        <v/>
      </c>
      <c r="B288" t="str">
        <f>IF(Allocation!BJ288="","",Allocation!BJ288)</f>
        <v/>
      </c>
      <c r="C288" t="str">
        <f>IF(Allocation!BK288="","",Allocation!BK288)</f>
        <v/>
      </c>
      <c r="D288" t="str">
        <f>IF(Allocation!BL288="","",Allocation!BL288)</f>
        <v/>
      </c>
      <c r="E288" t="str">
        <f>IF(Allocation!BM288="","",Allocation!BM288)</f>
        <v/>
      </c>
      <c r="F288" t="str">
        <f>IF(Allocation!BN288="","",Allocation!BN288)</f>
        <v/>
      </c>
      <c r="G288" t="str">
        <f>IF(Allocation!BO288="","",Allocation!BO288)</f>
        <v/>
      </c>
      <c r="H288" t="str">
        <f>IF(Allocation!BP288="","",Allocation!BP288)</f>
        <v/>
      </c>
      <c r="I288" t="str">
        <f>IF(Allocation!BQ288="","",Allocation!BQ288)</f>
        <v/>
      </c>
      <c r="J288" t="str">
        <f>IF(Allocation!CC288="","",Allocation!CC288)</f>
        <v/>
      </c>
      <c r="K288" t="str">
        <f t="shared" si="76"/>
        <v/>
      </c>
      <c r="L288" t="str">
        <f t="shared" si="77"/>
        <v/>
      </c>
      <c r="M288" t="str">
        <f t="shared" si="78"/>
        <v/>
      </c>
      <c r="N288" t="str">
        <f t="shared" si="79"/>
        <v/>
      </c>
      <c r="O288" t="str">
        <f t="shared" si="80"/>
        <v/>
      </c>
      <c r="P288" t="str">
        <f t="shared" si="81"/>
        <v/>
      </c>
      <c r="Q288" t="str">
        <f t="shared" si="82"/>
        <v/>
      </c>
      <c r="R288" t="str">
        <f t="shared" si="83"/>
        <v/>
      </c>
      <c r="S288" t="str">
        <f t="shared" si="84"/>
        <v/>
      </c>
      <c r="T288" t="str">
        <f t="shared" si="85"/>
        <v/>
      </c>
      <c r="U288" t="str">
        <f t="shared" si="86"/>
        <v/>
      </c>
      <c r="V288" t="str">
        <f t="shared" si="87"/>
        <v/>
      </c>
      <c r="W288" t="str">
        <f>IF($A288="","",Allocation!CD288)</f>
        <v/>
      </c>
      <c r="X288" t="str">
        <f>IF($A288="","",Allocation!CE288)</f>
        <v/>
      </c>
      <c r="Y288" t="str">
        <f>IF($A288="","",Allocation!CF288)</f>
        <v/>
      </c>
      <c r="Z288" t="str">
        <f>IF($A288="","",Allocation!CG288)</f>
        <v/>
      </c>
      <c r="AA288" t="str">
        <f>IF($A288="","",Allocation!CH288)</f>
        <v/>
      </c>
      <c r="AB288" t="str">
        <f>IF($A288="","",Allocation!CI288)</f>
        <v/>
      </c>
      <c r="AC288" t="str">
        <f>IF($A288="","",IF(Allocation!$N$4="VOL_EFF",$G288,IF(Allocation!$N$4="VOL_CLASS",$H288,$I288)))</f>
        <v/>
      </c>
      <c r="AD288" t="str">
        <f>IF($A288="","",IF(Allocation!$N$4="VOL_EFF",$L288,IF(Allocation!$N$4="VOL_CLASS",$M288,$N288)))</f>
        <v/>
      </c>
      <c r="AE288" t="str">
        <f>IF($A288="","",IF(Allocation!$N$3="VOL_EFF",$L288,IF(Allocation!$N$3="VOL_CLASS",$M288,$N288)))</f>
        <v/>
      </c>
      <c r="AF288" t="str">
        <f>IF($A288="","",IF(Allocation!$N$3="VOL_EFF",$Q288,IF(Allocation!$N$3="VOL_CLASS",$R288,$S288)))</f>
        <v/>
      </c>
      <c r="AG288" t="str">
        <f>IF($A288="","",IF(Allocation!$N$1="VOL_EFF",$Q288,IF(Allocation!$N$1="VOL_CLASS",$R288,$S288)))</f>
        <v/>
      </c>
      <c r="AH288" t="str">
        <f>IF($A288="","",IF(Allocation!$N$1="VOL_EFF",$T288,IF(Allocation!$N$1="VOL_CLASS",$U288,$V288)))</f>
        <v/>
      </c>
      <c r="AI288" t="str">
        <f t="shared" si="88"/>
        <v/>
      </c>
      <c r="AJ288" t="str">
        <f t="shared" si="89"/>
        <v/>
      </c>
      <c r="AK288" t="str">
        <f t="shared" si="90"/>
        <v/>
      </c>
      <c r="AL288" t="str">
        <f t="shared" si="91"/>
        <v/>
      </c>
      <c r="AM288" t="str">
        <f t="shared" si="92"/>
        <v/>
      </c>
      <c r="AN288" t="str">
        <f t="shared" si="93"/>
        <v/>
      </c>
      <c r="AO288" t="str">
        <f>IF($A288="","",Allocation!CJ288)</f>
        <v/>
      </c>
      <c r="AP288" t="str">
        <f>IF($A288="","",IF(Allocation!$N$2="VOL_EFF",$Q288,IF(Allocation!$N$2="VOL_CLASS",$R288,$S288)))</f>
        <v/>
      </c>
      <c r="AQ288" t="str">
        <f>IF($A288="","",IF(Allocation!$N$2="VOL_EFF",$T288,IF(Allocation!$N$2="VOL_CLASS",$U288,$V288)))</f>
        <v/>
      </c>
      <c r="AR288" t="str">
        <f t="shared" si="94"/>
        <v/>
      </c>
      <c r="AS288" t="str">
        <f>IF($A288="","",$A288&amp;"|"&amp;Allocation!BG288)</f>
        <v/>
      </c>
    </row>
    <row r="289" spans="1:45" x14ac:dyDescent="0.45">
      <c r="A289" t="str">
        <f>IF(Allocation!BI289="","",Allocation!BI289)</f>
        <v/>
      </c>
      <c r="B289" t="str">
        <f>IF(Allocation!BJ289="","",Allocation!BJ289)</f>
        <v/>
      </c>
      <c r="C289" t="str">
        <f>IF(Allocation!BK289="","",Allocation!BK289)</f>
        <v/>
      </c>
      <c r="D289" t="str">
        <f>IF(Allocation!BL289="","",Allocation!BL289)</f>
        <v/>
      </c>
      <c r="E289" t="str">
        <f>IF(Allocation!BM289="","",Allocation!BM289)</f>
        <v/>
      </c>
      <c r="F289" t="str">
        <f>IF(Allocation!BN289="","",Allocation!BN289)</f>
        <v/>
      </c>
      <c r="G289" t="str">
        <f>IF(Allocation!BO289="","",Allocation!BO289)</f>
        <v/>
      </c>
      <c r="H289" t="str">
        <f>IF(Allocation!BP289="","",Allocation!BP289)</f>
        <v/>
      </c>
      <c r="I289" t="str">
        <f>IF(Allocation!BQ289="","",Allocation!BQ289)</f>
        <v/>
      </c>
      <c r="J289" t="str">
        <f>IF(Allocation!CC289="","",Allocation!CC289)</f>
        <v/>
      </c>
      <c r="K289" t="str">
        <f t="shared" si="76"/>
        <v/>
      </c>
      <c r="L289" t="str">
        <f t="shared" si="77"/>
        <v/>
      </c>
      <c r="M289" t="str">
        <f t="shared" si="78"/>
        <v/>
      </c>
      <c r="N289" t="str">
        <f t="shared" si="79"/>
        <v/>
      </c>
      <c r="O289" t="str">
        <f t="shared" si="80"/>
        <v/>
      </c>
      <c r="P289" t="str">
        <f t="shared" si="81"/>
        <v/>
      </c>
      <c r="Q289" t="str">
        <f t="shared" si="82"/>
        <v/>
      </c>
      <c r="R289" t="str">
        <f t="shared" si="83"/>
        <v/>
      </c>
      <c r="S289" t="str">
        <f t="shared" si="84"/>
        <v/>
      </c>
      <c r="T289" t="str">
        <f t="shared" si="85"/>
        <v/>
      </c>
      <c r="U289" t="str">
        <f t="shared" si="86"/>
        <v/>
      </c>
      <c r="V289" t="str">
        <f t="shared" si="87"/>
        <v/>
      </c>
      <c r="W289" t="str">
        <f>IF($A289="","",Allocation!CD289)</f>
        <v/>
      </c>
      <c r="X289" t="str">
        <f>IF($A289="","",Allocation!CE289)</f>
        <v/>
      </c>
      <c r="Y289" t="str">
        <f>IF($A289="","",Allocation!CF289)</f>
        <v/>
      </c>
      <c r="Z289" t="str">
        <f>IF($A289="","",Allocation!CG289)</f>
        <v/>
      </c>
      <c r="AA289" t="str">
        <f>IF($A289="","",Allocation!CH289)</f>
        <v/>
      </c>
      <c r="AB289" t="str">
        <f>IF($A289="","",Allocation!CI289)</f>
        <v/>
      </c>
      <c r="AC289" t="str">
        <f>IF($A289="","",IF(Allocation!$N$4="VOL_EFF",$G289,IF(Allocation!$N$4="VOL_CLASS",$H289,$I289)))</f>
        <v/>
      </c>
      <c r="AD289" t="str">
        <f>IF($A289="","",IF(Allocation!$N$4="VOL_EFF",$L289,IF(Allocation!$N$4="VOL_CLASS",$M289,$N289)))</f>
        <v/>
      </c>
      <c r="AE289" t="str">
        <f>IF($A289="","",IF(Allocation!$N$3="VOL_EFF",$L289,IF(Allocation!$N$3="VOL_CLASS",$M289,$N289)))</f>
        <v/>
      </c>
      <c r="AF289" t="str">
        <f>IF($A289="","",IF(Allocation!$N$3="VOL_EFF",$Q289,IF(Allocation!$N$3="VOL_CLASS",$R289,$S289)))</f>
        <v/>
      </c>
      <c r="AG289" t="str">
        <f>IF($A289="","",IF(Allocation!$N$1="VOL_EFF",$Q289,IF(Allocation!$N$1="VOL_CLASS",$R289,$S289)))</f>
        <v/>
      </c>
      <c r="AH289" t="str">
        <f>IF($A289="","",IF(Allocation!$N$1="VOL_EFF",$T289,IF(Allocation!$N$1="VOL_CLASS",$U289,$V289)))</f>
        <v/>
      </c>
      <c r="AI289" t="str">
        <f t="shared" si="88"/>
        <v/>
      </c>
      <c r="AJ289" t="str">
        <f t="shared" si="89"/>
        <v/>
      </c>
      <c r="AK289" t="str">
        <f t="shared" si="90"/>
        <v/>
      </c>
      <c r="AL289" t="str">
        <f t="shared" si="91"/>
        <v/>
      </c>
      <c r="AM289" t="str">
        <f t="shared" si="92"/>
        <v/>
      </c>
      <c r="AN289" t="str">
        <f t="shared" si="93"/>
        <v/>
      </c>
      <c r="AO289" t="str">
        <f>IF($A289="","",Allocation!CJ289)</f>
        <v/>
      </c>
      <c r="AP289" t="str">
        <f>IF($A289="","",IF(Allocation!$N$2="VOL_EFF",$Q289,IF(Allocation!$N$2="VOL_CLASS",$R289,$S289)))</f>
        <v/>
      </c>
      <c r="AQ289" t="str">
        <f>IF($A289="","",IF(Allocation!$N$2="VOL_EFF",$T289,IF(Allocation!$N$2="VOL_CLASS",$U289,$V289)))</f>
        <v/>
      </c>
      <c r="AR289" t="str">
        <f t="shared" si="94"/>
        <v/>
      </c>
      <c r="AS289" t="str">
        <f>IF($A289="","",$A289&amp;"|"&amp;Allocation!BG289)</f>
        <v/>
      </c>
    </row>
    <row r="290" spans="1:45" x14ac:dyDescent="0.45">
      <c r="A290" t="str">
        <f>IF(Allocation!BI290="","",Allocation!BI290)</f>
        <v/>
      </c>
      <c r="B290" t="str">
        <f>IF(Allocation!BJ290="","",Allocation!BJ290)</f>
        <v/>
      </c>
      <c r="C290" t="str">
        <f>IF(Allocation!BK290="","",Allocation!BK290)</f>
        <v/>
      </c>
      <c r="D290" t="str">
        <f>IF(Allocation!BL290="","",Allocation!BL290)</f>
        <v/>
      </c>
      <c r="E290" t="str">
        <f>IF(Allocation!BM290="","",Allocation!BM290)</f>
        <v/>
      </c>
      <c r="F290" t="str">
        <f>IF(Allocation!BN290="","",Allocation!BN290)</f>
        <v/>
      </c>
      <c r="G290" t="str">
        <f>IF(Allocation!BO290="","",Allocation!BO290)</f>
        <v/>
      </c>
      <c r="H290" t="str">
        <f>IF(Allocation!BP290="","",Allocation!BP290)</f>
        <v/>
      </c>
      <c r="I290" t="str">
        <f>IF(Allocation!BQ290="","",Allocation!BQ290)</f>
        <v/>
      </c>
      <c r="J290" t="str">
        <f>IF(Allocation!CC290="","",Allocation!CC290)</f>
        <v/>
      </c>
      <c r="K290" t="str">
        <f t="shared" si="76"/>
        <v/>
      </c>
      <c r="L290" t="str">
        <f t="shared" si="77"/>
        <v/>
      </c>
      <c r="M290" t="str">
        <f t="shared" si="78"/>
        <v/>
      </c>
      <c r="N290" t="str">
        <f t="shared" si="79"/>
        <v/>
      </c>
      <c r="O290" t="str">
        <f t="shared" si="80"/>
        <v/>
      </c>
      <c r="P290" t="str">
        <f t="shared" si="81"/>
        <v/>
      </c>
      <c r="Q290" t="str">
        <f t="shared" si="82"/>
        <v/>
      </c>
      <c r="R290" t="str">
        <f t="shared" si="83"/>
        <v/>
      </c>
      <c r="S290" t="str">
        <f t="shared" si="84"/>
        <v/>
      </c>
      <c r="T290" t="str">
        <f t="shared" si="85"/>
        <v/>
      </c>
      <c r="U290" t="str">
        <f t="shared" si="86"/>
        <v/>
      </c>
      <c r="V290" t="str">
        <f t="shared" si="87"/>
        <v/>
      </c>
      <c r="W290" t="str">
        <f>IF($A290="","",Allocation!CD290)</f>
        <v/>
      </c>
      <c r="X290" t="str">
        <f>IF($A290="","",Allocation!CE290)</f>
        <v/>
      </c>
      <c r="Y290" t="str">
        <f>IF($A290="","",Allocation!CF290)</f>
        <v/>
      </c>
      <c r="Z290" t="str">
        <f>IF($A290="","",Allocation!CG290)</f>
        <v/>
      </c>
      <c r="AA290" t="str">
        <f>IF($A290="","",Allocation!CH290)</f>
        <v/>
      </c>
      <c r="AB290" t="str">
        <f>IF($A290="","",Allocation!CI290)</f>
        <v/>
      </c>
      <c r="AC290" t="str">
        <f>IF($A290="","",IF(Allocation!$N$4="VOL_EFF",$G290,IF(Allocation!$N$4="VOL_CLASS",$H290,$I290)))</f>
        <v/>
      </c>
      <c r="AD290" t="str">
        <f>IF($A290="","",IF(Allocation!$N$4="VOL_EFF",$L290,IF(Allocation!$N$4="VOL_CLASS",$M290,$N290)))</f>
        <v/>
      </c>
      <c r="AE290" t="str">
        <f>IF($A290="","",IF(Allocation!$N$3="VOL_EFF",$L290,IF(Allocation!$N$3="VOL_CLASS",$M290,$N290)))</f>
        <v/>
      </c>
      <c r="AF290" t="str">
        <f>IF($A290="","",IF(Allocation!$N$3="VOL_EFF",$Q290,IF(Allocation!$N$3="VOL_CLASS",$R290,$S290)))</f>
        <v/>
      </c>
      <c r="AG290" t="str">
        <f>IF($A290="","",IF(Allocation!$N$1="VOL_EFF",$Q290,IF(Allocation!$N$1="VOL_CLASS",$R290,$S290)))</f>
        <v/>
      </c>
      <c r="AH290" t="str">
        <f>IF($A290="","",IF(Allocation!$N$1="VOL_EFF",$T290,IF(Allocation!$N$1="VOL_CLASS",$U290,$V290)))</f>
        <v/>
      </c>
      <c r="AI290" t="str">
        <f t="shared" si="88"/>
        <v/>
      </c>
      <c r="AJ290" t="str">
        <f t="shared" si="89"/>
        <v/>
      </c>
      <c r="AK290" t="str">
        <f t="shared" si="90"/>
        <v/>
      </c>
      <c r="AL290" t="str">
        <f t="shared" si="91"/>
        <v/>
      </c>
      <c r="AM290" t="str">
        <f t="shared" si="92"/>
        <v/>
      </c>
      <c r="AN290" t="str">
        <f t="shared" si="93"/>
        <v/>
      </c>
      <c r="AO290" t="str">
        <f>IF($A290="","",Allocation!CJ290)</f>
        <v/>
      </c>
      <c r="AP290" t="str">
        <f>IF($A290="","",IF(Allocation!$N$2="VOL_EFF",$Q290,IF(Allocation!$N$2="VOL_CLASS",$R290,$S290)))</f>
        <v/>
      </c>
      <c r="AQ290" t="str">
        <f>IF($A290="","",IF(Allocation!$N$2="VOL_EFF",$T290,IF(Allocation!$N$2="VOL_CLASS",$U290,$V290)))</f>
        <v/>
      </c>
      <c r="AR290" t="str">
        <f t="shared" si="94"/>
        <v/>
      </c>
      <c r="AS290" t="str">
        <f>IF($A290="","",$A290&amp;"|"&amp;Allocation!BG290)</f>
        <v/>
      </c>
    </row>
    <row r="291" spans="1:45" x14ac:dyDescent="0.45">
      <c r="A291" t="str">
        <f>IF(Allocation!BI291="","",Allocation!BI291)</f>
        <v/>
      </c>
      <c r="B291" t="str">
        <f>IF(Allocation!BJ291="","",Allocation!BJ291)</f>
        <v/>
      </c>
      <c r="C291" t="str">
        <f>IF(Allocation!BK291="","",Allocation!BK291)</f>
        <v/>
      </c>
      <c r="D291" t="str">
        <f>IF(Allocation!BL291="","",Allocation!BL291)</f>
        <v/>
      </c>
      <c r="E291" t="str">
        <f>IF(Allocation!BM291="","",Allocation!BM291)</f>
        <v/>
      </c>
      <c r="F291" t="str">
        <f>IF(Allocation!BN291="","",Allocation!BN291)</f>
        <v/>
      </c>
      <c r="G291" t="str">
        <f>IF(Allocation!BO291="","",Allocation!BO291)</f>
        <v/>
      </c>
      <c r="H291" t="str">
        <f>IF(Allocation!BP291="","",Allocation!BP291)</f>
        <v/>
      </c>
      <c r="I291" t="str">
        <f>IF(Allocation!BQ291="","",Allocation!BQ291)</f>
        <v/>
      </c>
      <c r="J291" t="str">
        <f>IF(Allocation!CC291="","",Allocation!CC291)</f>
        <v/>
      </c>
      <c r="K291" t="str">
        <f t="shared" si="76"/>
        <v/>
      </c>
      <c r="L291" t="str">
        <f t="shared" si="77"/>
        <v/>
      </c>
      <c r="M291" t="str">
        <f t="shared" si="78"/>
        <v/>
      </c>
      <c r="N291" t="str">
        <f t="shared" si="79"/>
        <v/>
      </c>
      <c r="O291" t="str">
        <f t="shared" si="80"/>
        <v/>
      </c>
      <c r="P291" t="str">
        <f t="shared" si="81"/>
        <v/>
      </c>
      <c r="Q291" t="str">
        <f t="shared" si="82"/>
        <v/>
      </c>
      <c r="R291" t="str">
        <f t="shared" si="83"/>
        <v/>
      </c>
      <c r="S291" t="str">
        <f t="shared" si="84"/>
        <v/>
      </c>
      <c r="T291" t="str">
        <f t="shared" si="85"/>
        <v/>
      </c>
      <c r="U291" t="str">
        <f t="shared" si="86"/>
        <v/>
      </c>
      <c r="V291" t="str">
        <f t="shared" si="87"/>
        <v/>
      </c>
      <c r="W291" t="str">
        <f>IF($A291="","",Allocation!CD291)</f>
        <v/>
      </c>
      <c r="X291" t="str">
        <f>IF($A291="","",Allocation!CE291)</f>
        <v/>
      </c>
      <c r="Y291" t="str">
        <f>IF($A291="","",Allocation!CF291)</f>
        <v/>
      </c>
      <c r="Z291" t="str">
        <f>IF($A291="","",Allocation!CG291)</f>
        <v/>
      </c>
      <c r="AA291" t="str">
        <f>IF($A291="","",Allocation!CH291)</f>
        <v/>
      </c>
      <c r="AB291" t="str">
        <f>IF($A291="","",Allocation!CI291)</f>
        <v/>
      </c>
      <c r="AC291" t="str">
        <f>IF($A291="","",IF(Allocation!$N$4="VOL_EFF",$G291,IF(Allocation!$N$4="VOL_CLASS",$H291,$I291)))</f>
        <v/>
      </c>
      <c r="AD291" t="str">
        <f>IF($A291="","",IF(Allocation!$N$4="VOL_EFF",$L291,IF(Allocation!$N$4="VOL_CLASS",$M291,$N291)))</f>
        <v/>
      </c>
      <c r="AE291" t="str">
        <f>IF($A291="","",IF(Allocation!$N$3="VOL_EFF",$L291,IF(Allocation!$N$3="VOL_CLASS",$M291,$N291)))</f>
        <v/>
      </c>
      <c r="AF291" t="str">
        <f>IF($A291="","",IF(Allocation!$N$3="VOL_EFF",$Q291,IF(Allocation!$N$3="VOL_CLASS",$R291,$S291)))</f>
        <v/>
      </c>
      <c r="AG291" t="str">
        <f>IF($A291="","",IF(Allocation!$N$1="VOL_EFF",$Q291,IF(Allocation!$N$1="VOL_CLASS",$R291,$S291)))</f>
        <v/>
      </c>
      <c r="AH291" t="str">
        <f>IF($A291="","",IF(Allocation!$N$1="VOL_EFF",$T291,IF(Allocation!$N$1="VOL_CLASS",$U291,$V291)))</f>
        <v/>
      </c>
      <c r="AI291" t="str">
        <f t="shared" si="88"/>
        <v/>
      </c>
      <c r="AJ291" t="str">
        <f t="shared" si="89"/>
        <v/>
      </c>
      <c r="AK291" t="str">
        <f t="shared" si="90"/>
        <v/>
      </c>
      <c r="AL291" t="str">
        <f t="shared" si="91"/>
        <v/>
      </c>
      <c r="AM291" t="str">
        <f t="shared" si="92"/>
        <v/>
      </c>
      <c r="AN291" t="str">
        <f t="shared" si="93"/>
        <v/>
      </c>
      <c r="AO291" t="str">
        <f>IF($A291="","",Allocation!CJ291)</f>
        <v/>
      </c>
      <c r="AP291" t="str">
        <f>IF($A291="","",IF(Allocation!$N$2="VOL_EFF",$Q291,IF(Allocation!$N$2="VOL_CLASS",$R291,$S291)))</f>
        <v/>
      </c>
      <c r="AQ291" t="str">
        <f>IF($A291="","",IF(Allocation!$N$2="VOL_EFF",$T291,IF(Allocation!$N$2="VOL_CLASS",$U291,$V291)))</f>
        <v/>
      </c>
      <c r="AR291" t="str">
        <f t="shared" si="94"/>
        <v/>
      </c>
      <c r="AS291" t="str">
        <f>IF($A291="","",$A291&amp;"|"&amp;Allocation!BG291)</f>
        <v/>
      </c>
    </row>
    <row r="292" spans="1:45" x14ac:dyDescent="0.45">
      <c r="A292" t="str">
        <f>IF(Allocation!BI292="","",Allocation!BI292)</f>
        <v/>
      </c>
      <c r="B292" t="str">
        <f>IF(Allocation!BJ292="","",Allocation!BJ292)</f>
        <v/>
      </c>
      <c r="C292" t="str">
        <f>IF(Allocation!BK292="","",Allocation!BK292)</f>
        <v/>
      </c>
      <c r="D292" t="str">
        <f>IF(Allocation!BL292="","",Allocation!BL292)</f>
        <v/>
      </c>
      <c r="E292" t="str">
        <f>IF(Allocation!BM292="","",Allocation!BM292)</f>
        <v/>
      </c>
      <c r="F292" t="str">
        <f>IF(Allocation!BN292="","",Allocation!BN292)</f>
        <v/>
      </c>
      <c r="G292" t="str">
        <f>IF(Allocation!BO292="","",Allocation!BO292)</f>
        <v/>
      </c>
      <c r="H292" t="str">
        <f>IF(Allocation!BP292="","",Allocation!BP292)</f>
        <v/>
      </c>
      <c r="I292" t="str">
        <f>IF(Allocation!BQ292="","",Allocation!BQ292)</f>
        <v/>
      </c>
      <c r="J292" t="str">
        <f>IF(Allocation!CC292="","",Allocation!CC292)</f>
        <v/>
      </c>
      <c r="K292" t="str">
        <f t="shared" si="76"/>
        <v/>
      </c>
      <c r="L292" t="str">
        <f t="shared" si="77"/>
        <v/>
      </c>
      <c r="M292" t="str">
        <f t="shared" si="78"/>
        <v/>
      </c>
      <c r="N292" t="str">
        <f t="shared" si="79"/>
        <v/>
      </c>
      <c r="O292" t="str">
        <f t="shared" si="80"/>
        <v/>
      </c>
      <c r="P292" t="str">
        <f t="shared" si="81"/>
        <v/>
      </c>
      <c r="Q292" t="str">
        <f t="shared" si="82"/>
        <v/>
      </c>
      <c r="R292" t="str">
        <f t="shared" si="83"/>
        <v/>
      </c>
      <c r="S292" t="str">
        <f t="shared" si="84"/>
        <v/>
      </c>
      <c r="T292" t="str">
        <f t="shared" si="85"/>
        <v/>
      </c>
      <c r="U292" t="str">
        <f t="shared" si="86"/>
        <v/>
      </c>
      <c r="V292" t="str">
        <f t="shared" si="87"/>
        <v/>
      </c>
      <c r="W292" t="str">
        <f>IF($A292="","",Allocation!CD292)</f>
        <v/>
      </c>
      <c r="X292" t="str">
        <f>IF($A292="","",Allocation!CE292)</f>
        <v/>
      </c>
      <c r="Y292" t="str">
        <f>IF($A292="","",Allocation!CF292)</f>
        <v/>
      </c>
      <c r="Z292" t="str">
        <f>IF($A292="","",Allocation!CG292)</f>
        <v/>
      </c>
      <c r="AA292" t="str">
        <f>IF($A292="","",Allocation!CH292)</f>
        <v/>
      </c>
      <c r="AB292" t="str">
        <f>IF($A292="","",Allocation!CI292)</f>
        <v/>
      </c>
      <c r="AC292" t="str">
        <f>IF($A292="","",IF(Allocation!$N$4="VOL_EFF",$G292,IF(Allocation!$N$4="VOL_CLASS",$H292,$I292)))</f>
        <v/>
      </c>
      <c r="AD292" t="str">
        <f>IF($A292="","",IF(Allocation!$N$4="VOL_EFF",$L292,IF(Allocation!$N$4="VOL_CLASS",$M292,$N292)))</f>
        <v/>
      </c>
      <c r="AE292" t="str">
        <f>IF($A292="","",IF(Allocation!$N$3="VOL_EFF",$L292,IF(Allocation!$N$3="VOL_CLASS",$M292,$N292)))</f>
        <v/>
      </c>
      <c r="AF292" t="str">
        <f>IF($A292="","",IF(Allocation!$N$3="VOL_EFF",$Q292,IF(Allocation!$N$3="VOL_CLASS",$R292,$S292)))</f>
        <v/>
      </c>
      <c r="AG292" t="str">
        <f>IF($A292="","",IF(Allocation!$N$1="VOL_EFF",$Q292,IF(Allocation!$N$1="VOL_CLASS",$R292,$S292)))</f>
        <v/>
      </c>
      <c r="AH292" t="str">
        <f>IF($A292="","",IF(Allocation!$N$1="VOL_EFF",$T292,IF(Allocation!$N$1="VOL_CLASS",$U292,$V292)))</f>
        <v/>
      </c>
      <c r="AI292" t="str">
        <f t="shared" si="88"/>
        <v/>
      </c>
      <c r="AJ292" t="str">
        <f t="shared" si="89"/>
        <v/>
      </c>
      <c r="AK292" t="str">
        <f t="shared" si="90"/>
        <v/>
      </c>
      <c r="AL292" t="str">
        <f t="shared" si="91"/>
        <v/>
      </c>
      <c r="AM292" t="str">
        <f t="shared" si="92"/>
        <v/>
      </c>
      <c r="AN292" t="str">
        <f t="shared" si="93"/>
        <v/>
      </c>
      <c r="AO292" t="str">
        <f>IF($A292="","",Allocation!CJ292)</f>
        <v/>
      </c>
      <c r="AP292" t="str">
        <f>IF($A292="","",IF(Allocation!$N$2="VOL_EFF",$Q292,IF(Allocation!$N$2="VOL_CLASS",$R292,$S292)))</f>
        <v/>
      </c>
      <c r="AQ292" t="str">
        <f>IF($A292="","",IF(Allocation!$N$2="VOL_EFF",$T292,IF(Allocation!$N$2="VOL_CLASS",$U292,$V292)))</f>
        <v/>
      </c>
      <c r="AR292" t="str">
        <f t="shared" si="94"/>
        <v/>
      </c>
      <c r="AS292" t="str">
        <f>IF($A292="","",$A292&amp;"|"&amp;Allocation!BG292)</f>
        <v/>
      </c>
    </row>
    <row r="293" spans="1:45" x14ac:dyDescent="0.45">
      <c r="A293" t="str">
        <f>IF(Allocation!BI293="","",Allocation!BI293)</f>
        <v/>
      </c>
      <c r="B293" t="str">
        <f>IF(Allocation!BJ293="","",Allocation!BJ293)</f>
        <v/>
      </c>
      <c r="C293" t="str">
        <f>IF(Allocation!BK293="","",Allocation!BK293)</f>
        <v/>
      </c>
      <c r="D293" t="str">
        <f>IF(Allocation!BL293="","",Allocation!BL293)</f>
        <v/>
      </c>
      <c r="E293" t="str">
        <f>IF(Allocation!BM293="","",Allocation!BM293)</f>
        <v/>
      </c>
      <c r="F293" t="str">
        <f>IF(Allocation!BN293="","",Allocation!BN293)</f>
        <v/>
      </c>
      <c r="G293" t="str">
        <f>IF(Allocation!BO293="","",Allocation!BO293)</f>
        <v/>
      </c>
      <c r="H293" t="str">
        <f>IF(Allocation!BP293="","",Allocation!BP293)</f>
        <v/>
      </c>
      <c r="I293" t="str">
        <f>IF(Allocation!BQ293="","",Allocation!BQ293)</f>
        <v/>
      </c>
      <c r="J293" t="str">
        <f>IF(Allocation!CC293="","",Allocation!CC293)</f>
        <v/>
      </c>
      <c r="K293" t="str">
        <f t="shared" si="76"/>
        <v/>
      </c>
      <c r="L293" t="str">
        <f t="shared" si="77"/>
        <v/>
      </c>
      <c r="M293" t="str">
        <f t="shared" si="78"/>
        <v/>
      </c>
      <c r="N293" t="str">
        <f t="shared" si="79"/>
        <v/>
      </c>
      <c r="O293" t="str">
        <f t="shared" si="80"/>
        <v/>
      </c>
      <c r="P293" t="str">
        <f t="shared" si="81"/>
        <v/>
      </c>
      <c r="Q293" t="str">
        <f t="shared" si="82"/>
        <v/>
      </c>
      <c r="R293" t="str">
        <f t="shared" si="83"/>
        <v/>
      </c>
      <c r="S293" t="str">
        <f t="shared" si="84"/>
        <v/>
      </c>
      <c r="T293" t="str">
        <f t="shared" si="85"/>
        <v/>
      </c>
      <c r="U293" t="str">
        <f t="shared" si="86"/>
        <v/>
      </c>
      <c r="V293" t="str">
        <f t="shared" si="87"/>
        <v/>
      </c>
      <c r="W293" t="str">
        <f>IF($A293="","",Allocation!CD293)</f>
        <v/>
      </c>
      <c r="X293" t="str">
        <f>IF($A293="","",Allocation!CE293)</f>
        <v/>
      </c>
      <c r="Y293" t="str">
        <f>IF($A293="","",Allocation!CF293)</f>
        <v/>
      </c>
      <c r="Z293" t="str">
        <f>IF($A293="","",Allocation!CG293)</f>
        <v/>
      </c>
      <c r="AA293" t="str">
        <f>IF($A293="","",Allocation!CH293)</f>
        <v/>
      </c>
      <c r="AB293" t="str">
        <f>IF($A293="","",Allocation!CI293)</f>
        <v/>
      </c>
      <c r="AC293" t="str">
        <f>IF($A293="","",IF(Allocation!$N$4="VOL_EFF",$G293,IF(Allocation!$N$4="VOL_CLASS",$H293,$I293)))</f>
        <v/>
      </c>
      <c r="AD293" t="str">
        <f>IF($A293="","",IF(Allocation!$N$4="VOL_EFF",$L293,IF(Allocation!$N$4="VOL_CLASS",$M293,$N293)))</f>
        <v/>
      </c>
      <c r="AE293" t="str">
        <f>IF($A293="","",IF(Allocation!$N$3="VOL_EFF",$L293,IF(Allocation!$N$3="VOL_CLASS",$M293,$N293)))</f>
        <v/>
      </c>
      <c r="AF293" t="str">
        <f>IF($A293="","",IF(Allocation!$N$3="VOL_EFF",$Q293,IF(Allocation!$N$3="VOL_CLASS",$R293,$S293)))</f>
        <v/>
      </c>
      <c r="AG293" t="str">
        <f>IF($A293="","",IF(Allocation!$N$1="VOL_EFF",$Q293,IF(Allocation!$N$1="VOL_CLASS",$R293,$S293)))</f>
        <v/>
      </c>
      <c r="AH293" t="str">
        <f>IF($A293="","",IF(Allocation!$N$1="VOL_EFF",$T293,IF(Allocation!$N$1="VOL_CLASS",$U293,$V293)))</f>
        <v/>
      </c>
      <c r="AI293" t="str">
        <f t="shared" si="88"/>
        <v/>
      </c>
      <c r="AJ293" t="str">
        <f t="shared" si="89"/>
        <v/>
      </c>
      <c r="AK293" t="str">
        <f t="shared" si="90"/>
        <v/>
      </c>
      <c r="AL293" t="str">
        <f t="shared" si="91"/>
        <v/>
      </c>
      <c r="AM293" t="str">
        <f t="shared" si="92"/>
        <v/>
      </c>
      <c r="AN293" t="str">
        <f t="shared" si="93"/>
        <v/>
      </c>
      <c r="AO293" t="str">
        <f>IF($A293="","",Allocation!CJ293)</f>
        <v/>
      </c>
      <c r="AP293" t="str">
        <f>IF($A293="","",IF(Allocation!$N$2="VOL_EFF",$Q293,IF(Allocation!$N$2="VOL_CLASS",$R293,$S293)))</f>
        <v/>
      </c>
      <c r="AQ293" t="str">
        <f>IF($A293="","",IF(Allocation!$N$2="VOL_EFF",$T293,IF(Allocation!$N$2="VOL_CLASS",$U293,$V293)))</f>
        <v/>
      </c>
      <c r="AR293" t="str">
        <f t="shared" si="94"/>
        <v/>
      </c>
      <c r="AS293" t="str">
        <f>IF($A293="","",$A293&amp;"|"&amp;Allocation!BG293)</f>
        <v/>
      </c>
    </row>
    <row r="294" spans="1:45" x14ac:dyDescent="0.45">
      <c r="A294" t="str">
        <f>IF(Allocation!BI294="","",Allocation!BI294)</f>
        <v/>
      </c>
      <c r="B294" t="str">
        <f>IF(Allocation!BJ294="","",Allocation!BJ294)</f>
        <v/>
      </c>
      <c r="C294" t="str">
        <f>IF(Allocation!BK294="","",Allocation!BK294)</f>
        <v/>
      </c>
      <c r="D294" t="str">
        <f>IF(Allocation!BL294="","",Allocation!BL294)</f>
        <v/>
      </c>
      <c r="E294" t="str">
        <f>IF(Allocation!BM294="","",Allocation!BM294)</f>
        <v/>
      </c>
      <c r="F294" t="str">
        <f>IF(Allocation!BN294="","",Allocation!BN294)</f>
        <v/>
      </c>
      <c r="G294" t="str">
        <f>IF(Allocation!BO294="","",Allocation!BO294)</f>
        <v/>
      </c>
      <c r="H294" t="str">
        <f>IF(Allocation!BP294="","",Allocation!BP294)</f>
        <v/>
      </c>
      <c r="I294" t="str">
        <f>IF(Allocation!BQ294="","",Allocation!BQ294)</f>
        <v/>
      </c>
      <c r="J294" t="str">
        <f>IF(Allocation!CC294="","",Allocation!CC294)</f>
        <v/>
      </c>
      <c r="K294" t="str">
        <f t="shared" si="76"/>
        <v/>
      </c>
      <c r="L294" t="str">
        <f t="shared" si="77"/>
        <v/>
      </c>
      <c r="M294" t="str">
        <f t="shared" si="78"/>
        <v/>
      </c>
      <c r="N294" t="str">
        <f t="shared" si="79"/>
        <v/>
      </c>
      <c r="O294" t="str">
        <f t="shared" si="80"/>
        <v/>
      </c>
      <c r="P294" t="str">
        <f t="shared" si="81"/>
        <v/>
      </c>
      <c r="Q294" t="str">
        <f t="shared" si="82"/>
        <v/>
      </c>
      <c r="R294" t="str">
        <f t="shared" si="83"/>
        <v/>
      </c>
      <c r="S294" t="str">
        <f t="shared" si="84"/>
        <v/>
      </c>
      <c r="T294" t="str">
        <f t="shared" si="85"/>
        <v/>
      </c>
      <c r="U294" t="str">
        <f t="shared" si="86"/>
        <v/>
      </c>
      <c r="V294" t="str">
        <f t="shared" si="87"/>
        <v/>
      </c>
      <c r="W294" t="str">
        <f>IF($A294="","",Allocation!CD294)</f>
        <v/>
      </c>
      <c r="X294" t="str">
        <f>IF($A294="","",Allocation!CE294)</f>
        <v/>
      </c>
      <c r="Y294" t="str">
        <f>IF($A294="","",Allocation!CF294)</f>
        <v/>
      </c>
      <c r="Z294" t="str">
        <f>IF($A294="","",Allocation!CG294)</f>
        <v/>
      </c>
      <c r="AA294" t="str">
        <f>IF($A294="","",Allocation!CH294)</f>
        <v/>
      </c>
      <c r="AB294" t="str">
        <f>IF($A294="","",Allocation!CI294)</f>
        <v/>
      </c>
      <c r="AC294" t="str">
        <f>IF($A294="","",IF(Allocation!$N$4="VOL_EFF",$G294,IF(Allocation!$N$4="VOL_CLASS",$H294,$I294)))</f>
        <v/>
      </c>
      <c r="AD294" t="str">
        <f>IF($A294="","",IF(Allocation!$N$4="VOL_EFF",$L294,IF(Allocation!$N$4="VOL_CLASS",$M294,$N294)))</f>
        <v/>
      </c>
      <c r="AE294" t="str">
        <f>IF($A294="","",IF(Allocation!$N$3="VOL_EFF",$L294,IF(Allocation!$N$3="VOL_CLASS",$M294,$N294)))</f>
        <v/>
      </c>
      <c r="AF294" t="str">
        <f>IF($A294="","",IF(Allocation!$N$3="VOL_EFF",$Q294,IF(Allocation!$N$3="VOL_CLASS",$R294,$S294)))</f>
        <v/>
      </c>
      <c r="AG294" t="str">
        <f>IF($A294="","",IF(Allocation!$N$1="VOL_EFF",$Q294,IF(Allocation!$N$1="VOL_CLASS",$R294,$S294)))</f>
        <v/>
      </c>
      <c r="AH294" t="str">
        <f>IF($A294="","",IF(Allocation!$N$1="VOL_EFF",$T294,IF(Allocation!$N$1="VOL_CLASS",$U294,$V294)))</f>
        <v/>
      </c>
      <c r="AI294" t="str">
        <f t="shared" si="88"/>
        <v/>
      </c>
      <c r="AJ294" t="str">
        <f t="shared" si="89"/>
        <v/>
      </c>
      <c r="AK294" t="str">
        <f t="shared" si="90"/>
        <v/>
      </c>
      <c r="AL294" t="str">
        <f t="shared" si="91"/>
        <v/>
      </c>
      <c r="AM294" t="str">
        <f t="shared" si="92"/>
        <v/>
      </c>
      <c r="AN294" t="str">
        <f t="shared" si="93"/>
        <v/>
      </c>
      <c r="AO294" t="str">
        <f>IF($A294="","",Allocation!CJ294)</f>
        <v/>
      </c>
      <c r="AP294" t="str">
        <f>IF($A294="","",IF(Allocation!$N$2="VOL_EFF",$Q294,IF(Allocation!$N$2="VOL_CLASS",$R294,$S294)))</f>
        <v/>
      </c>
      <c r="AQ294" t="str">
        <f>IF($A294="","",IF(Allocation!$N$2="VOL_EFF",$T294,IF(Allocation!$N$2="VOL_CLASS",$U294,$V294)))</f>
        <v/>
      </c>
      <c r="AR294" t="str">
        <f t="shared" si="94"/>
        <v/>
      </c>
      <c r="AS294" t="str">
        <f>IF($A294="","",$A294&amp;"|"&amp;Allocation!BG294)</f>
        <v/>
      </c>
    </row>
    <row r="295" spans="1:45" x14ac:dyDescent="0.45">
      <c r="A295" t="str">
        <f>IF(Allocation!BI295="","",Allocation!BI295)</f>
        <v/>
      </c>
      <c r="B295" t="str">
        <f>IF(Allocation!BJ295="","",Allocation!BJ295)</f>
        <v/>
      </c>
      <c r="C295" t="str">
        <f>IF(Allocation!BK295="","",Allocation!BK295)</f>
        <v/>
      </c>
      <c r="D295" t="str">
        <f>IF(Allocation!BL295="","",Allocation!BL295)</f>
        <v/>
      </c>
      <c r="E295" t="str">
        <f>IF(Allocation!BM295="","",Allocation!BM295)</f>
        <v/>
      </c>
      <c r="F295" t="str">
        <f>IF(Allocation!BN295="","",Allocation!BN295)</f>
        <v/>
      </c>
      <c r="G295" t="str">
        <f>IF(Allocation!BO295="","",Allocation!BO295)</f>
        <v/>
      </c>
      <c r="H295" t="str">
        <f>IF(Allocation!BP295="","",Allocation!BP295)</f>
        <v/>
      </c>
      <c r="I295" t="str">
        <f>IF(Allocation!BQ295="","",Allocation!BQ295)</f>
        <v/>
      </c>
      <c r="J295" t="str">
        <f>IF(Allocation!CC295="","",Allocation!CC295)</f>
        <v/>
      </c>
      <c r="K295" t="str">
        <f t="shared" si="76"/>
        <v/>
      </c>
      <c r="L295" t="str">
        <f t="shared" si="77"/>
        <v/>
      </c>
      <c r="M295" t="str">
        <f t="shared" si="78"/>
        <v/>
      </c>
      <c r="N295" t="str">
        <f t="shared" si="79"/>
        <v/>
      </c>
      <c r="O295" t="str">
        <f t="shared" si="80"/>
        <v/>
      </c>
      <c r="P295" t="str">
        <f t="shared" si="81"/>
        <v/>
      </c>
      <c r="Q295" t="str">
        <f t="shared" si="82"/>
        <v/>
      </c>
      <c r="R295" t="str">
        <f t="shared" si="83"/>
        <v/>
      </c>
      <c r="S295" t="str">
        <f t="shared" si="84"/>
        <v/>
      </c>
      <c r="T295" t="str">
        <f t="shared" si="85"/>
        <v/>
      </c>
      <c r="U295" t="str">
        <f t="shared" si="86"/>
        <v/>
      </c>
      <c r="V295" t="str">
        <f t="shared" si="87"/>
        <v/>
      </c>
      <c r="W295" t="str">
        <f>IF($A295="","",Allocation!CD295)</f>
        <v/>
      </c>
      <c r="X295" t="str">
        <f>IF($A295="","",Allocation!CE295)</f>
        <v/>
      </c>
      <c r="Y295" t="str">
        <f>IF($A295="","",Allocation!CF295)</f>
        <v/>
      </c>
      <c r="Z295" t="str">
        <f>IF($A295="","",Allocation!CG295)</f>
        <v/>
      </c>
      <c r="AA295" t="str">
        <f>IF($A295="","",Allocation!CH295)</f>
        <v/>
      </c>
      <c r="AB295" t="str">
        <f>IF($A295="","",Allocation!CI295)</f>
        <v/>
      </c>
      <c r="AC295" t="str">
        <f>IF($A295="","",IF(Allocation!$N$4="VOL_EFF",$G295,IF(Allocation!$N$4="VOL_CLASS",$H295,$I295)))</f>
        <v/>
      </c>
      <c r="AD295" t="str">
        <f>IF($A295="","",IF(Allocation!$N$4="VOL_EFF",$L295,IF(Allocation!$N$4="VOL_CLASS",$M295,$N295)))</f>
        <v/>
      </c>
      <c r="AE295" t="str">
        <f>IF($A295="","",IF(Allocation!$N$3="VOL_EFF",$L295,IF(Allocation!$N$3="VOL_CLASS",$M295,$N295)))</f>
        <v/>
      </c>
      <c r="AF295" t="str">
        <f>IF($A295="","",IF(Allocation!$N$3="VOL_EFF",$Q295,IF(Allocation!$N$3="VOL_CLASS",$R295,$S295)))</f>
        <v/>
      </c>
      <c r="AG295" t="str">
        <f>IF($A295="","",IF(Allocation!$N$1="VOL_EFF",$Q295,IF(Allocation!$N$1="VOL_CLASS",$R295,$S295)))</f>
        <v/>
      </c>
      <c r="AH295" t="str">
        <f>IF($A295="","",IF(Allocation!$N$1="VOL_EFF",$T295,IF(Allocation!$N$1="VOL_CLASS",$U295,$V295)))</f>
        <v/>
      </c>
      <c r="AI295" t="str">
        <f t="shared" si="88"/>
        <v/>
      </c>
      <c r="AJ295" t="str">
        <f t="shared" si="89"/>
        <v/>
      </c>
      <c r="AK295" t="str">
        <f t="shared" si="90"/>
        <v/>
      </c>
      <c r="AL295" t="str">
        <f t="shared" si="91"/>
        <v/>
      </c>
      <c r="AM295" t="str">
        <f t="shared" si="92"/>
        <v/>
      </c>
      <c r="AN295" t="str">
        <f t="shared" si="93"/>
        <v/>
      </c>
      <c r="AO295" t="str">
        <f>IF($A295="","",Allocation!CJ295)</f>
        <v/>
      </c>
      <c r="AP295" t="str">
        <f>IF($A295="","",IF(Allocation!$N$2="VOL_EFF",$Q295,IF(Allocation!$N$2="VOL_CLASS",$R295,$S295)))</f>
        <v/>
      </c>
      <c r="AQ295" t="str">
        <f>IF($A295="","",IF(Allocation!$N$2="VOL_EFF",$T295,IF(Allocation!$N$2="VOL_CLASS",$U295,$V295)))</f>
        <v/>
      </c>
      <c r="AR295" t="str">
        <f t="shared" si="94"/>
        <v/>
      </c>
      <c r="AS295" t="str">
        <f>IF($A295="","",$A295&amp;"|"&amp;Allocation!BG295)</f>
        <v/>
      </c>
    </row>
    <row r="296" spans="1:45" x14ac:dyDescent="0.45">
      <c r="A296" t="str">
        <f>IF(Allocation!BI296="","",Allocation!BI296)</f>
        <v/>
      </c>
      <c r="B296" t="str">
        <f>IF(Allocation!BJ296="","",Allocation!BJ296)</f>
        <v/>
      </c>
      <c r="C296" t="str">
        <f>IF(Allocation!BK296="","",Allocation!BK296)</f>
        <v/>
      </c>
      <c r="D296" t="str">
        <f>IF(Allocation!BL296="","",Allocation!BL296)</f>
        <v/>
      </c>
      <c r="E296" t="str">
        <f>IF(Allocation!BM296="","",Allocation!BM296)</f>
        <v/>
      </c>
      <c r="F296" t="str">
        <f>IF(Allocation!BN296="","",Allocation!BN296)</f>
        <v/>
      </c>
      <c r="G296" t="str">
        <f>IF(Allocation!BO296="","",Allocation!BO296)</f>
        <v/>
      </c>
      <c r="H296" t="str">
        <f>IF(Allocation!BP296="","",Allocation!BP296)</f>
        <v/>
      </c>
      <c r="I296" t="str">
        <f>IF(Allocation!BQ296="","",Allocation!BQ296)</f>
        <v/>
      </c>
      <c r="J296" t="str">
        <f>IF(Allocation!CC296="","",Allocation!CC296)</f>
        <v/>
      </c>
      <c r="K296" t="str">
        <f t="shared" si="76"/>
        <v/>
      </c>
      <c r="L296" t="str">
        <f t="shared" si="77"/>
        <v/>
      </c>
      <c r="M296" t="str">
        <f t="shared" si="78"/>
        <v/>
      </c>
      <c r="N296" t="str">
        <f t="shared" si="79"/>
        <v/>
      </c>
      <c r="O296" t="str">
        <f t="shared" si="80"/>
        <v/>
      </c>
      <c r="P296" t="str">
        <f t="shared" si="81"/>
        <v/>
      </c>
      <c r="Q296" t="str">
        <f t="shared" si="82"/>
        <v/>
      </c>
      <c r="R296" t="str">
        <f t="shared" si="83"/>
        <v/>
      </c>
      <c r="S296" t="str">
        <f t="shared" si="84"/>
        <v/>
      </c>
      <c r="T296" t="str">
        <f t="shared" si="85"/>
        <v/>
      </c>
      <c r="U296" t="str">
        <f t="shared" si="86"/>
        <v/>
      </c>
      <c r="V296" t="str">
        <f t="shared" si="87"/>
        <v/>
      </c>
      <c r="W296" t="str">
        <f>IF($A296="","",Allocation!CD296)</f>
        <v/>
      </c>
      <c r="X296" t="str">
        <f>IF($A296="","",Allocation!CE296)</f>
        <v/>
      </c>
      <c r="Y296" t="str">
        <f>IF($A296="","",Allocation!CF296)</f>
        <v/>
      </c>
      <c r="Z296" t="str">
        <f>IF($A296="","",Allocation!CG296)</f>
        <v/>
      </c>
      <c r="AA296" t="str">
        <f>IF($A296="","",Allocation!CH296)</f>
        <v/>
      </c>
      <c r="AB296" t="str">
        <f>IF($A296="","",Allocation!CI296)</f>
        <v/>
      </c>
      <c r="AC296" t="str">
        <f>IF($A296="","",IF(Allocation!$N$4="VOL_EFF",$G296,IF(Allocation!$N$4="VOL_CLASS",$H296,$I296)))</f>
        <v/>
      </c>
      <c r="AD296" t="str">
        <f>IF($A296="","",IF(Allocation!$N$4="VOL_EFF",$L296,IF(Allocation!$N$4="VOL_CLASS",$M296,$N296)))</f>
        <v/>
      </c>
      <c r="AE296" t="str">
        <f>IF($A296="","",IF(Allocation!$N$3="VOL_EFF",$L296,IF(Allocation!$N$3="VOL_CLASS",$M296,$N296)))</f>
        <v/>
      </c>
      <c r="AF296" t="str">
        <f>IF($A296="","",IF(Allocation!$N$3="VOL_EFF",$Q296,IF(Allocation!$N$3="VOL_CLASS",$R296,$S296)))</f>
        <v/>
      </c>
      <c r="AG296" t="str">
        <f>IF($A296="","",IF(Allocation!$N$1="VOL_EFF",$Q296,IF(Allocation!$N$1="VOL_CLASS",$R296,$S296)))</f>
        <v/>
      </c>
      <c r="AH296" t="str">
        <f>IF($A296="","",IF(Allocation!$N$1="VOL_EFF",$T296,IF(Allocation!$N$1="VOL_CLASS",$U296,$V296)))</f>
        <v/>
      </c>
      <c r="AI296" t="str">
        <f t="shared" si="88"/>
        <v/>
      </c>
      <c r="AJ296" t="str">
        <f t="shared" si="89"/>
        <v/>
      </c>
      <c r="AK296" t="str">
        <f t="shared" si="90"/>
        <v/>
      </c>
      <c r="AL296" t="str">
        <f t="shared" si="91"/>
        <v/>
      </c>
      <c r="AM296" t="str">
        <f t="shared" si="92"/>
        <v/>
      </c>
      <c r="AN296" t="str">
        <f t="shared" si="93"/>
        <v/>
      </c>
      <c r="AO296" t="str">
        <f>IF($A296="","",Allocation!CJ296)</f>
        <v/>
      </c>
      <c r="AP296" t="str">
        <f>IF($A296="","",IF(Allocation!$N$2="VOL_EFF",$Q296,IF(Allocation!$N$2="VOL_CLASS",$R296,$S296)))</f>
        <v/>
      </c>
      <c r="AQ296" t="str">
        <f>IF($A296="","",IF(Allocation!$N$2="VOL_EFF",$T296,IF(Allocation!$N$2="VOL_CLASS",$U296,$V296)))</f>
        <v/>
      </c>
      <c r="AR296" t="str">
        <f t="shared" si="94"/>
        <v/>
      </c>
      <c r="AS296" t="str">
        <f>IF($A296="","",$A296&amp;"|"&amp;Allocation!BG296)</f>
        <v/>
      </c>
    </row>
    <row r="297" spans="1:45" x14ac:dyDescent="0.45">
      <c r="A297" t="str">
        <f>IF(Allocation!BI297="","",Allocation!BI297)</f>
        <v/>
      </c>
      <c r="B297" t="str">
        <f>IF(Allocation!BJ297="","",Allocation!BJ297)</f>
        <v/>
      </c>
      <c r="C297" t="str">
        <f>IF(Allocation!BK297="","",Allocation!BK297)</f>
        <v/>
      </c>
      <c r="D297" t="str">
        <f>IF(Allocation!BL297="","",Allocation!BL297)</f>
        <v/>
      </c>
      <c r="E297" t="str">
        <f>IF(Allocation!BM297="","",Allocation!BM297)</f>
        <v/>
      </c>
      <c r="F297" t="str">
        <f>IF(Allocation!BN297="","",Allocation!BN297)</f>
        <v/>
      </c>
      <c r="G297" t="str">
        <f>IF(Allocation!BO297="","",Allocation!BO297)</f>
        <v/>
      </c>
      <c r="H297" t="str">
        <f>IF(Allocation!BP297="","",Allocation!BP297)</f>
        <v/>
      </c>
      <c r="I297" t="str">
        <f>IF(Allocation!BQ297="","",Allocation!BQ297)</f>
        <v/>
      </c>
      <c r="J297" t="str">
        <f>IF(Allocation!CC297="","",Allocation!CC297)</f>
        <v/>
      </c>
      <c r="K297" t="str">
        <f t="shared" si="76"/>
        <v/>
      </c>
      <c r="L297" t="str">
        <f t="shared" si="77"/>
        <v/>
      </c>
      <c r="M297" t="str">
        <f t="shared" si="78"/>
        <v/>
      </c>
      <c r="N297" t="str">
        <f t="shared" si="79"/>
        <v/>
      </c>
      <c r="O297" t="str">
        <f t="shared" si="80"/>
        <v/>
      </c>
      <c r="P297" t="str">
        <f t="shared" si="81"/>
        <v/>
      </c>
      <c r="Q297" t="str">
        <f t="shared" si="82"/>
        <v/>
      </c>
      <c r="R297" t="str">
        <f t="shared" si="83"/>
        <v/>
      </c>
      <c r="S297" t="str">
        <f t="shared" si="84"/>
        <v/>
      </c>
      <c r="T297" t="str">
        <f t="shared" si="85"/>
        <v/>
      </c>
      <c r="U297" t="str">
        <f t="shared" si="86"/>
        <v/>
      </c>
      <c r="V297" t="str">
        <f t="shared" si="87"/>
        <v/>
      </c>
      <c r="W297" t="str">
        <f>IF($A297="","",Allocation!CD297)</f>
        <v/>
      </c>
      <c r="X297" t="str">
        <f>IF($A297="","",Allocation!CE297)</f>
        <v/>
      </c>
      <c r="Y297" t="str">
        <f>IF($A297="","",Allocation!CF297)</f>
        <v/>
      </c>
      <c r="Z297" t="str">
        <f>IF($A297="","",Allocation!CG297)</f>
        <v/>
      </c>
      <c r="AA297" t="str">
        <f>IF($A297="","",Allocation!CH297)</f>
        <v/>
      </c>
      <c r="AB297" t="str">
        <f>IF($A297="","",Allocation!CI297)</f>
        <v/>
      </c>
      <c r="AC297" t="str">
        <f>IF($A297="","",IF(Allocation!$N$4="VOL_EFF",$G297,IF(Allocation!$N$4="VOL_CLASS",$H297,$I297)))</f>
        <v/>
      </c>
      <c r="AD297" t="str">
        <f>IF($A297="","",IF(Allocation!$N$4="VOL_EFF",$L297,IF(Allocation!$N$4="VOL_CLASS",$M297,$N297)))</f>
        <v/>
      </c>
      <c r="AE297" t="str">
        <f>IF($A297="","",IF(Allocation!$N$3="VOL_EFF",$L297,IF(Allocation!$N$3="VOL_CLASS",$M297,$N297)))</f>
        <v/>
      </c>
      <c r="AF297" t="str">
        <f>IF($A297="","",IF(Allocation!$N$3="VOL_EFF",$Q297,IF(Allocation!$N$3="VOL_CLASS",$R297,$S297)))</f>
        <v/>
      </c>
      <c r="AG297" t="str">
        <f>IF($A297="","",IF(Allocation!$N$1="VOL_EFF",$Q297,IF(Allocation!$N$1="VOL_CLASS",$R297,$S297)))</f>
        <v/>
      </c>
      <c r="AH297" t="str">
        <f>IF($A297="","",IF(Allocation!$N$1="VOL_EFF",$T297,IF(Allocation!$N$1="VOL_CLASS",$U297,$V297)))</f>
        <v/>
      </c>
      <c r="AI297" t="str">
        <f t="shared" si="88"/>
        <v/>
      </c>
      <c r="AJ297" t="str">
        <f t="shared" si="89"/>
        <v/>
      </c>
      <c r="AK297" t="str">
        <f t="shared" si="90"/>
        <v/>
      </c>
      <c r="AL297" t="str">
        <f t="shared" si="91"/>
        <v/>
      </c>
      <c r="AM297" t="str">
        <f t="shared" si="92"/>
        <v/>
      </c>
      <c r="AN297" t="str">
        <f t="shared" si="93"/>
        <v/>
      </c>
      <c r="AO297" t="str">
        <f>IF($A297="","",Allocation!CJ297)</f>
        <v/>
      </c>
      <c r="AP297" t="str">
        <f>IF($A297="","",IF(Allocation!$N$2="VOL_EFF",$Q297,IF(Allocation!$N$2="VOL_CLASS",$R297,$S297)))</f>
        <v/>
      </c>
      <c r="AQ297" t="str">
        <f>IF($A297="","",IF(Allocation!$N$2="VOL_EFF",$T297,IF(Allocation!$N$2="VOL_CLASS",$U297,$V297)))</f>
        <v/>
      </c>
      <c r="AR297" t="str">
        <f t="shared" si="94"/>
        <v/>
      </c>
      <c r="AS297" t="str">
        <f>IF($A297="","",$A297&amp;"|"&amp;Allocation!BG297)</f>
        <v/>
      </c>
    </row>
    <row r="298" spans="1:45" x14ac:dyDescent="0.45">
      <c r="A298" t="str">
        <f>IF(Allocation!BI298="","",Allocation!BI298)</f>
        <v/>
      </c>
      <c r="B298" t="str">
        <f>IF(Allocation!BJ298="","",Allocation!BJ298)</f>
        <v/>
      </c>
      <c r="C298" t="str">
        <f>IF(Allocation!BK298="","",Allocation!BK298)</f>
        <v/>
      </c>
      <c r="D298" t="str">
        <f>IF(Allocation!BL298="","",Allocation!BL298)</f>
        <v/>
      </c>
      <c r="E298" t="str">
        <f>IF(Allocation!BM298="","",Allocation!BM298)</f>
        <v/>
      </c>
      <c r="F298" t="str">
        <f>IF(Allocation!BN298="","",Allocation!BN298)</f>
        <v/>
      </c>
      <c r="G298" t="str">
        <f>IF(Allocation!BO298="","",Allocation!BO298)</f>
        <v/>
      </c>
      <c r="H298" t="str">
        <f>IF(Allocation!BP298="","",Allocation!BP298)</f>
        <v/>
      </c>
      <c r="I298" t="str">
        <f>IF(Allocation!BQ298="","",Allocation!BQ298)</f>
        <v/>
      </c>
      <c r="J298" t="str">
        <f>IF(Allocation!CC298="","",Allocation!CC298)</f>
        <v/>
      </c>
      <c r="K298" t="str">
        <f t="shared" si="76"/>
        <v/>
      </c>
      <c r="L298" t="str">
        <f t="shared" si="77"/>
        <v/>
      </c>
      <c r="M298" t="str">
        <f t="shared" si="78"/>
        <v/>
      </c>
      <c r="N298" t="str">
        <f t="shared" si="79"/>
        <v/>
      </c>
      <c r="O298" t="str">
        <f t="shared" si="80"/>
        <v/>
      </c>
      <c r="P298" t="str">
        <f t="shared" si="81"/>
        <v/>
      </c>
      <c r="Q298" t="str">
        <f t="shared" si="82"/>
        <v/>
      </c>
      <c r="R298" t="str">
        <f t="shared" si="83"/>
        <v/>
      </c>
      <c r="S298" t="str">
        <f t="shared" si="84"/>
        <v/>
      </c>
      <c r="T298" t="str">
        <f t="shared" si="85"/>
        <v/>
      </c>
      <c r="U298" t="str">
        <f t="shared" si="86"/>
        <v/>
      </c>
      <c r="V298" t="str">
        <f t="shared" si="87"/>
        <v/>
      </c>
      <c r="W298" t="str">
        <f>IF($A298="","",Allocation!CD298)</f>
        <v/>
      </c>
      <c r="X298" t="str">
        <f>IF($A298="","",Allocation!CE298)</f>
        <v/>
      </c>
      <c r="Y298" t="str">
        <f>IF($A298="","",Allocation!CF298)</f>
        <v/>
      </c>
      <c r="Z298" t="str">
        <f>IF($A298="","",Allocation!CG298)</f>
        <v/>
      </c>
      <c r="AA298" t="str">
        <f>IF($A298="","",Allocation!CH298)</f>
        <v/>
      </c>
      <c r="AB298" t="str">
        <f>IF($A298="","",Allocation!CI298)</f>
        <v/>
      </c>
      <c r="AC298" t="str">
        <f>IF($A298="","",IF(Allocation!$N$4="VOL_EFF",$G298,IF(Allocation!$N$4="VOL_CLASS",$H298,$I298)))</f>
        <v/>
      </c>
      <c r="AD298" t="str">
        <f>IF($A298="","",IF(Allocation!$N$4="VOL_EFF",$L298,IF(Allocation!$N$4="VOL_CLASS",$M298,$N298)))</f>
        <v/>
      </c>
      <c r="AE298" t="str">
        <f>IF($A298="","",IF(Allocation!$N$3="VOL_EFF",$L298,IF(Allocation!$N$3="VOL_CLASS",$M298,$N298)))</f>
        <v/>
      </c>
      <c r="AF298" t="str">
        <f>IF($A298="","",IF(Allocation!$N$3="VOL_EFF",$Q298,IF(Allocation!$N$3="VOL_CLASS",$R298,$S298)))</f>
        <v/>
      </c>
      <c r="AG298" t="str">
        <f>IF($A298="","",IF(Allocation!$N$1="VOL_EFF",$Q298,IF(Allocation!$N$1="VOL_CLASS",$R298,$S298)))</f>
        <v/>
      </c>
      <c r="AH298" t="str">
        <f>IF($A298="","",IF(Allocation!$N$1="VOL_EFF",$T298,IF(Allocation!$N$1="VOL_CLASS",$U298,$V298)))</f>
        <v/>
      </c>
      <c r="AI298" t="str">
        <f t="shared" si="88"/>
        <v/>
      </c>
      <c r="AJ298" t="str">
        <f t="shared" si="89"/>
        <v/>
      </c>
      <c r="AK298" t="str">
        <f t="shared" si="90"/>
        <v/>
      </c>
      <c r="AL298" t="str">
        <f t="shared" si="91"/>
        <v/>
      </c>
      <c r="AM298" t="str">
        <f t="shared" si="92"/>
        <v/>
      </c>
      <c r="AN298" t="str">
        <f t="shared" si="93"/>
        <v/>
      </c>
      <c r="AO298" t="str">
        <f>IF($A298="","",Allocation!CJ298)</f>
        <v/>
      </c>
      <c r="AP298" t="str">
        <f>IF($A298="","",IF(Allocation!$N$2="VOL_EFF",$Q298,IF(Allocation!$N$2="VOL_CLASS",$R298,$S298)))</f>
        <v/>
      </c>
      <c r="AQ298" t="str">
        <f>IF($A298="","",IF(Allocation!$N$2="VOL_EFF",$T298,IF(Allocation!$N$2="VOL_CLASS",$U298,$V298)))</f>
        <v/>
      </c>
      <c r="AR298" t="str">
        <f t="shared" si="94"/>
        <v/>
      </c>
      <c r="AS298" t="str">
        <f>IF($A298="","",$A298&amp;"|"&amp;Allocation!BG298)</f>
        <v/>
      </c>
    </row>
    <row r="299" spans="1:45" x14ac:dyDescent="0.45">
      <c r="A299" t="str">
        <f>IF(Allocation!BI299="","",Allocation!BI299)</f>
        <v/>
      </c>
      <c r="B299" t="str">
        <f>IF(Allocation!BJ299="","",Allocation!BJ299)</f>
        <v/>
      </c>
      <c r="C299" t="str">
        <f>IF(Allocation!BK299="","",Allocation!BK299)</f>
        <v/>
      </c>
      <c r="D299" t="str">
        <f>IF(Allocation!BL299="","",Allocation!BL299)</f>
        <v/>
      </c>
      <c r="E299" t="str">
        <f>IF(Allocation!BM299="","",Allocation!BM299)</f>
        <v/>
      </c>
      <c r="F299" t="str">
        <f>IF(Allocation!BN299="","",Allocation!BN299)</f>
        <v/>
      </c>
      <c r="G299" t="str">
        <f>IF(Allocation!BO299="","",Allocation!BO299)</f>
        <v/>
      </c>
      <c r="H299" t="str">
        <f>IF(Allocation!BP299="","",Allocation!BP299)</f>
        <v/>
      </c>
      <c r="I299" t="str">
        <f>IF(Allocation!BQ299="","",Allocation!BQ299)</f>
        <v/>
      </c>
      <c r="J299" t="str">
        <f>IF(Allocation!CC299="","",Allocation!CC299)</f>
        <v/>
      </c>
      <c r="K299" t="str">
        <f t="shared" si="76"/>
        <v/>
      </c>
      <c r="L299" t="str">
        <f t="shared" si="77"/>
        <v/>
      </c>
      <c r="M299" t="str">
        <f t="shared" si="78"/>
        <v/>
      </c>
      <c r="N299" t="str">
        <f t="shared" si="79"/>
        <v/>
      </c>
      <c r="O299" t="str">
        <f t="shared" si="80"/>
        <v/>
      </c>
      <c r="P299" t="str">
        <f t="shared" si="81"/>
        <v/>
      </c>
      <c r="Q299" t="str">
        <f t="shared" si="82"/>
        <v/>
      </c>
      <c r="R299" t="str">
        <f t="shared" si="83"/>
        <v/>
      </c>
      <c r="S299" t="str">
        <f t="shared" si="84"/>
        <v/>
      </c>
      <c r="T299" t="str">
        <f t="shared" si="85"/>
        <v/>
      </c>
      <c r="U299" t="str">
        <f t="shared" si="86"/>
        <v/>
      </c>
      <c r="V299" t="str">
        <f t="shared" si="87"/>
        <v/>
      </c>
      <c r="W299" t="str">
        <f>IF($A299="","",Allocation!CD299)</f>
        <v/>
      </c>
      <c r="X299" t="str">
        <f>IF($A299="","",Allocation!CE299)</f>
        <v/>
      </c>
      <c r="Y299" t="str">
        <f>IF($A299="","",Allocation!CF299)</f>
        <v/>
      </c>
      <c r="Z299" t="str">
        <f>IF($A299="","",Allocation!CG299)</f>
        <v/>
      </c>
      <c r="AA299" t="str">
        <f>IF($A299="","",Allocation!CH299)</f>
        <v/>
      </c>
      <c r="AB299" t="str">
        <f>IF($A299="","",Allocation!CI299)</f>
        <v/>
      </c>
      <c r="AC299" t="str">
        <f>IF($A299="","",IF(Allocation!$N$4="VOL_EFF",$G299,IF(Allocation!$N$4="VOL_CLASS",$H299,$I299)))</f>
        <v/>
      </c>
      <c r="AD299" t="str">
        <f>IF($A299="","",IF(Allocation!$N$4="VOL_EFF",$L299,IF(Allocation!$N$4="VOL_CLASS",$M299,$N299)))</f>
        <v/>
      </c>
      <c r="AE299" t="str">
        <f>IF($A299="","",IF(Allocation!$N$3="VOL_EFF",$L299,IF(Allocation!$N$3="VOL_CLASS",$M299,$N299)))</f>
        <v/>
      </c>
      <c r="AF299" t="str">
        <f>IF($A299="","",IF(Allocation!$N$3="VOL_EFF",$Q299,IF(Allocation!$N$3="VOL_CLASS",$R299,$S299)))</f>
        <v/>
      </c>
      <c r="AG299" t="str">
        <f>IF($A299="","",IF(Allocation!$N$1="VOL_EFF",$Q299,IF(Allocation!$N$1="VOL_CLASS",$R299,$S299)))</f>
        <v/>
      </c>
      <c r="AH299" t="str">
        <f>IF($A299="","",IF(Allocation!$N$1="VOL_EFF",$T299,IF(Allocation!$N$1="VOL_CLASS",$U299,$V299)))</f>
        <v/>
      </c>
      <c r="AI299" t="str">
        <f t="shared" si="88"/>
        <v/>
      </c>
      <c r="AJ299" t="str">
        <f t="shared" si="89"/>
        <v/>
      </c>
      <c r="AK299" t="str">
        <f t="shared" si="90"/>
        <v/>
      </c>
      <c r="AL299" t="str">
        <f t="shared" si="91"/>
        <v/>
      </c>
      <c r="AM299" t="str">
        <f t="shared" si="92"/>
        <v/>
      </c>
      <c r="AN299" t="str">
        <f t="shared" si="93"/>
        <v/>
      </c>
      <c r="AO299" t="str">
        <f>IF($A299="","",Allocation!CJ299)</f>
        <v/>
      </c>
      <c r="AP299" t="str">
        <f>IF($A299="","",IF(Allocation!$N$2="VOL_EFF",$Q299,IF(Allocation!$N$2="VOL_CLASS",$R299,$S299)))</f>
        <v/>
      </c>
      <c r="AQ299" t="str">
        <f>IF($A299="","",IF(Allocation!$N$2="VOL_EFF",$T299,IF(Allocation!$N$2="VOL_CLASS",$U299,$V299)))</f>
        <v/>
      </c>
      <c r="AR299" t="str">
        <f t="shared" si="94"/>
        <v/>
      </c>
      <c r="AS299" t="str">
        <f>IF($A299="","",$A299&amp;"|"&amp;Allocation!BG299)</f>
        <v/>
      </c>
    </row>
    <row r="300" spans="1:45" x14ac:dyDescent="0.45">
      <c r="A300" t="str">
        <f>IF(Allocation!BI300="","",Allocation!BI300)</f>
        <v/>
      </c>
      <c r="B300" t="str">
        <f>IF(Allocation!BJ300="","",Allocation!BJ300)</f>
        <v/>
      </c>
      <c r="C300" t="str">
        <f>IF(Allocation!BK300="","",Allocation!BK300)</f>
        <v/>
      </c>
      <c r="D300" t="str">
        <f>IF(Allocation!BL300="","",Allocation!BL300)</f>
        <v/>
      </c>
      <c r="E300" t="str">
        <f>IF(Allocation!BM300="","",Allocation!BM300)</f>
        <v/>
      </c>
      <c r="F300" t="str">
        <f>IF(Allocation!BN300="","",Allocation!BN300)</f>
        <v/>
      </c>
      <c r="G300" t="str">
        <f>IF(Allocation!BO300="","",Allocation!BO300)</f>
        <v/>
      </c>
      <c r="H300" t="str">
        <f>IF(Allocation!BP300="","",Allocation!BP300)</f>
        <v/>
      </c>
      <c r="I300" t="str">
        <f>IF(Allocation!BQ300="","",Allocation!BQ300)</f>
        <v/>
      </c>
      <c r="J300" t="str">
        <f>IF(Allocation!CC300="","",Allocation!CC300)</f>
        <v/>
      </c>
      <c r="K300" t="str">
        <f t="shared" si="76"/>
        <v/>
      </c>
      <c r="L300" t="str">
        <f t="shared" si="77"/>
        <v/>
      </c>
      <c r="M300" t="str">
        <f t="shared" si="78"/>
        <v/>
      </c>
      <c r="N300" t="str">
        <f t="shared" si="79"/>
        <v/>
      </c>
      <c r="O300" t="str">
        <f t="shared" si="80"/>
        <v/>
      </c>
      <c r="P300" t="str">
        <f t="shared" si="81"/>
        <v/>
      </c>
      <c r="Q300" t="str">
        <f t="shared" si="82"/>
        <v/>
      </c>
      <c r="R300" t="str">
        <f t="shared" si="83"/>
        <v/>
      </c>
      <c r="S300" t="str">
        <f t="shared" si="84"/>
        <v/>
      </c>
      <c r="T300" t="str">
        <f t="shared" si="85"/>
        <v/>
      </c>
      <c r="U300" t="str">
        <f t="shared" si="86"/>
        <v/>
      </c>
      <c r="V300" t="str">
        <f t="shared" si="87"/>
        <v/>
      </c>
      <c r="W300" t="str">
        <f>IF($A300="","",Allocation!CD300)</f>
        <v/>
      </c>
      <c r="X300" t="str">
        <f>IF($A300="","",Allocation!CE300)</f>
        <v/>
      </c>
      <c r="Y300" t="str">
        <f>IF($A300="","",Allocation!CF300)</f>
        <v/>
      </c>
      <c r="Z300" t="str">
        <f>IF($A300="","",Allocation!CG300)</f>
        <v/>
      </c>
      <c r="AA300" t="str">
        <f>IF($A300="","",Allocation!CH300)</f>
        <v/>
      </c>
      <c r="AB300" t="str">
        <f>IF($A300="","",Allocation!CI300)</f>
        <v/>
      </c>
      <c r="AC300" t="str">
        <f>IF($A300="","",IF(Allocation!$N$4="VOL_EFF",$G300,IF(Allocation!$N$4="VOL_CLASS",$H300,$I300)))</f>
        <v/>
      </c>
      <c r="AD300" t="str">
        <f>IF($A300="","",IF(Allocation!$N$4="VOL_EFF",$L300,IF(Allocation!$N$4="VOL_CLASS",$M300,$N300)))</f>
        <v/>
      </c>
      <c r="AE300" t="str">
        <f>IF($A300="","",IF(Allocation!$N$3="VOL_EFF",$L300,IF(Allocation!$N$3="VOL_CLASS",$M300,$N300)))</f>
        <v/>
      </c>
      <c r="AF300" t="str">
        <f>IF($A300="","",IF(Allocation!$N$3="VOL_EFF",$Q300,IF(Allocation!$N$3="VOL_CLASS",$R300,$S300)))</f>
        <v/>
      </c>
      <c r="AG300" t="str">
        <f>IF($A300="","",IF(Allocation!$N$1="VOL_EFF",$Q300,IF(Allocation!$N$1="VOL_CLASS",$R300,$S300)))</f>
        <v/>
      </c>
      <c r="AH300" t="str">
        <f>IF($A300="","",IF(Allocation!$N$1="VOL_EFF",$T300,IF(Allocation!$N$1="VOL_CLASS",$U300,$V300)))</f>
        <v/>
      </c>
      <c r="AI300" t="str">
        <f t="shared" si="88"/>
        <v/>
      </c>
      <c r="AJ300" t="str">
        <f t="shared" si="89"/>
        <v/>
      </c>
      <c r="AK300" t="str">
        <f t="shared" si="90"/>
        <v/>
      </c>
      <c r="AL300" t="str">
        <f t="shared" si="91"/>
        <v/>
      </c>
      <c r="AM300" t="str">
        <f t="shared" si="92"/>
        <v/>
      </c>
      <c r="AN300" t="str">
        <f t="shared" si="93"/>
        <v/>
      </c>
      <c r="AO300" t="str">
        <f>IF($A300="","",Allocation!CJ300)</f>
        <v/>
      </c>
      <c r="AP300" t="str">
        <f>IF($A300="","",IF(Allocation!$N$2="VOL_EFF",$Q300,IF(Allocation!$N$2="VOL_CLASS",$R300,$S300)))</f>
        <v/>
      </c>
      <c r="AQ300" t="str">
        <f>IF($A300="","",IF(Allocation!$N$2="VOL_EFF",$T300,IF(Allocation!$N$2="VOL_CLASS",$U300,$V300)))</f>
        <v/>
      </c>
      <c r="AR300" t="str">
        <f t="shared" si="94"/>
        <v/>
      </c>
      <c r="AS300" t="str">
        <f>IF($A300="","",$A300&amp;"|"&amp;Allocation!BG300)</f>
        <v/>
      </c>
    </row>
    <row r="301" spans="1:45" x14ac:dyDescent="0.45">
      <c r="A301" t="str">
        <f>IF(Allocation!BI301="","",Allocation!BI301)</f>
        <v/>
      </c>
      <c r="B301" t="str">
        <f>IF(Allocation!BJ301="","",Allocation!BJ301)</f>
        <v/>
      </c>
      <c r="C301" t="str">
        <f>IF(Allocation!BK301="","",Allocation!BK301)</f>
        <v/>
      </c>
      <c r="D301" t="str">
        <f>IF(Allocation!BL301="","",Allocation!BL301)</f>
        <v/>
      </c>
      <c r="E301" t="str">
        <f>IF(Allocation!BM301="","",Allocation!BM301)</f>
        <v/>
      </c>
      <c r="F301" t="str">
        <f>IF(Allocation!BN301="","",Allocation!BN301)</f>
        <v/>
      </c>
      <c r="G301" t="str">
        <f>IF(Allocation!BO301="","",Allocation!BO301)</f>
        <v/>
      </c>
      <c r="H301" t="str">
        <f>IF(Allocation!BP301="","",Allocation!BP301)</f>
        <v/>
      </c>
      <c r="I301" t="str">
        <f>IF(Allocation!BQ301="","",Allocation!BQ301)</f>
        <v/>
      </c>
      <c r="J301" t="str">
        <f>IF(Allocation!CC301="","",Allocation!CC301)</f>
        <v/>
      </c>
      <c r="K301" t="str">
        <f t="shared" si="76"/>
        <v/>
      </c>
      <c r="L301" t="str">
        <f t="shared" si="77"/>
        <v/>
      </c>
      <c r="M301" t="str">
        <f t="shared" si="78"/>
        <v/>
      </c>
      <c r="N301" t="str">
        <f t="shared" si="79"/>
        <v/>
      </c>
      <c r="O301" t="str">
        <f t="shared" si="80"/>
        <v/>
      </c>
      <c r="P301" t="str">
        <f t="shared" si="81"/>
        <v/>
      </c>
      <c r="Q301" t="str">
        <f t="shared" si="82"/>
        <v/>
      </c>
      <c r="R301" t="str">
        <f t="shared" si="83"/>
        <v/>
      </c>
      <c r="S301" t="str">
        <f t="shared" si="84"/>
        <v/>
      </c>
      <c r="T301" t="str">
        <f t="shared" si="85"/>
        <v/>
      </c>
      <c r="U301" t="str">
        <f t="shared" si="86"/>
        <v/>
      </c>
      <c r="V301" t="str">
        <f t="shared" si="87"/>
        <v/>
      </c>
      <c r="W301" t="str">
        <f>IF($A301="","",Allocation!CD301)</f>
        <v/>
      </c>
      <c r="X301" t="str">
        <f>IF($A301="","",Allocation!CE301)</f>
        <v/>
      </c>
      <c r="Y301" t="str">
        <f>IF($A301="","",Allocation!CF301)</f>
        <v/>
      </c>
      <c r="Z301" t="str">
        <f>IF($A301="","",Allocation!CG301)</f>
        <v/>
      </c>
      <c r="AA301" t="str">
        <f>IF($A301="","",Allocation!CH301)</f>
        <v/>
      </c>
      <c r="AB301" t="str">
        <f>IF($A301="","",Allocation!CI301)</f>
        <v/>
      </c>
      <c r="AC301" t="str">
        <f>IF($A301="","",IF(Allocation!$N$4="VOL_EFF",$G301,IF(Allocation!$N$4="VOL_CLASS",$H301,$I301)))</f>
        <v/>
      </c>
      <c r="AD301" t="str">
        <f>IF($A301="","",IF(Allocation!$N$4="VOL_EFF",$L301,IF(Allocation!$N$4="VOL_CLASS",$M301,$N301)))</f>
        <v/>
      </c>
      <c r="AE301" t="str">
        <f>IF($A301="","",IF(Allocation!$N$3="VOL_EFF",$L301,IF(Allocation!$N$3="VOL_CLASS",$M301,$N301)))</f>
        <v/>
      </c>
      <c r="AF301" t="str">
        <f>IF($A301="","",IF(Allocation!$N$3="VOL_EFF",$Q301,IF(Allocation!$N$3="VOL_CLASS",$R301,$S301)))</f>
        <v/>
      </c>
      <c r="AG301" t="str">
        <f>IF($A301="","",IF(Allocation!$N$1="VOL_EFF",$Q301,IF(Allocation!$N$1="VOL_CLASS",$R301,$S301)))</f>
        <v/>
      </c>
      <c r="AH301" t="str">
        <f>IF($A301="","",IF(Allocation!$N$1="VOL_EFF",$T301,IF(Allocation!$N$1="VOL_CLASS",$U301,$V301)))</f>
        <v/>
      </c>
      <c r="AI301" t="str">
        <f t="shared" si="88"/>
        <v/>
      </c>
      <c r="AJ301" t="str">
        <f t="shared" si="89"/>
        <v/>
      </c>
      <c r="AK301" t="str">
        <f t="shared" si="90"/>
        <v/>
      </c>
      <c r="AL301" t="str">
        <f t="shared" si="91"/>
        <v/>
      </c>
      <c r="AM301" t="str">
        <f t="shared" si="92"/>
        <v/>
      </c>
      <c r="AN301" t="str">
        <f t="shared" si="93"/>
        <v/>
      </c>
      <c r="AO301" t="str">
        <f>IF($A301="","",Allocation!CJ301)</f>
        <v/>
      </c>
      <c r="AP301" t="str">
        <f>IF($A301="","",IF(Allocation!$N$2="VOL_EFF",$Q301,IF(Allocation!$N$2="VOL_CLASS",$R301,$S301)))</f>
        <v/>
      </c>
      <c r="AQ301" t="str">
        <f>IF($A301="","",IF(Allocation!$N$2="VOL_EFF",$T301,IF(Allocation!$N$2="VOL_CLASS",$U301,$V301)))</f>
        <v/>
      </c>
      <c r="AR301" t="str">
        <f t="shared" si="94"/>
        <v/>
      </c>
      <c r="AS301" t="str">
        <f>IF($A301="","",$A301&amp;"|"&amp;Allocation!BG301)</f>
        <v/>
      </c>
    </row>
    <row r="302" spans="1:45" x14ac:dyDescent="0.45">
      <c r="A302" t="str">
        <f>IF(Allocation!BI302="","",Allocation!BI302)</f>
        <v/>
      </c>
      <c r="B302" t="str">
        <f>IF(Allocation!BJ302="","",Allocation!BJ302)</f>
        <v/>
      </c>
      <c r="C302" t="str">
        <f>IF(Allocation!BK302="","",Allocation!BK302)</f>
        <v/>
      </c>
      <c r="D302" t="str">
        <f>IF(Allocation!BL302="","",Allocation!BL302)</f>
        <v/>
      </c>
      <c r="E302" t="str">
        <f>IF(Allocation!BM302="","",Allocation!BM302)</f>
        <v/>
      </c>
      <c r="F302" t="str">
        <f>IF(Allocation!BN302="","",Allocation!BN302)</f>
        <v/>
      </c>
      <c r="G302" t="str">
        <f>IF(Allocation!BO302="","",Allocation!BO302)</f>
        <v/>
      </c>
      <c r="H302" t="str">
        <f>IF(Allocation!BP302="","",Allocation!BP302)</f>
        <v/>
      </c>
      <c r="I302" t="str">
        <f>IF(Allocation!BQ302="","",Allocation!BQ302)</f>
        <v/>
      </c>
      <c r="J302" t="str">
        <f>IF(Allocation!CC302="","",Allocation!CC302)</f>
        <v/>
      </c>
      <c r="K302" t="str">
        <f t="shared" si="76"/>
        <v/>
      </c>
      <c r="L302" t="str">
        <f t="shared" si="77"/>
        <v/>
      </c>
      <c r="M302" t="str">
        <f t="shared" si="78"/>
        <v/>
      </c>
      <c r="N302" t="str">
        <f t="shared" si="79"/>
        <v/>
      </c>
      <c r="O302" t="str">
        <f t="shared" si="80"/>
        <v/>
      </c>
      <c r="P302" t="str">
        <f t="shared" si="81"/>
        <v/>
      </c>
      <c r="Q302" t="str">
        <f t="shared" si="82"/>
        <v/>
      </c>
      <c r="R302" t="str">
        <f t="shared" si="83"/>
        <v/>
      </c>
      <c r="S302" t="str">
        <f t="shared" si="84"/>
        <v/>
      </c>
      <c r="T302" t="str">
        <f t="shared" si="85"/>
        <v/>
      </c>
      <c r="U302" t="str">
        <f t="shared" si="86"/>
        <v/>
      </c>
      <c r="V302" t="str">
        <f t="shared" si="87"/>
        <v/>
      </c>
      <c r="W302" t="str">
        <f>IF($A302="","",Allocation!CD302)</f>
        <v/>
      </c>
      <c r="X302" t="str">
        <f>IF($A302="","",Allocation!CE302)</f>
        <v/>
      </c>
      <c r="Y302" t="str">
        <f>IF($A302="","",Allocation!CF302)</f>
        <v/>
      </c>
      <c r="Z302" t="str">
        <f>IF($A302="","",Allocation!CG302)</f>
        <v/>
      </c>
      <c r="AA302" t="str">
        <f>IF($A302="","",Allocation!CH302)</f>
        <v/>
      </c>
      <c r="AB302" t="str">
        <f>IF($A302="","",Allocation!CI302)</f>
        <v/>
      </c>
      <c r="AC302" t="str">
        <f>IF($A302="","",IF(Allocation!$N$4="VOL_EFF",$G302,IF(Allocation!$N$4="VOL_CLASS",$H302,$I302)))</f>
        <v/>
      </c>
      <c r="AD302" t="str">
        <f>IF($A302="","",IF(Allocation!$N$4="VOL_EFF",$L302,IF(Allocation!$N$4="VOL_CLASS",$M302,$N302)))</f>
        <v/>
      </c>
      <c r="AE302" t="str">
        <f>IF($A302="","",IF(Allocation!$N$3="VOL_EFF",$L302,IF(Allocation!$N$3="VOL_CLASS",$M302,$N302)))</f>
        <v/>
      </c>
      <c r="AF302" t="str">
        <f>IF($A302="","",IF(Allocation!$N$3="VOL_EFF",$Q302,IF(Allocation!$N$3="VOL_CLASS",$R302,$S302)))</f>
        <v/>
      </c>
      <c r="AG302" t="str">
        <f>IF($A302="","",IF(Allocation!$N$1="VOL_EFF",$Q302,IF(Allocation!$N$1="VOL_CLASS",$R302,$S302)))</f>
        <v/>
      </c>
      <c r="AH302" t="str">
        <f>IF($A302="","",IF(Allocation!$N$1="VOL_EFF",$T302,IF(Allocation!$N$1="VOL_CLASS",$U302,$V302)))</f>
        <v/>
      </c>
      <c r="AI302" t="str">
        <f t="shared" si="88"/>
        <v/>
      </c>
      <c r="AJ302" t="str">
        <f t="shared" si="89"/>
        <v/>
      </c>
      <c r="AK302" t="str">
        <f t="shared" si="90"/>
        <v/>
      </c>
      <c r="AL302" t="str">
        <f t="shared" si="91"/>
        <v/>
      </c>
      <c r="AM302" t="str">
        <f t="shared" si="92"/>
        <v/>
      </c>
      <c r="AN302" t="str">
        <f t="shared" si="93"/>
        <v/>
      </c>
      <c r="AO302" t="str">
        <f>IF($A302="","",Allocation!CJ302)</f>
        <v/>
      </c>
      <c r="AP302" t="str">
        <f>IF($A302="","",IF(Allocation!$N$2="VOL_EFF",$Q302,IF(Allocation!$N$2="VOL_CLASS",$R302,$S302)))</f>
        <v/>
      </c>
      <c r="AQ302" t="str">
        <f>IF($A302="","",IF(Allocation!$N$2="VOL_EFF",$T302,IF(Allocation!$N$2="VOL_CLASS",$U302,$V302)))</f>
        <v/>
      </c>
      <c r="AR302" t="str">
        <f t="shared" si="94"/>
        <v/>
      </c>
      <c r="AS302" t="str">
        <f>IF($A302="","",$A302&amp;"|"&amp;Allocation!BG302)</f>
        <v/>
      </c>
    </row>
    <row r="303" spans="1:45" x14ac:dyDescent="0.45">
      <c r="A303" t="str">
        <f>IF(Allocation!BI303="","",Allocation!BI303)</f>
        <v/>
      </c>
      <c r="B303" t="str">
        <f>IF(Allocation!BJ303="","",Allocation!BJ303)</f>
        <v/>
      </c>
      <c r="C303" t="str">
        <f>IF(Allocation!BK303="","",Allocation!BK303)</f>
        <v/>
      </c>
      <c r="D303" t="str">
        <f>IF(Allocation!BL303="","",Allocation!BL303)</f>
        <v/>
      </c>
      <c r="E303" t="str">
        <f>IF(Allocation!BM303="","",Allocation!BM303)</f>
        <v/>
      </c>
      <c r="F303" t="str">
        <f>IF(Allocation!BN303="","",Allocation!BN303)</f>
        <v/>
      </c>
      <c r="G303" t="str">
        <f>IF(Allocation!BO303="","",Allocation!BO303)</f>
        <v/>
      </c>
      <c r="H303" t="str">
        <f>IF(Allocation!BP303="","",Allocation!BP303)</f>
        <v/>
      </c>
      <c r="I303" t="str">
        <f>IF(Allocation!BQ303="","",Allocation!BQ303)</f>
        <v/>
      </c>
      <c r="J303" t="str">
        <f>IF(Allocation!CC303="","",Allocation!CC303)</f>
        <v/>
      </c>
      <c r="K303" t="str">
        <f t="shared" si="76"/>
        <v/>
      </c>
      <c r="L303" t="str">
        <f t="shared" si="77"/>
        <v/>
      </c>
      <c r="M303" t="str">
        <f t="shared" si="78"/>
        <v/>
      </c>
      <c r="N303" t="str">
        <f t="shared" si="79"/>
        <v/>
      </c>
      <c r="O303" t="str">
        <f t="shared" si="80"/>
        <v/>
      </c>
      <c r="P303" t="str">
        <f t="shared" si="81"/>
        <v/>
      </c>
      <c r="Q303" t="str">
        <f t="shared" si="82"/>
        <v/>
      </c>
      <c r="R303" t="str">
        <f t="shared" si="83"/>
        <v/>
      </c>
      <c r="S303" t="str">
        <f t="shared" si="84"/>
        <v/>
      </c>
      <c r="T303" t="str">
        <f t="shared" si="85"/>
        <v/>
      </c>
      <c r="U303" t="str">
        <f t="shared" si="86"/>
        <v/>
      </c>
      <c r="V303" t="str">
        <f t="shared" si="87"/>
        <v/>
      </c>
      <c r="W303" t="str">
        <f>IF($A303="","",Allocation!CD303)</f>
        <v/>
      </c>
      <c r="X303" t="str">
        <f>IF($A303="","",Allocation!CE303)</f>
        <v/>
      </c>
      <c r="Y303" t="str">
        <f>IF($A303="","",Allocation!CF303)</f>
        <v/>
      </c>
      <c r="Z303" t="str">
        <f>IF($A303="","",Allocation!CG303)</f>
        <v/>
      </c>
      <c r="AA303" t="str">
        <f>IF($A303="","",Allocation!CH303)</f>
        <v/>
      </c>
      <c r="AB303" t="str">
        <f>IF($A303="","",Allocation!CI303)</f>
        <v/>
      </c>
      <c r="AC303" t="str">
        <f>IF($A303="","",IF(Allocation!$N$4="VOL_EFF",$G303,IF(Allocation!$N$4="VOL_CLASS",$H303,$I303)))</f>
        <v/>
      </c>
      <c r="AD303" t="str">
        <f>IF($A303="","",IF(Allocation!$N$4="VOL_EFF",$L303,IF(Allocation!$N$4="VOL_CLASS",$M303,$N303)))</f>
        <v/>
      </c>
      <c r="AE303" t="str">
        <f>IF($A303="","",IF(Allocation!$N$3="VOL_EFF",$L303,IF(Allocation!$N$3="VOL_CLASS",$M303,$N303)))</f>
        <v/>
      </c>
      <c r="AF303" t="str">
        <f>IF($A303="","",IF(Allocation!$N$3="VOL_EFF",$Q303,IF(Allocation!$N$3="VOL_CLASS",$R303,$S303)))</f>
        <v/>
      </c>
      <c r="AG303" t="str">
        <f>IF($A303="","",IF(Allocation!$N$1="VOL_EFF",$Q303,IF(Allocation!$N$1="VOL_CLASS",$R303,$S303)))</f>
        <v/>
      </c>
      <c r="AH303" t="str">
        <f>IF($A303="","",IF(Allocation!$N$1="VOL_EFF",$T303,IF(Allocation!$N$1="VOL_CLASS",$U303,$V303)))</f>
        <v/>
      </c>
      <c r="AI303" t="str">
        <f t="shared" si="88"/>
        <v/>
      </c>
      <c r="AJ303" t="str">
        <f t="shared" si="89"/>
        <v/>
      </c>
      <c r="AK303" t="str">
        <f t="shared" si="90"/>
        <v/>
      </c>
      <c r="AL303" t="str">
        <f t="shared" si="91"/>
        <v/>
      </c>
      <c r="AM303" t="str">
        <f t="shared" si="92"/>
        <v/>
      </c>
      <c r="AN303" t="str">
        <f t="shared" si="93"/>
        <v/>
      </c>
      <c r="AO303" t="str">
        <f>IF($A303="","",Allocation!CJ303)</f>
        <v/>
      </c>
      <c r="AP303" t="str">
        <f>IF($A303="","",IF(Allocation!$N$2="VOL_EFF",$Q303,IF(Allocation!$N$2="VOL_CLASS",$R303,$S303)))</f>
        <v/>
      </c>
      <c r="AQ303" t="str">
        <f>IF($A303="","",IF(Allocation!$N$2="VOL_EFF",$T303,IF(Allocation!$N$2="VOL_CLASS",$U303,$V303)))</f>
        <v/>
      </c>
      <c r="AR303" t="str">
        <f t="shared" si="94"/>
        <v/>
      </c>
      <c r="AS303" t="str">
        <f>IF($A303="","",$A303&amp;"|"&amp;Allocation!BG303)</f>
        <v/>
      </c>
    </row>
    <row r="304" spans="1:45" x14ac:dyDescent="0.45">
      <c r="A304" t="str">
        <f>IF(Allocation!BI304="","",Allocation!BI304)</f>
        <v/>
      </c>
      <c r="B304" t="str">
        <f>IF(Allocation!BJ304="","",Allocation!BJ304)</f>
        <v/>
      </c>
      <c r="C304" t="str">
        <f>IF(Allocation!BK304="","",Allocation!BK304)</f>
        <v/>
      </c>
      <c r="D304" t="str">
        <f>IF(Allocation!BL304="","",Allocation!BL304)</f>
        <v/>
      </c>
      <c r="E304" t="str">
        <f>IF(Allocation!BM304="","",Allocation!BM304)</f>
        <v/>
      </c>
      <c r="F304" t="str">
        <f>IF(Allocation!BN304="","",Allocation!BN304)</f>
        <v/>
      </c>
      <c r="G304" t="str">
        <f>IF(Allocation!BO304="","",Allocation!BO304)</f>
        <v/>
      </c>
      <c r="H304" t="str">
        <f>IF(Allocation!BP304="","",Allocation!BP304)</f>
        <v/>
      </c>
      <c r="I304" t="str">
        <f>IF(Allocation!BQ304="","",Allocation!BQ304)</f>
        <v/>
      </c>
      <c r="J304" t="str">
        <f>IF(Allocation!CC304="","",Allocation!CC304)</f>
        <v/>
      </c>
      <c r="K304" t="str">
        <f t="shared" si="76"/>
        <v/>
      </c>
      <c r="L304" t="str">
        <f t="shared" si="77"/>
        <v/>
      </c>
      <c r="M304" t="str">
        <f t="shared" si="78"/>
        <v/>
      </c>
      <c r="N304" t="str">
        <f t="shared" si="79"/>
        <v/>
      </c>
      <c r="O304" t="str">
        <f t="shared" si="80"/>
        <v/>
      </c>
      <c r="P304" t="str">
        <f t="shared" si="81"/>
        <v/>
      </c>
      <c r="Q304" t="str">
        <f t="shared" si="82"/>
        <v/>
      </c>
      <c r="R304" t="str">
        <f t="shared" si="83"/>
        <v/>
      </c>
      <c r="S304" t="str">
        <f t="shared" si="84"/>
        <v/>
      </c>
      <c r="T304" t="str">
        <f t="shared" si="85"/>
        <v/>
      </c>
      <c r="U304" t="str">
        <f t="shared" si="86"/>
        <v/>
      </c>
      <c r="V304" t="str">
        <f t="shared" si="87"/>
        <v/>
      </c>
      <c r="W304" t="str">
        <f>IF($A304="","",Allocation!CD304)</f>
        <v/>
      </c>
      <c r="X304" t="str">
        <f>IF($A304="","",Allocation!CE304)</f>
        <v/>
      </c>
      <c r="Y304" t="str">
        <f>IF($A304="","",Allocation!CF304)</f>
        <v/>
      </c>
      <c r="Z304" t="str">
        <f>IF($A304="","",Allocation!CG304)</f>
        <v/>
      </c>
      <c r="AA304" t="str">
        <f>IF($A304="","",Allocation!CH304)</f>
        <v/>
      </c>
      <c r="AB304" t="str">
        <f>IF($A304="","",Allocation!CI304)</f>
        <v/>
      </c>
      <c r="AC304" t="str">
        <f>IF($A304="","",IF(Allocation!$N$4="VOL_EFF",$G304,IF(Allocation!$N$4="VOL_CLASS",$H304,$I304)))</f>
        <v/>
      </c>
      <c r="AD304" t="str">
        <f>IF($A304="","",IF(Allocation!$N$4="VOL_EFF",$L304,IF(Allocation!$N$4="VOL_CLASS",$M304,$N304)))</f>
        <v/>
      </c>
      <c r="AE304" t="str">
        <f>IF($A304="","",IF(Allocation!$N$3="VOL_EFF",$L304,IF(Allocation!$N$3="VOL_CLASS",$M304,$N304)))</f>
        <v/>
      </c>
      <c r="AF304" t="str">
        <f>IF($A304="","",IF(Allocation!$N$3="VOL_EFF",$Q304,IF(Allocation!$N$3="VOL_CLASS",$R304,$S304)))</f>
        <v/>
      </c>
      <c r="AG304" t="str">
        <f>IF($A304="","",IF(Allocation!$N$1="VOL_EFF",$Q304,IF(Allocation!$N$1="VOL_CLASS",$R304,$S304)))</f>
        <v/>
      </c>
      <c r="AH304" t="str">
        <f>IF($A304="","",IF(Allocation!$N$1="VOL_EFF",$T304,IF(Allocation!$N$1="VOL_CLASS",$U304,$V304)))</f>
        <v/>
      </c>
      <c r="AI304" t="str">
        <f t="shared" si="88"/>
        <v/>
      </c>
      <c r="AJ304" t="str">
        <f t="shared" si="89"/>
        <v/>
      </c>
      <c r="AK304" t="str">
        <f t="shared" si="90"/>
        <v/>
      </c>
      <c r="AL304" t="str">
        <f t="shared" si="91"/>
        <v/>
      </c>
      <c r="AM304" t="str">
        <f t="shared" si="92"/>
        <v/>
      </c>
      <c r="AN304" t="str">
        <f t="shared" si="93"/>
        <v/>
      </c>
      <c r="AO304" t="str">
        <f>IF($A304="","",Allocation!CJ304)</f>
        <v/>
      </c>
      <c r="AP304" t="str">
        <f>IF($A304="","",IF(Allocation!$N$2="VOL_EFF",$Q304,IF(Allocation!$N$2="VOL_CLASS",$R304,$S304)))</f>
        <v/>
      </c>
      <c r="AQ304" t="str">
        <f>IF($A304="","",IF(Allocation!$N$2="VOL_EFF",$T304,IF(Allocation!$N$2="VOL_CLASS",$U304,$V304)))</f>
        <v/>
      </c>
      <c r="AR304" t="str">
        <f t="shared" si="94"/>
        <v/>
      </c>
      <c r="AS304" t="str">
        <f>IF($A304="","",$A304&amp;"|"&amp;Allocation!BG304)</f>
        <v/>
      </c>
    </row>
    <row r="305" spans="1:45" x14ac:dyDescent="0.45">
      <c r="A305" t="str">
        <f>IF(Allocation!BI305="","",Allocation!BI305)</f>
        <v/>
      </c>
      <c r="B305" t="str">
        <f>IF(Allocation!BJ305="","",Allocation!BJ305)</f>
        <v/>
      </c>
      <c r="C305" t="str">
        <f>IF(Allocation!BK305="","",Allocation!BK305)</f>
        <v/>
      </c>
      <c r="D305" t="str">
        <f>IF(Allocation!BL305="","",Allocation!BL305)</f>
        <v/>
      </c>
      <c r="E305" t="str">
        <f>IF(Allocation!BM305="","",Allocation!BM305)</f>
        <v/>
      </c>
      <c r="F305" t="str">
        <f>IF(Allocation!BN305="","",Allocation!BN305)</f>
        <v/>
      </c>
      <c r="G305" t="str">
        <f>IF(Allocation!BO305="","",Allocation!BO305)</f>
        <v/>
      </c>
      <c r="H305" t="str">
        <f>IF(Allocation!BP305="","",Allocation!BP305)</f>
        <v/>
      </c>
      <c r="I305" t="str">
        <f>IF(Allocation!BQ305="","",Allocation!BQ305)</f>
        <v/>
      </c>
      <c r="J305" t="str">
        <f>IF(Allocation!CC305="","",Allocation!CC305)</f>
        <v/>
      </c>
      <c r="K305" t="str">
        <f t="shared" si="76"/>
        <v/>
      </c>
      <c r="L305" t="str">
        <f t="shared" si="77"/>
        <v/>
      </c>
      <c r="M305" t="str">
        <f t="shared" si="78"/>
        <v/>
      </c>
      <c r="N305" t="str">
        <f t="shared" si="79"/>
        <v/>
      </c>
      <c r="O305" t="str">
        <f t="shared" si="80"/>
        <v/>
      </c>
      <c r="P305" t="str">
        <f t="shared" si="81"/>
        <v/>
      </c>
      <c r="Q305" t="str">
        <f t="shared" si="82"/>
        <v/>
      </c>
      <c r="R305" t="str">
        <f t="shared" si="83"/>
        <v/>
      </c>
      <c r="S305" t="str">
        <f t="shared" si="84"/>
        <v/>
      </c>
      <c r="T305" t="str">
        <f t="shared" si="85"/>
        <v/>
      </c>
      <c r="U305" t="str">
        <f t="shared" si="86"/>
        <v/>
      </c>
      <c r="V305" t="str">
        <f t="shared" si="87"/>
        <v/>
      </c>
      <c r="W305" t="str">
        <f>IF($A305="","",Allocation!CD305)</f>
        <v/>
      </c>
      <c r="X305" t="str">
        <f>IF($A305="","",Allocation!CE305)</f>
        <v/>
      </c>
      <c r="Y305" t="str">
        <f>IF($A305="","",Allocation!CF305)</f>
        <v/>
      </c>
      <c r="Z305" t="str">
        <f>IF($A305="","",Allocation!CG305)</f>
        <v/>
      </c>
      <c r="AA305" t="str">
        <f>IF($A305="","",Allocation!CH305)</f>
        <v/>
      </c>
      <c r="AB305" t="str">
        <f>IF($A305="","",Allocation!CI305)</f>
        <v/>
      </c>
      <c r="AC305" t="str">
        <f>IF($A305="","",IF(Allocation!$N$4="VOL_EFF",$G305,IF(Allocation!$N$4="VOL_CLASS",$H305,$I305)))</f>
        <v/>
      </c>
      <c r="AD305" t="str">
        <f>IF($A305="","",IF(Allocation!$N$4="VOL_EFF",$L305,IF(Allocation!$N$4="VOL_CLASS",$M305,$N305)))</f>
        <v/>
      </c>
      <c r="AE305" t="str">
        <f>IF($A305="","",IF(Allocation!$N$3="VOL_EFF",$L305,IF(Allocation!$N$3="VOL_CLASS",$M305,$N305)))</f>
        <v/>
      </c>
      <c r="AF305" t="str">
        <f>IF($A305="","",IF(Allocation!$N$3="VOL_EFF",$Q305,IF(Allocation!$N$3="VOL_CLASS",$R305,$S305)))</f>
        <v/>
      </c>
      <c r="AG305" t="str">
        <f>IF($A305="","",IF(Allocation!$N$1="VOL_EFF",$Q305,IF(Allocation!$N$1="VOL_CLASS",$R305,$S305)))</f>
        <v/>
      </c>
      <c r="AH305" t="str">
        <f>IF($A305="","",IF(Allocation!$N$1="VOL_EFF",$T305,IF(Allocation!$N$1="VOL_CLASS",$U305,$V305)))</f>
        <v/>
      </c>
      <c r="AI305" t="str">
        <f t="shared" si="88"/>
        <v/>
      </c>
      <c r="AJ305" t="str">
        <f t="shared" si="89"/>
        <v/>
      </c>
      <c r="AK305" t="str">
        <f t="shared" si="90"/>
        <v/>
      </c>
      <c r="AL305" t="str">
        <f t="shared" si="91"/>
        <v/>
      </c>
      <c r="AM305" t="str">
        <f t="shared" si="92"/>
        <v/>
      </c>
      <c r="AN305" t="str">
        <f t="shared" si="93"/>
        <v/>
      </c>
      <c r="AO305" t="str">
        <f>IF($A305="","",Allocation!CJ305)</f>
        <v/>
      </c>
      <c r="AP305" t="str">
        <f>IF($A305="","",IF(Allocation!$N$2="VOL_EFF",$Q305,IF(Allocation!$N$2="VOL_CLASS",$R305,$S305)))</f>
        <v/>
      </c>
      <c r="AQ305" t="str">
        <f>IF($A305="","",IF(Allocation!$N$2="VOL_EFF",$T305,IF(Allocation!$N$2="VOL_CLASS",$U305,$V305)))</f>
        <v/>
      </c>
      <c r="AR305" t="str">
        <f t="shared" si="94"/>
        <v/>
      </c>
      <c r="AS305" t="str">
        <f>IF($A305="","",$A305&amp;"|"&amp;Allocation!BG305)</f>
        <v/>
      </c>
    </row>
    <row r="306" spans="1:45" x14ac:dyDescent="0.45">
      <c r="A306" t="str">
        <f>IF(Allocation!BI306="","",Allocation!BI306)</f>
        <v/>
      </c>
      <c r="B306" t="str">
        <f>IF(Allocation!BJ306="","",Allocation!BJ306)</f>
        <v/>
      </c>
      <c r="C306" t="str">
        <f>IF(Allocation!BK306="","",Allocation!BK306)</f>
        <v/>
      </c>
      <c r="D306" t="str">
        <f>IF(Allocation!BL306="","",Allocation!BL306)</f>
        <v/>
      </c>
      <c r="E306" t="str">
        <f>IF(Allocation!BM306="","",Allocation!BM306)</f>
        <v/>
      </c>
      <c r="F306" t="str">
        <f>IF(Allocation!BN306="","",Allocation!BN306)</f>
        <v/>
      </c>
      <c r="G306" t="str">
        <f>IF(Allocation!BO306="","",Allocation!BO306)</f>
        <v/>
      </c>
      <c r="H306" t="str">
        <f>IF(Allocation!BP306="","",Allocation!BP306)</f>
        <v/>
      </c>
      <c r="I306" t="str">
        <f>IF(Allocation!BQ306="","",Allocation!BQ306)</f>
        <v/>
      </c>
      <c r="J306" t="str">
        <f>IF(Allocation!CC306="","",Allocation!CC306)</f>
        <v/>
      </c>
      <c r="K306" t="str">
        <f t="shared" si="76"/>
        <v/>
      </c>
      <c r="L306" t="str">
        <f t="shared" si="77"/>
        <v/>
      </c>
      <c r="M306" t="str">
        <f t="shared" si="78"/>
        <v/>
      </c>
      <c r="N306" t="str">
        <f t="shared" si="79"/>
        <v/>
      </c>
      <c r="O306" t="str">
        <f t="shared" si="80"/>
        <v/>
      </c>
      <c r="P306" t="str">
        <f t="shared" si="81"/>
        <v/>
      </c>
      <c r="Q306" t="str">
        <f t="shared" si="82"/>
        <v/>
      </c>
      <c r="R306" t="str">
        <f t="shared" si="83"/>
        <v/>
      </c>
      <c r="S306" t="str">
        <f t="shared" si="84"/>
        <v/>
      </c>
      <c r="T306" t="str">
        <f t="shared" si="85"/>
        <v/>
      </c>
      <c r="U306" t="str">
        <f t="shared" si="86"/>
        <v/>
      </c>
      <c r="V306" t="str">
        <f t="shared" si="87"/>
        <v/>
      </c>
      <c r="W306" t="str">
        <f>IF($A306="","",Allocation!CD306)</f>
        <v/>
      </c>
      <c r="X306" t="str">
        <f>IF($A306="","",Allocation!CE306)</f>
        <v/>
      </c>
      <c r="Y306" t="str">
        <f>IF($A306="","",Allocation!CF306)</f>
        <v/>
      </c>
      <c r="Z306" t="str">
        <f>IF($A306="","",Allocation!CG306)</f>
        <v/>
      </c>
      <c r="AA306" t="str">
        <f>IF($A306="","",Allocation!CH306)</f>
        <v/>
      </c>
      <c r="AB306" t="str">
        <f>IF($A306="","",Allocation!CI306)</f>
        <v/>
      </c>
      <c r="AC306" t="str">
        <f>IF($A306="","",IF(Allocation!$N$4="VOL_EFF",$G306,IF(Allocation!$N$4="VOL_CLASS",$H306,$I306)))</f>
        <v/>
      </c>
      <c r="AD306" t="str">
        <f>IF($A306="","",IF(Allocation!$N$4="VOL_EFF",$L306,IF(Allocation!$N$4="VOL_CLASS",$M306,$N306)))</f>
        <v/>
      </c>
      <c r="AE306" t="str">
        <f>IF($A306="","",IF(Allocation!$N$3="VOL_EFF",$L306,IF(Allocation!$N$3="VOL_CLASS",$M306,$N306)))</f>
        <v/>
      </c>
      <c r="AF306" t="str">
        <f>IF($A306="","",IF(Allocation!$N$3="VOL_EFF",$Q306,IF(Allocation!$N$3="VOL_CLASS",$R306,$S306)))</f>
        <v/>
      </c>
      <c r="AG306" t="str">
        <f>IF($A306="","",IF(Allocation!$N$1="VOL_EFF",$Q306,IF(Allocation!$N$1="VOL_CLASS",$R306,$S306)))</f>
        <v/>
      </c>
      <c r="AH306" t="str">
        <f>IF($A306="","",IF(Allocation!$N$1="VOL_EFF",$T306,IF(Allocation!$N$1="VOL_CLASS",$U306,$V306)))</f>
        <v/>
      </c>
      <c r="AI306" t="str">
        <f t="shared" si="88"/>
        <v/>
      </c>
      <c r="AJ306" t="str">
        <f t="shared" si="89"/>
        <v/>
      </c>
      <c r="AK306" t="str">
        <f t="shared" si="90"/>
        <v/>
      </c>
      <c r="AL306" t="str">
        <f t="shared" si="91"/>
        <v/>
      </c>
      <c r="AM306" t="str">
        <f t="shared" si="92"/>
        <v/>
      </c>
      <c r="AN306" t="str">
        <f t="shared" si="93"/>
        <v/>
      </c>
      <c r="AO306" t="str">
        <f>IF($A306="","",Allocation!CJ306)</f>
        <v/>
      </c>
      <c r="AP306" t="str">
        <f>IF($A306="","",IF(Allocation!$N$2="VOL_EFF",$Q306,IF(Allocation!$N$2="VOL_CLASS",$R306,$S306)))</f>
        <v/>
      </c>
      <c r="AQ306" t="str">
        <f>IF($A306="","",IF(Allocation!$N$2="VOL_EFF",$T306,IF(Allocation!$N$2="VOL_CLASS",$U306,$V306)))</f>
        <v/>
      </c>
      <c r="AR306" t="str">
        <f t="shared" si="94"/>
        <v/>
      </c>
      <c r="AS306" t="str">
        <f>IF($A306="","",$A306&amp;"|"&amp;Allocation!BG306)</f>
        <v/>
      </c>
    </row>
    <row r="307" spans="1:45" x14ac:dyDescent="0.45">
      <c r="A307" t="str">
        <f>IF(Allocation!BI307="","",Allocation!BI307)</f>
        <v/>
      </c>
      <c r="B307" t="str">
        <f>IF(Allocation!BJ307="","",Allocation!BJ307)</f>
        <v/>
      </c>
      <c r="C307" t="str">
        <f>IF(Allocation!BK307="","",Allocation!BK307)</f>
        <v/>
      </c>
      <c r="D307" t="str">
        <f>IF(Allocation!BL307="","",Allocation!BL307)</f>
        <v/>
      </c>
      <c r="E307" t="str">
        <f>IF(Allocation!BM307="","",Allocation!BM307)</f>
        <v/>
      </c>
      <c r="F307" t="str">
        <f>IF(Allocation!BN307="","",Allocation!BN307)</f>
        <v/>
      </c>
      <c r="G307" t="str">
        <f>IF(Allocation!BO307="","",Allocation!BO307)</f>
        <v/>
      </c>
      <c r="H307" t="str">
        <f>IF(Allocation!BP307="","",Allocation!BP307)</f>
        <v/>
      </c>
      <c r="I307" t="str">
        <f>IF(Allocation!BQ307="","",Allocation!BQ307)</f>
        <v/>
      </c>
      <c r="J307" t="str">
        <f>IF(Allocation!CC307="","",Allocation!CC307)</f>
        <v/>
      </c>
      <c r="K307" t="str">
        <f t="shared" si="76"/>
        <v/>
      </c>
      <c r="L307" t="str">
        <f t="shared" si="77"/>
        <v/>
      </c>
      <c r="M307" t="str">
        <f t="shared" si="78"/>
        <v/>
      </c>
      <c r="N307" t="str">
        <f t="shared" si="79"/>
        <v/>
      </c>
      <c r="O307" t="str">
        <f t="shared" si="80"/>
        <v/>
      </c>
      <c r="P307" t="str">
        <f t="shared" si="81"/>
        <v/>
      </c>
      <c r="Q307" t="str">
        <f t="shared" si="82"/>
        <v/>
      </c>
      <c r="R307" t="str">
        <f t="shared" si="83"/>
        <v/>
      </c>
      <c r="S307" t="str">
        <f t="shared" si="84"/>
        <v/>
      </c>
      <c r="T307" t="str">
        <f t="shared" si="85"/>
        <v/>
      </c>
      <c r="U307" t="str">
        <f t="shared" si="86"/>
        <v/>
      </c>
      <c r="V307" t="str">
        <f t="shared" si="87"/>
        <v/>
      </c>
      <c r="W307" t="str">
        <f>IF($A307="","",Allocation!CD307)</f>
        <v/>
      </c>
      <c r="X307" t="str">
        <f>IF($A307="","",Allocation!CE307)</f>
        <v/>
      </c>
      <c r="Y307" t="str">
        <f>IF($A307="","",Allocation!CF307)</f>
        <v/>
      </c>
      <c r="Z307" t="str">
        <f>IF($A307="","",Allocation!CG307)</f>
        <v/>
      </c>
      <c r="AA307" t="str">
        <f>IF($A307="","",Allocation!CH307)</f>
        <v/>
      </c>
      <c r="AB307" t="str">
        <f>IF($A307="","",Allocation!CI307)</f>
        <v/>
      </c>
      <c r="AC307" t="str">
        <f>IF($A307="","",IF(Allocation!$N$4="VOL_EFF",$G307,IF(Allocation!$N$4="VOL_CLASS",$H307,$I307)))</f>
        <v/>
      </c>
      <c r="AD307" t="str">
        <f>IF($A307="","",IF(Allocation!$N$4="VOL_EFF",$L307,IF(Allocation!$N$4="VOL_CLASS",$M307,$N307)))</f>
        <v/>
      </c>
      <c r="AE307" t="str">
        <f>IF($A307="","",IF(Allocation!$N$3="VOL_EFF",$L307,IF(Allocation!$N$3="VOL_CLASS",$M307,$N307)))</f>
        <v/>
      </c>
      <c r="AF307" t="str">
        <f>IF($A307="","",IF(Allocation!$N$3="VOL_EFF",$Q307,IF(Allocation!$N$3="VOL_CLASS",$R307,$S307)))</f>
        <v/>
      </c>
      <c r="AG307" t="str">
        <f>IF($A307="","",IF(Allocation!$N$1="VOL_EFF",$Q307,IF(Allocation!$N$1="VOL_CLASS",$R307,$S307)))</f>
        <v/>
      </c>
      <c r="AH307" t="str">
        <f>IF($A307="","",IF(Allocation!$N$1="VOL_EFF",$T307,IF(Allocation!$N$1="VOL_CLASS",$U307,$V307)))</f>
        <v/>
      </c>
      <c r="AI307" t="str">
        <f t="shared" si="88"/>
        <v/>
      </c>
      <c r="AJ307" t="str">
        <f t="shared" si="89"/>
        <v/>
      </c>
      <c r="AK307" t="str">
        <f t="shared" si="90"/>
        <v/>
      </c>
      <c r="AL307" t="str">
        <f t="shared" si="91"/>
        <v/>
      </c>
      <c r="AM307" t="str">
        <f t="shared" si="92"/>
        <v/>
      </c>
      <c r="AN307" t="str">
        <f t="shared" si="93"/>
        <v/>
      </c>
      <c r="AO307" t="str">
        <f>IF($A307="","",Allocation!CJ307)</f>
        <v/>
      </c>
      <c r="AP307" t="str">
        <f>IF($A307="","",IF(Allocation!$N$2="VOL_EFF",$Q307,IF(Allocation!$N$2="VOL_CLASS",$R307,$S307)))</f>
        <v/>
      </c>
      <c r="AQ307" t="str">
        <f>IF($A307="","",IF(Allocation!$N$2="VOL_EFF",$T307,IF(Allocation!$N$2="VOL_CLASS",$U307,$V307)))</f>
        <v/>
      </c>
      <c r="AR307" t="str">
        <f t="shared" si="94"/>
        <v/>
      </c>
      <c r="AS307" t="str">
        <f>IF($A307="","",$A307&amp;"|"&amp;Allocation!BG307)</f>
        <v/>
      </c>
    </row>
    <row r="308" spans="1:45" x14ac:dyDescent="0.45">
      <c r="A308" t="str">
        <f>IF(Allocation!BI308="","",Allocation!BI308)</f>
        <v/>
      </c>
      <c r="B308" t="str">
        <f>IF(Allocation!BJ308="","",Allocation!BJ308)</f>
        <v/>
      </c>
      <c r="C308" t="str">
        <f>IF(Allocation!BK308="","",Allocation!BK308)</f>
        <v/>
      </c>
      <c r="D308" t="str">
        <f>IF(Allocation!BL308="","",Allocation!BL308)</f>
        <v/>
      </c>
      <c r="E308" t="str">
        <f>IF(Allocation!BM308="","",Allocation!BM308)</f>
        <v/>
      </c>
      <c r="F308" t="str">
        <f>IF(Allocation!BN308="","",Allocation!BN308)</f>
        <v/>
      </c>
      <c r="G308" t="str">
        <f>IF(Allocation!BO308="","",Allocation!BO308)</f>
        <v/>
      </c>
      <c r="H308" t="str">
        <f>IF(Allocation!BP308="","",Allocation!BP308)</f>
        <v/>
      </c>
      <c r="I308" t="str">
        <f>IF(Allocation!BQ308="","",Allocation!BQ308)</f>
        <v/>
      </c>
      <c r="J308" t="str">
        <f>IF(Allocation!CC308="","",Allocation!CC308)</f>
        <v/>
      </c>
      <c r="K308" t="str">
        <f t="shared" si="76"/>
        <v/>
      </c>
      <c r="L308" t="str">
        <f t="shared" si="77"/>
        <v/>
      </c>
      <c r="M308" t="str">
        <f t="shared" si="78"/>
        <v/>
      </c>
      <c r="N308" t="str">
        <f t="shared" si="79"/>
        <v/>
      </c>
      <c r="O308" t="str">
        <f t="shared" si="80"/>
        <v/>
      </c>
      <c r="P308" t="str">
        <f t="shared" si="81"/>
        <v/>
      </c>
      <c r="Q308" t="str">
        <f t="shared" si="82"/>
        <v/>
      </c>
      <c r="R308" t="str">
        <f t="shared" si="83"/>
        <v/>
      </c>
      <c r="S308" t="str">
        <f t="shared" si="84"/>
        <v/>
      </c>
      <c r="T308" t="str">
        <f t="shared" si="85"/>
        <v/>
      </c>
      <c r="U308" t="str">
        <f t="shared" si="86"/>
        <v/>
      </c>
      <c r="V308" t="str">
        <f t="shared" si="87"/>
        <v/>
      </c>
      <c r="W308" t="str">
        <f>IF($A308="","",Allocation!CD308)</f>
        <v/>
      </c>
      <c r="X308" t="str">
        <f>IF($A308="","",Allocation!CE308)</f>
        <v/>
      </c>
      <c r="Y308" t="str">
        <f>IF($A308="","",Allocation!CF308)</f>
        <v/>
      </c>
      <c r="Z308" t="str">
        <f>IF($A308="","",Allocation!CG308)</f>
        <v/>
      </c>
      <c r="AA308" t="str">
        <f>IF($A308="","",Allocation!CH308)</f>
        <v/>
      </c>
      <c r="AB308" t="str">
        <f>IF($A308="","",Allocation!CI308)</f>
        <v/>
      </c>
      <c r="AC308" t="str">
        <f>IF($A308="","",IF(Allocation!$N$4="VOL_EFF",$G308,IF(Allocation!$N$4="VOL_CLASS",$H308,$I308)))</f>
        <v/>
      </c>
      <c r="AD308" t="str">
        <f>IF($A308="","",IF(Allocation!$N$4="VOL_EFF",$L308,IF(Allocation!$N$4="VOL_CLASS",$M308,$N308)))</f>
        <v/>
      </c>
      <c r="AE308" t="str">
        <f>IF($A308="","",IF(Allocation!$N$3="VOL_EFF",$L308,IF(Allocation!$N$3="VOL_CLASS",$M308,$N308)))</f>
        <v/>
      </c>
      <c r="AF308" t="str">
        <f>IF($A308="","",IF(Allocation!$N$3="VOL_EFF",$Q308,IF(Allocation!$N$3="VOL_CLASS",$R308,$S308)))</f>
        <v/>
      </c>
      <c r="AG308" t="str">
        <f>IF($A308="","",IF(Allocation!$N$1="VOL_EFF",$Q308,IF(Allocation!$N$1="VOL_CLASS",$R308,$S308)))</f>
        <v/>
      </c>
      <c r="AH308" t="str">
        <f>IF($A308="","",IF(Allocation!$N$1="VOL_EFF",$T308,IF(Allocation!$N$1="VOL_CLASS",$U308,$V308)))</f>
        <v/>
      </c>
      <c r="AI308" t="str">
        <f t="shared" si="88"/>
        <v/>
      </c>
      <c r="AJ308" t="str">
        <f t="shared" si="89"/>
        <v/>
      </c>
      <c r="AK308" t="str">
        <f t="shared" si="90"/>
        <v/>
      </c>
      <c r="AL308" t="str">
        <f t="shared" si="91"/>
        <v/>
      </c>
      <c r="AM308" t="str">
        <f t="shared" si="92"/>
        <v/>
      </c>
      <c r="AN308" t="str">
        <f t="shared" si="93"/>
        <v/>
      </c>
      <c r="AO308" t="str">
        <f>IF($A308="","",Allocation!CJ308)</f>
        <v/>
      </c>
      <c r="AP308" t="str">
        <f>IF($A308="","",IF(Allocation!$N$2="VOL_EFF",$Q308,IF(Allocation!$N$2="VOL_CLASS",$R308,$S308)))</f>
        <v/>
      </c>
      <c r="AQ308" t="str">
        <f>IF($A308="","",IF(Allocation!$N$2="VOL_EFF",$T308,IF(Allocation!$N$2="VOL_CLASS",$U308,$V308)))</f>
        <v/>
      </c>
      <c r="AR308" t="str">
        <f t="shared" si="94"/>
        <v/>
      </c>
      <c r="AS308" t="str">
        <f>IF($A308="","",$A308&amp;"|"&amp;Allocation!BG308)</f>
        <v/>
      </c>
    </row>
    <row r="309" spans="1:45" x14ac:dyDescent="0.45">
      <c r="A309" t="str">
        <f>IF(Allocation!BI309="","",Allocation!BI309)</f>
        <v/>
      </c>
      <c r="B309" t="str">
        <f>IF(Allocation!BJ309="","",Allocation!BJ309)</f>
        <v/>
      </c>
      <c r="C309" t="str">
        <f>IF(Allocation!BK309="","",Allocation!BK309)</f>
        <v/>
      </c>
      <c r="D309" t="str">
        <f>IF(Allocation!BL309="","",Allocation!BL309)</f>
        <v/>
      </c>
      <c r="E309" t="str">
        <f>IF(Allocation!BM309="","",Allocation!BM309)</f>
        <v/>
      </c>
      <c r="F309" t="str">
        <f>IF(Allocation!BN309="","",Allocation!BN309)</f>
        <v/>
      </c>
      <c r="G309" t="str">
        <f>IF(Allocation!BO309="","",Allocation!BO309)</f>
        <v/>
      </c>
      <c r="H309" t="str">
        <f>IF(Allocation!BP309="","",Allocation!BP309)</f>
        <v/>
      </c>
      <c r="I309" t="str">
        <f>IF(Allocation!BQ309="","",Allocation!BQ309)</f>
        <v/>
      </c>
      <c r="J309" t="str">
        <f>IF(Allocation!CC309="","",Allocation!CC309)</f>
        <v/>
      </c>
      <c r="K309" t="str">
        <f t="shared" si="76"/>
        <v/>
      </c>
      <c r="L309" t="str">
        <f t="shared" si="77"/>
        <v/>
      </c>
      <c r="M309" t="str">
        <f t="shared" si="78"/>
        <v/>
      </c>
      <c r="N309" t="str">
        <f t="shared" si="79"/>
        <v/>
      </c>
      <c r="O309" t="str">
        <f t="shared" si="80"/>
        <v/>
      </c>
      <c r="P309" t="str">
        <f t="shared" si="81"/>
        <v/>
      </c>
      <c r="Q309" t="str">
        <f t="shared" si="82"/>
        <v/>
      </c>
      <c r="R309" t="str">
        <f t="shared" si="83"/>
        <v/>
      </c>
      <c r="S309" t="str">
        <f t="shared" si="84"/>
        <v/>
      </c>
      <c r="T309" t="str">
        <f t="shared" si="85"/>
        <v/>
      </c>
      <c r="U309" t="str">
        <f t="shared" si="86"/>
        <v/>
      </c>
      <c r="V309" t="str">
        <f t="shared" si="87"/>
        <v/>
      </c>
      <c r="W309" t="str">
        <f>IF($A309="","",Allocation!CD309)</f>
        <v/>
      </c>
      <c r="X309" t="str">
        <f>IF($A309="","",Allocation!CE309)</f>
        <v/>
      </c>
      <c r="Y309" t="str">
        <f>IF($A309="","",Allocation!CF309)</f>
        <v/>
      </c>
      <c r="Z309" t="str">
        <f>IF($A309="","",Allocation!CG309)</f>
        <v/>
      </c>
      <c r="AA309" t="str">
        <f>IF($A309="","",Allocation!CH309)</f>
        <v/>
      </c>
      <c r="AB309" t="str">
        <f>IF($A309="","",Allocation!CI309)</f>
        <v/>
      </c>
      <c r="AC309" t="str">
        <f>IF($A309="","",IF(Allocation!$N$4="VOL_EFF",$G309,IF(Allocation!$N$4="VOL_CLASS",$H309,$I309)))</f>
        <v/>
      </c>
      <c r="AD309" t="str">
        <f>IF($A309="","",IF(Allocation!$N$4="VOL_EFF",$L309,IF(Allocation!$N$4="VOL_CLASS",$M309,$N309)))</f>
        <v/>
      </c>
      <c r="AE309" t="str">
        <f>IF($A309="","",IF(Allocation!$N$3="VOL_EFF",$L309,IF(Allocation!$N$3="VOL_CLASS",$M309,$N309)))</f>
        <v/>
      </c>
      <c r="AF309" t="str">
        <f>IF($A309="","",IF(Allocation!$N$3="VOL_EFF",$Q309,IF(Allocation!$N$3="VOL_CLASS",$R309,$S309)))</f>
        <v/>
      </c>
      <c r="AG309" t="str">
        <f>IF($A309="","",IF(Allocation!$N$1="VOL_EFF",$Q309,IF(Allocation!$N$1="VOL_CLASS",$R309,$S309)))</f>
        <v/>
      </c>
      <c r="AH309" t="str">
        <f>IF($A309="","",IF(Allocation!$N$1="VOL_EFF",$T309,IF(Allocation!$N$1="VOL_CLASS",$U309,$V309)))</f>
        <v/>
      </c>
      <c r="AI309" t="str">
        <f t="shared" si="88"/>
        <v/>
      </c>
      <c r="AJ309" t="str">
        <f t="shared" si="89"/>
        <v/>
      </c>
      <c r="AK309" t="str">
        <f t="shared" si="90"/>
        <v/>
      </c>
      <c r="AL309" t="str">
        <f t="shared" si="91"/>
        <v/>
      </c>
      <c r="AM309" t="str">
        <f t="shared" si="92"/>
        <v/>
      </c>
      <c r="AN309" t="str">
        <f t="shared" si="93"/>
        <v/>
      </c>
      <c r="AO309" t="str">
        <f>IF($A309="","",Allocation!CJ309)</f>
        <v/>
      </c>
      <c r="AP309" t="str">
        <f>IF($A309="","",IF(Allocation!$N$2="VOL_EFF",$Q309,IF(Allocation!$N$2="VOL_CLASS",$R309,$S309)))</f>
        <v/>
      </c>
      <c r="AQ309" t="str">
        <f>IF($A309="","",IF(Allocation!$N$2="VOL_EFF",$T309,IF(Allocation!$N$2="VOL_CLASS",$U309,$V309)))</f>
        <v/>
      </c>
      <c r="AR309" t="str">
        <f t="shared" si="94"/>
        <v/>
      </c>
      <c r="AS309" t="str">
        <f>IF($A309="","",$A309&amp;"|"&amp;Allocation!BG309)</f>
        <v/>
      </c>
    </row>
    <row r="310" spans="1:45" x14ac:dyDescent="0.45">
      <c r="A310" t="str">
        <f>IF(Allocation!BI310="","",Allocation!BI310)</f>
        <v/>
      </c>
      <c r="B310" t="str">
        <f>IF(Allocation!BJ310="","",Allocation!BJ310)</f>
        <v/>
      </c>
      <c r="C310" t="str">
        <f>IF(Allocation!BK310="","",Allocation!BK310)</f>
        <v/>
      </c>
      <c r="D310" t="str">
        <f>IF(Allocation!BL310="","",Allocation!BL310)</f>
        <v/>
      </c>
      <c r="E310" t="str">
        <f>IF(Allocation!BM310="","",Allocation!BM310)</f>
        <v/>
      </c>
      <c r="F310" t="str">
        <f>IF(Allocation!BN310="","",Allocation!BN310)</f>
        <v/>
      </c>
      <c r="G310" t="str">
        <f>IF(Allocation!BO310="","",Allocation!BO310)</f>
        <v/>
      </c>
      <c r="H310" t="str">
        <f>IF(Allocation!BP310="","",Allocation!BP310)</f>
        <v/>
      </c>
      <c r="I310" t="str">
        <f>IF(Allocation!BQ310="","",Allocation!BQ310)</f>
        <v/>
      </c>
      <c r="J310" t="str">
        <f>IF(Allocation!CC310="","",Allocation!CC310)</f>
        <v/>
      </c>
      <c r="K310" t="str">
        <f t="shared" si="76"/>
        <v/>
      </c>
      <c r="L310" t="str">
        <f t="shared" si="77"/>
        <v/>
      </c>
      <c r="M310" t="str">
        <f t="shared" si="78"/>
        <v/>
      </c>
      <c r="N310" t="str">
        <f t="shared" si="79"/>
        <v/>
      </c>
      <c r="O310" t="str">
        <f t="shared" si="80"/>
        <v/>
      </c>
      <c r="P310" t="str">
        <f t="shared" si="81"/>
        <v/>
      </c>
      <c r="Q310" t="str">
        <f t="shared" si="82"/>
        <v/>
      </c>
      <c r="R310" t="str">
        <f t="shared" si="83"/>
        <v/>
      </c>
      <c r="S310" t="str">
        <f t="shared" si="84"/>
        <v/>
      </c>
      <c r="T310" t="str">
        <f t="shared" si="85"/>
        <v/>
      </c>
      <c r="U310" t="str">
        <f t="shared" si="86"/>
        <v/>
      </c>
      <c r="V310" t="str">
        <f t="shared" si="87"/>
        <v/>
      </c>
      <c r="W310" t="str">
        <f>IF($A310="","",Allocation!CD310)</f>
        <v/>
      </c>
      <c r="X310" t="str">
        <f>IF($A310="","",Allocation!CE310)</f>
        <v/>
      </c>
      <c r="Y310" t="str">
        <f>IF($A310="","",Allocation!CF310)</f>
        <v/>
      </c>
      <c r="Z310" t="str">
        <f>IF($A310="","",Allocation!CG310)</f>
        <v/>
      </c>
      <c r="AA310" t="str">
        <f>IF($A310="","",Allocation!CH310)</f>
        <v/>
      </c>
      <c r="AB310" t="str">
        <f>IF($A310="","",Allocation!CI310)</f>
        <v/>
      </c>
      <c r="AC310" t="str">
        <f>IF($A310="","",IF(Allocation!$N$4="VOL_EFF",$G310,IF(Allocation!$N$4="VOL_CLASS",$H310,$I310)))</f>
        <v/>
      </c>
      <c r="AD310" t="str">
        <f>IF($A310="","",IF(Allocation!$N$4="VOL_EFF",$L310,IF(Allocation!$N$4="VOL_CLASS",$M310,$N310)))</f>
        <v/>
      </c>
      <c r="AE310" t="str">
        <f>IF($A310="","",IF(Allocation!$N$3="VOL_EFF",$L310,IF(Allocation!$N$3="VOL_CLASS",$M310,$N310)))</f>
        <v/>
      </c>
      <c r="AF310" t="str">
        <f>IF($A310="","",IF(Allocation!$N$3="VOL_EFF",$Q310,IF(Allocation!$N$3="VOL_CLASS",$R310,$S310)))</f>
        <v/>
      </c>
      <c r="AG310" t="str">
        <f>IF($A310="","",IF(Allocation!$N$1="VOL_EFF",$Q310,IF(Allocation!$N$1="VOL_CLASS",$R310,$S310)))</f>
        <v/>
      </c>
      <c r="AH310" t="str">
        <f>IF($A310="","",IF(Allocation!$N$1="VOL_EFF",$T310,IF(Allocation!$N$1="VOL_CLASS",$U310,$V310)))</f>
        <v/>
      </c>
      <c r="AI310" t="str">
        <f t="shared" si="88"/>
        <v/>
      </c>
      <c r="AJ310" t="str">
        <f t="shared" si="89"/>
        <v/>
      </c>
      <c r="AK310" t="str">
        <f t="shared" si="90"/>
        <v/>
      </c>
      <c r="AL310" t="str">
        <f t="shared" si="91"/>
        <v/>
      </c>
      <c r="AM310" t="str">
        <f t="shared" si="92"/>
        <v/>
      </c>
      <c r="AN310" t="str">
        <f t="shared" si="93"/>
        <v/>
      </c>
      <c r="AO310" t="str">
        <f>IF($A310="","",Allocation!CJ310)</f>
        <v/>
      </c>
      <c r="AP310" t="str">
        <f>IF($A310="","",IF(Allocation!$N$2="VOL_EFF",$Q310,IF(Allocation!$N$2="VOL_CLASS",$R310,$S310)))</f>
        <v/>
      </c>
      <c r="AQ310" t="str">
        <f>IF($A310="","",IF(Allocation!$N$2="VOL_EFF",$T310,IF(Allocation!$N$2="VOL_CLASS",$U310,$V310)))</f>
        <v/>
      </c>
      <c r="AR310" t="str">
        <f t="shared" si="94"/>
        <v/>
      </c>
      <c r="AS310" t="str">
        <f>IF($A310="","",$A310&amp;"|"&amp;Allocation!BG310)</f>
        <v/>
      </c>
    </row>
    <row r="311" spans="1:45" x14ac:dyDescent="0.45">
      <c r="A311" t="str">
        <f>IF(Allocation!BI311="","",Allocation!BI311)</f>
        <v/>
      </c>
      <c r="B311" t="str">
        <f>IF(Allocation!BJ311="","",Allocation!BJ311)</f>
        <v/>
      </c>
      <c r="C311" t="str">
        <f>IF(Allocation!BK311="","",Allocation!BK311)</f>
        <v/>
      </c>
      <c r="D311" t="str">
        <f>IF(Allocation!BL311="","",Allocation!BL311)</f>
        <v/>
      </c>
      <c r="E311" t="str">
        <f>IF(Allocation!BM311="","",Allocation!BM311)</f>
        <v/>
      </c>
      <c r="F311" t="str">
        <f>IF(Allocation!BN311="","",Allocation!BN311)</f>
        <v/>
      </c>
      <c r="G311" t="str">
        <f>IF(Allocation!BO311="","",Allocation!BO311)</f>
        <v/>
      </c>
      <c r="H311" t="str">
        <f>IF(Allocation!BP311="","",Allocation!BP311)</f>
        <v/>
      </c>
      <c r="I311" t="str">
        <f>IF(Allocation!BQ311="","",Allocation!BQ311)</f>
        <v/>
      </c>
      <c r="J311" t="str">
        <f>IF(Allocation!CC311="","",Allocation!CC311)</f>
        <v/>
      </c>
      <c r="K311" t="str">
        <f t="shared" si="76"/>
        <v/>
      </c>
      <c r="L311" t="str">
        <f t="shared" si="77"/>
        <v/>
      </c>
      <c r="M311" t="str">
        <f t="shared" si="78"/>
        <v/>
      </c>
      <c r="N311" t="str">
        <f t="shared" si="79"/>
        <v/>
      </c>
      <c r="O311" t="str">
        <f t="shared" si="80"/>
        <v/>
      </c>
      <c r="P311" t="str">
        <f t="shared" si="81"/>
        <v/>
      </c>
      <c r="Q311" t="str">
        <f t="shared" si="82"/>
        <v/>
      </c>
      <c r="R311" t="str">
        <f t="shared" si="83"/>
        <v/>
      </c>
      <c r="S311" t="str">
        <f t="shared" si="84"/>
        <v/>
      </c>
      <c r="T311" t="str">
        <f t="shared" si="85"/>
        <v/>
      </c>
      <c r="U311" t="str">
        <f t="shared" si="86"/>
        <v/>
      </c>
      <c r="V311" t="str">
        <f t="shared" si="87"/>
        <v/>
      </c>
      <c r="W311" t="str">
        <f>IF($A311="","",Allocation!CD311)</f>
        <v/>
      </c>
      <c r="X311" t="str">
        <f>IF($A311="","",Allocation!CE311)</f>
        <v/>
      </c>
      <c r="Y311" t="str">
        <f>IF($A311="","",Allocation!CF311)</f>
        <v/>
      </c>
      <c r="Z311" t="str">
        <f>IF($A311="","",Allocation!CG311)</f>
        <v/>
      </c>
      <c r="AA311" t="str">
        <f>IF($A311="","",Allocation!CH311)</f>
        <v/>
      </c>
      <c r="AB311" t="str">
        <f>IF($A311="","",Allocation!CI311)</f>
        <v/>
      </c>
      <c r="AC311" t="str">
        <f>IF($A311="","",IF(Allocation!$N$4="VOL_EFF",$G311,IF(Allocation!$N$4="VOL_CLASS",$H311,$I311)))</f>
        <v/>
      </c>
      <c r="AD311" t="str">
        <f>IF($A311="","",IF(Allocation!$N$4="VOL_EFF",$L311,IF(Allocation!$N$4="VOL_CLASS",$M311,$N311)))</f>
        <v/>
      </c>
      <c r="AE311" t="str">
        <f>IF($A311="","",IF(Allocation!$N$3="VOL_EFF",$L311,IF(Allocation!$N$3="VOL_CLASS",$M311,$N311)))</f>
        <v/>
      </c>
      <c r="AF311" t="str">
        <f>IF($A311="","",IF(Allocation!$N$3="VOL_EFF",$Q311,IF(Allocation!$N$3="VOL_CLASS",$R311,$S311)))</f>
        <v/>
      </c>
      <c r="AG311" t="str">
        <f>IF($A311="","",IF(Allocation!$N$1="VOL_EFF",$Q311,IF(Allocation!$N$1="VOL_CLASS",$R311,$S311)))</f>
        <v/>
      </c>
      <c r="AH311" t="str">
        <f>IF($A311="","",IF(Allocation!$N$1="VOL_EFF",$T311,IF(Allocation!$N$1="VOL_CLASS",$U311,$V311)))</f>
        <v/>
      </c>
      <c r="AI311" t="str">
        <f t="shared" si="88"/>
        <v/>
      </c>
      <c r="AJ311" t="str">
        <f t="shared" si="89"/>
        <v/>
      </c>
      <c r="AK311" t="str">
        <f t="shared" si="90"/>
        <v/>
      </c>
      <c r="AL311" t="str">
        <f t="shared" si="91"/>
        <v/>
      </c>
      <c r="AM311" t="str">
        <f t="shared" si="92"/>
        <v/>
      </c>
      <c r="AN311" t="str">
        <f t="shared" si="93"/>
        <v/>
      </c>
      <c r="AO311" t="str">
        <f>IF($A311="","",Allocation!CJ311)</f>
        <v/>
      </c>
      <c r="AP311" t="str">
        <f>IF($A311="","",IF(Allocation!$N$2="VOL_EFF",$Q311,IF(Allocation!$N$2="VOL_CLASS",$R311,$S311)))</f>
        <v/>
      </c>
      <c r="AQ311" t="str">
        <f>IF($A311="","",IF(Allocation!$N$2="VOL_EFF",$T311,IF(Allocation!$N$2="VOL_CLASS",$U311,$V311)))</f>
        <v/>
      </c>
      <c r="AR311" t="str">
        <f t="shared" si="94"/>
        <v/>
      </c>
      <c r="AS311" t="str">
        <f>IF($A311="","",$A311&amp;"|"&amp;Allocation!BG311)</f>
        <v/>
      </c>
    </row>
    <row r="312" spans="1:45" x14ac:dyDescent="0.45">
      <c r="A312" t="str">
        <f>IF(Allocation!BI312="","",Allocation!BI312)</f>
        <v/>
      </c>
      <c r="B312" t="str">
        <f>IF(Allocation!BJ312="","",Allocation!BJ312)</f>
        <v/>
      </c>
      <c r="C312" t="str">
        <f>IF(Allocation!BK312="","",Allocation!BK312)</f>
        <v/>
      </c>
      <c r="D312" t="str">
        <f>IF(Allocation!BL312="","",Allocation!BL312)</f>
        <v/>
      </c>
      <c r="E312" t="str">
        <f>IF(Allocation!BM312="","",Allocation!BM312)</f>
        <v/>
      </c>
      <c r="F312" t="str">
        <f>IF(Allocation!BN312="","",Allocation!BN312)</f>
        <v/>
      </c>
      <c r="G312" t="str">
        <f>IF(Allocation!BO312="","",Allocation!BO312)</f>
        <v/>
      </c>
      <c r="H312" t="str">
        <f>IF(Allocation!BP312="","",Allocation!BP312)</f>
        <v/>
      </c>
      <c r="I312" t="str">
        <f>IF(Allocation!BQ312="","",Allocation!BQ312)</f>
        <v/>
      </c>
      <c r="J312" t="str">
        <f>IF(Allocation!CC312="","",Allocation!CC312)</f>
        <v/>
      </c>
      <c r="K312" t="str">
        <f t="shared" si="76"/>
        <v/>
      </c>
      <c r="L312" t="str">
        <f t="shared" si="77"/>
        <v/>
      </c>
      <c r="M312" t="str">
        <f t="shared" si="78"/>
        <v/>
      </c>
      <c r="N312" t="str">
        <f t="shared" si="79"/>
        <v/>
      </c>
      <c r="O312" t="str">
        <f t="shared" si="80"/>
        <v/>
      </c>
      <c r="P312" t="str">
        <f t="shared" si="81"/>
        <v/>
      </c>
      <c r="Q312" t="str">
        <f t="shared" si="82"/>
        <v/>
      </c>
      <c r="R312" t="str">
        <f t="shared" si="83"/>
        <v/>
      </c>
      <c r="S312" t="str">
        <f t="shared" si="84"/>
        <v/>
      </c>
      <c r="T312" t="str">
        <f t="shared" si="85"/>
        <v/>
      </c>
      <c r="U312" t="str">
        <f t="shared" si="86"/>
        <v/>
      </c>
      <c r="V312" t="str">
        <f t="shared" si="87"/>
        <v/>
      </c>
      <c r="W312" t="str">
        <f>IF($A312="","",Allocation!CD312)</f>
        <v/>
      </c>
      <c r="X312" t="str">
        <f>IF($A312="","",Allocation!CE312)</f>
        <v/>
      </c>
      <c r="Y312" t="str">
        <f>IF($A312="","",Allocation!CF312)</f>
        <v/>
      </c>
      <c r="Z312" t="str">
        <f>IF($A312="","",Allocation!CG312)</f>
        <v/>
      </c>
      <c r="AA312" t="str">
        <f>IF($A312="","",Allocation!CH312)</f>
        <v/>
      </c>
      <c r="AB312" t="str">
        <f>IF($A312="","",Allocation!CI312)</f>
        <v/>
      </c>
      <c r="AC312" t="str">
        <f>IF($A312="","",IF(Allocation!$N$4="VOL_EFF",$G312,IF(Allocation!$N$4="VOL_CLASS",$H312,$I312)))</f>
        <v/>
      </c>
      <c r="AD312" t="str">
        <f>IF($A312="","",IF(Allocation!$N$4="VOL_EFF",$L312,IF(Allocation!$N$4="VOL_CLASS",$M312,$N312)))</f>
        <v/>
      </c>
      <c r="AE312" t="str">
        <f>IF($A312="","",IF(Allocation!$N$3="VOL_EFF",$L312,IF(Allocation!$N$3="VOL_CLASS",$M312,$N312)))</f>
        <v/>
      </c>
      <c r="AF312" t="str">
        <f>IF($A312="","",IF(Allocation!$N$3="VOL_EFF",$Q312,IF(Allocation!$N$3="VOL_CLASS",$R312,$S312)))</f>
        <v/>
      </c>
      <c r="AG312" t="str">
        <f>IF($A312="","",IF(Allocation!$N$1="VOL_EFF",$Q312,IF(Allocation!$N$1="VOL_CLASS",$R312,$S312)))</f>
        <v/>
      </c>
      <c r="AH312" t="str">
        <f>IF($A312="","",IF(Allocation!$N$1="VOL_EFF",$T312,IF(Allocation!$N$1="VOL_CLASS",$U312,$V312)))</f>
        <v/>
      </c>
      <c r="AI312" t="str">
        <f t="shared" si="88"/>
        <v/>
      </c>
      <c r="AJ312" t="str">
        <f t="shared" si="89"/>
        <v/>
      </c>
      <c r="AK312" t="str">
        <f t="shared" si="90"/>
        <v/>
      </c>
      <c r="AL312" t="str">
        <f t="shared" si="91"/>
        <v/>
      </c>
      <c r="AM312" t="str">
        <f t="shared" si="92"/>
        <v/>
      </c>
      <c r="AN312" t="str">
        <f t="shared" si="93"/>
        <v/>
      </c>
      <c r="AO312" t="str">
        <f>IF($A312="","",Allocation!CJ312)</f>
        <v/>
      </c>
      <c r="AP312" t="str">
        <f>IF($A312="","",IF(Allocation!$N$2="VOL_EFF",$Q312,IF(Allocation!$N$2="VOL_CLASS",$R312,$S312)))</f>
        <v/>
      </c>
      <c r="AQ312" t="str">
        <f>IF($A312="","",IF(Allocation!$N$2="VOL_EFF",$T312,IF(Allocation!$N$2="VOL_CLASS",$U312,$V312)))</f>
        <v/>
      </c>
      <c r="AR312" t="str">
        <f t="shared" si="94"/>
        <v/>
      </c>
      <c r="AS312" t="str">
        <f>IF($A312="","",$A312&amp;"|"&amp;Allocation!BG312)</f>
        <v/>
      </c>
    </row>
    <row r="313" spans="1:45" x14ac:dyDescent="0.45">
      <c r="A313" t="str">
        <f>IF(Allocation!BI313="","",Allocation!BI313)</f>
        <v/>
      </c>
      <c r="B313" t="str">
        <f>IF(Allocation!BJ313="","",Allocation!BJ313)</f>
        <v/>
      </c>
      <c r="C313" t="str">
        <f>IF(Allocation!BK313="","",Allocation!BK313)</f>
        <v/>
      </c>
      <c r="D313" t="str">
        <f>IF(Allocation!BL313="","",Allocation!BL313)</f>
        <v/>
      </c>
      <c r="E313" t="str">
        <f>IF(Allocation!BM313="","",Allocation!BM313)</f>
        <v/>
      </c>
      <c r="F313" t="str">
        <f>IF(Allocation!BN313="","",Allocation!BN313)</f>
        <v/>
      </c>
      <c r="G313" t="str">
        <f>IF(Allocation!BO313="","",Allocation!BO313)</f>
        <v/>
      </c>
      <c r="H313" t="str">
        <f>IF(Allocation!BP313="","",Allocation!BP313)</f>
        <v/>
      </c>
      <c r="I313" t="str">
        <f>IF(Allocation!BQ313="","",Allocation!BQ313)</f>
        <v/>
      </c>
      <c r="J313" t="str">
        <f>IF(Allocation!CC313="","",Allocation!CC313)</f>
        <v/>
      </c>
      <c r="K313" t="str">
        <f t="shared" si="76"/>
        <v/>
      </c>
      <c r="L313" t="str">
        <f t="shared" si="77"/>
        <v/>
      </c>
      <c r="M313" t="str">
        <f t="shared" si="78"/>
        <v/>
      </c>
      <c r="N313" t="str">
        <f t="shared" si="79"/>
        <v/>
      </c>
      <c r="O313" t="str">
        <f t="shared" si="80"/>
        <v/>
      </c>
      <c r="P313" t="str">
        <f t="shared" si="81"/>
        <v/>
      </c>
      <c r="Q313" t="str">
        <f t="shared" si="82"/>
        <v/>
      </c>
      <c r="R313" t="str">
        <f t="shared" si="83"/>
        <v/>
      </c>
      <c r="S313" t="str">
        <f t="shared" si="84"/>
        <v/>
      </c>
      <c r="T313" t="str">
        <f t="shared" si="85"/>
        <v/>
      </c>
      <c r="U313" t="str">
        <f t="shared" si="86"/>
        <v/>
      </c>
      <c r="V313" t="str">
        <f t="shared" si="87"/>
        <v/>
      </c>
      <c r="W313" t="str">
        <f>IF($A313="","",Allocation!CD313)</f>
        <v/>
      </c>
      <c r="X313" t="str">
        <f>IF($A313="","",Allocation!CE313)</f>
        <v/>
      </c>
      <c r="Y313" t="str">
        <f>IF($A313="","",Allocation!CF313)</f>
        <v/>
      </c>
      <c r="Z313" t="str">
        <f>IF($A313="","",Allocation!CG313)</f>
        <v/>
      </c>
      <c r="AA313" t="str">
        <f>IF($A313="","",Allocation!CH313)</f>
        <v/>
      </c>
      <c r="AB313" t="str">
        <f>IF($A313="","",Allocation!CI313)</f>
        <v/>
      </c>
      <c r="AC313" t="str">
        <f>IF($A313="","",IF(Allocation!$N$4="VOL_EFF",$G313,IF(Allocation!$N$4="VOL_CLASS",$H313,$I313)))</f>
        <v/>
      </c>
      <c r="AD313" t="str">
        <f>IF($A313="","",IF(Allocation!$N$4="VOL_EFF",$L313,IF(Allocation!$N$4="VOL_CLASS",$M313,$N313)))</f>
        <v/>
      </c>
      <c r="AE313" t="str">
        <f>IF($A313="","",IF(Allocation!$N$3="VOL_EFF",$L313,IF(Allocation!$N$3="VOL_CLASS",$M313,$N313)))</f>
        <v/>
      </c>
      <c r="AF313" t="str">
        <f>IF($A313="","",IF(Allocation!$N$3="VOL_EFF",$Q313,IF(Allocation!$N$3="VOL_CLASS",$R313,$S313)))</f>
        <v/>
      </c>
      <c r="AG313" t="str">
        <f>IF($A313="","",IF(Allocation!$N$1="VOL_EFF",$Q313,IF(Allocation!$N$1="VOL_CLASS",$R313,$S313)))</f>
        <v/>
      </c>
      <c r="AH313" t="str">
        <f>IF($A313="","",IF(Allocation!$N$1="VOL_EFF",$T313,IF(Allocation!$N$1="VOL_CLASS",$U313,$V313)))</f>
        <v/>
      </c>
      <c r="AI313" t="str">
        <f t="shared" si="88"/>
        <v/>
      </c>
      <c r="AJ313" t="str">
        <f t="shared" si="89"/>
        <v/>
      </c>
      <c r="AK313" t="str">
        <f t="shared" si="90"/>
        <v/>
      </c>
      <c r="AL313" t="str">
        <f t="shared" si="91"/>
        <v/>
      </c>
      <c r="AM313" t="str">
        <f t="shared" si="92"/>
        <v/>
      </c>
      <c r="AN313" t="str">
        <f t="shared" si="93"/>
        <v/>
      </c>
      <c r="AO313" t="str">
        <f>IF($A313="","",Allocation!CJ313)</f>
        <v/>
      </c>
      <c r="AP313" t="str">
        <f>IF($A313="","",IF(Allocation!$N$2="VOL_EFF",$Q313,IF(Allocation!$N$2="VOL_CLASS",$R313,$S313)))</f>
        <v/>
      </c>
      <c r="AQ313" t="str">
        <f>IF($A313="","",IF(Allocation!$N$2="VOL_EFF",$T313,IF(Allocation!$N$2="VOL_CLASS",$U313,$V313)))</f>
        <v/>
      </c>
      <c r="AR313" t="str">
        <f t="shared" si="94"/>
        <v/>
      </c>
      <c r="AS313" t="str">
        <f>IF($A313="","",$A313&amp;"|"&amp;Allocation!BG313)</f>
        <v/>
      </c>
    </row>
    <row r="314" spans="1:45" x14ac:dyDescent="0.45">
      <c r="A314" t="str">
        <f>IF(Allocation!BI314="","",Allocation!BI314)</f>
        <v/>
      </c>
      <c r="B314" t="str">
        <f>IF(Allocation!BJ314="","",Allocation!BJ314)</f>
        <v/>
      </c>
      <c r="C314" t="str">
        <f>IF(Allocation!BK314="","",Allocation!BK314)</f>
        <v/>
      </c>
      <c r="D314" t="str">
        <f>IF(Allocation!BL314="","",Allocation!BL314)</f>
        <v/>
      </c>
      <c r="E314" t="str">
        <f>IF(Allocation!BM314="","",Allocation!BM314)</f>
        <v/>
      </c>
      <c r="F314" t="str">
        <f>IF(Allocation!BN314="","",Allocation!BN314)</f>
        <v/>
      </c>
      <c r="G314" t="str">
        <f>IF(Allocation!BO314="","",Allocation!BO314)</f>
        <v/>
      </c>
      <c r="H314" t="str">
        <f>IF(Allocation!BP314="","",Allocation!BP314)</f>
        <v/>
      </c>
      <c r="I314" t="str">
        <f>IF(Allocation!BQ314="","",Allocation!BQ314)</f>
        <v/>
      </c>
      <c r="J314" t="str">
        <f>IF(Allocation!CC314="","",Allocation!CC314)</f>
        <v/>
      </c>
      <c r="K314" t="str">
        <f t="shared" si="76"/>
        <v/>
      </c>
      <c r="L314" t="str">
        <f t="shared" si="77"/>
        <v/>
      </c>
      <c r="M314" t="str">
        <f t="shared" si="78"/>
        <v/>
      </c>
      <c r="N314" t="str">
        <f t="shared" si="79"/>
        <v/>
      </c>
      <c r="O314" t="str">
        <f t="shared" si="80"/>
        <v/>
      </c>
      <c r="P314" t="str">
        <f t="shared" si="81"/>
        <v/>
      </c>
      <c r="Q314" t="str">
        <f t="shared" si="82"/>
        <v/>
      </c>
      <c r="R314" t="str">
        <f t="shared" si="83"/>
        <v/>
      </c>
      <c r="S314" t="str">
        <f t="shared" si="84"/>
        <v/>
      </c>
      <c r="T314" t="str">
        <f t="shared" si="85"/>
        <v/>
      </c>
      <c r="U314" t="str">
        <f t="shared" si="86"/>
        <v/>
      </c>
      <c r="V314" t="str">
        <f t="shared" si="87"/>
        <v/>
      </c>
      <c r="W314" t="str">
        <f>IF($A314="","",Allocation!CD314)</f>
        <v/>
      </c>
      <c r="X314" t="str">
        <f>IF($A314="","",Allocation!CE314)</f>
        <v/>
      </c>
      <c r="Y314" t="str">
        <f>IF($A314="","",Allocation!CF314)</f>
        <v/>
      </c>
      <c r="Z314" t="str">
        <f>IF($A314="","",Allocation!CG314)</f>
        <v/>
      </c>
      <c r="AA314" t="str">
        <f>IF($A314="","",Allocation!CH314)</f>
        <v/>
      </c>
      <c r="AB314" t="str">
        <f>IF($A314="","",Allocation!CI314)</f>
        <v/>
      </c>
      <c r="AC314" t="str">
        <f>IF($A314="","",IF(Allocation!$N$4="VOL_EFF",$G314,IF(Allocation!$N$4="VOL_CLASS",$H314,$I314)))</f>
        <v/>
      </c>
      <c r="AD314" t="str">
        <f>IF($A314="","",IF(Allocation!$N$4="VOL_EFF",$L314,IF(Allocation!$N$4="VOL_CLASS",$M314,$N314)))</f>
        <v/>
      </c>
      <c r="AE314" t="str">
        <f>IF($A314="","",IF(Allocation!$N$3="VOL_EFF",$L314,IF(Allocation!$N$3="VOL_CLASS",$M314,$N314)))</f>
        <v/>
      </c>
      <c r="AF314" t="str">
        <f>IF($A314="","",IF(Allocation!$N$3="VOL_EFF",$Q314,IF(Allocation!$N$3="VOL_CLASS",$R314,$S314)))</f>
        <v/>
      </c>
      <c r="AG314" t="str">
        <f>IF($A314="","",IF(Allocation!$N$1="VOL_EFF",$Q314,IF(Allocation!$N$1="VOL_CLASS",$R314,$S314)))</f>
        <v/>
      </c>
      <c r="AH314" t="str">
        <f>IF($A314="","",IF(Allocation!$N$1="VOL_EFF",$T314,IF(Allocation!$N$1="VOL_CLASS",$U314,$V314)))</f>
        <v/>
      </c>
      <c r="AI314" t="str">
        <f t="shared" si="88"/>
        <v/>
      </c>
      <c r="AJ314" t="str">
        <f t="shared" si="89"/>
        <v/>
      </c>
      <c r="AK314" t="str">
        <f t="shared" si="90"/>
        <v/>
      </c>
      <c r="AL314" t="str">
        <f t="shared" si="91"/>
        <v/>
      </c>
      <c r="AM314" t="str">
        <f t="shared" si="92"/>
        <v/>
      </c>
      <c r="AN314" t="str">
        <f t="shared" si="93"/>
        <v/>
      </c>
      <c r="AO314" t="str">
        <f>IF($A314="","",Allocation!CJ314)</f>
        <v/>
      </c>
      <c r="AP314" t="str">
        <f>IF($A314="","",IF(Allocation!$N$2="VOL_EFF",$Q314,IF(Allocation!$N$2="VOL_CLASS",$R314,$S314)))</f>
        <v/>
      </c>
      <c r="AQ314" t="str">
        <f>IF($A314="","",IF(Allocation!$N$2="VOL_EFF",$T314,IF(Allocation!$N$2="VOL_CLASS",$U314,$V314)))</f>
        <v/>
      </c>
      <c r="AR314" t="str">
        <f t="shared" si="94"/>
        <v/>
      </c>
      <c r="AS314" t="str">
        <f>IF($A314="","",$A314&amp;"|"&amp;Allocation!BG314)</f>
        <v/>
      </c>
    </row>
    <row r="315" spans="1:45" x14ac:dyDescent="0.45">
      <c r="A315" t="str">
        <f>IF(Allocation!BI315="","",Allocation!BI315)</f>
        <v/>
      </c>
      <c r="B315" t="str">
        <f>IF(Allocation!BJ315="","",Allocation!BJ315)</f>
        <v/>
      </c>
      <c r="C315" t="str">
        <f>IF(Allocation!BK315="","",Allocation!BK315)</f>
        <v/>
      </c>
      <c r="D315" t="str">
        <f>IF(Allocation!BL315="","",Allocation!BL315)</f>
        <v/>
      </c>
      <c r="E315" t="str">
        <f>IF(Allocation!BM315="","",Allocation!BM315)</f>
        <v/>
      </c>
      <c r="F315" t="str">
        <f>IF(Allocation!BN315="","",Allocation!BN315)</f>
        <v/>
      </c>
      <c r="G315" t="str">
        <f>IF(Allocation!BO315="","",Allocation!BO315)</f>
        <v/>
      </c>
      <c r="H315" t="str">
        <f>IF(Allocation!BP315="","",Allocation!BP315)</f>
        <v/>
      </c>
      <c r="I315" t="str">
        <f>IF(Allocation!BQ315="","",Allocation!BQ315)</f>
        <v/>
      </c>
      <c r="J315" t="str">
        <f>IF(Allocation!CC315="","",Allocation!CC315)</f>
        <v/>
      </c>
      <c r="K315" t="str">
        <f t="shared" si="76"/>
        <v/>
      </c>
      <c r="L315" t="str">
        <f t="shared" si="77"/>
        <v/>
      </c>
      <c r="M315" t="str">
        <f t="shared" si="78"/>
        <v/>
      </c>
      <c r="N315" t="str">
        <f t="shared" si="79"/>
        <v/>
      </c>
      <c r="O315" t="str">
        <f t="shared" si="80"/>
        <v/>
      </c>
      <c r="P315" t="str">
        <f t="shared" si="81"/>
        <v/>
      </c>
      <c r="Q315" t="str">
        <f t="shared" si="82"/>
        <v/>
      </c>
      <c r="R315" t="str">
        <f t="shared" si="83"/>
        <v/>
      </c>
      <c r="S315" t="str">
        <f t="shared" si="84"/>
        <v/>
      </c>
      <c r="T315" t="str">
        <f t="shared" si="85"/>
        <v/>
      </c>
      <c r="U315" t="str">
        <f t="shared" si="86"/>
        <v/>
      </c>
      <c r="V315" t="str">
        <f t="shared" si="87"/>
        <v/>
      </c>
      <c r="W315" t="str">
        <f>IF($A315="","",Allocation!CD315)</f>
        <v/>
      </c>
      <c r="X315" t="str">
        <f>IF($A315="","",Allocation!CE315)</f>
        <v/>
      </c>
      <c r="Y315" t="str">
        <f>IF($A315="","",Allocation!CF315)</f>
        <v/>
      </c>
      <c r="Z315" t="str">
        <f>IF($A315="","",Allocation!CG315)</f>
        <v/>
      </c>
      <c r="AA315" t="str">
        <f>IF($A315="","",Allocation!CH315)</f>
        <v/>
      </c>
      <c r="AB315" t="str">
        <f>IF($A315="","",Allocation!CI315)</f>
        <v/>
      </c>
      <c r="AC315" t="str">
        <f>IF($A315="","",IF(Allocation!$N$4="VOL_EFF",$G315,IF(Allocation!$N$4="VOL_CLASS",$H315,$I315)))</f>
        <v/>
      </c>
      <c r="AD315" t="str">
        <f>IF($A315="","",IF(Allocation!$N$4="VOL_EFF",$L315,IF(Allocation!$N$4="VOL_CLASS",$M315,$N315)))</f>
        <v/>
      </c>
      <c r="AE315" t="str">
        <f>IF($A315="","",IF(Allocation!$N$3="VOL_EFF",$L315,IF(Allocation!$N$3="VOL_CLASS",$M315,$N315)))</f>
        <v/>
      </c>
      <c r="AF315" t="str">
        <f>IF($A315="","",IF(Allocation!$N$3="VOL_EFF",$Q315,IF(Allocation!$N$3="VOL_CLASS",$R315,$S315)))</f>
        <v/>
      </c>
      <c r="AG315" t="str">
        <f>IF($A315="","",IF(Allocation!$N$1="VOL_EFF",$Q315,IF(Allocation!$N$1="VOL_CLASS",$R315,$S315)))</f>
        <v/>
      </c>
      <c r="AH315" t="str">
        <f>IF($A315="","",IF(Allocation!$N$1="VOL_EFF",$T315,IF(Allocation!$N$1="VOL_CLASS",$U315,$V315)))</f>
        <v/>
      </c>
      <c r="AI315" t="str">
        <f t="shared" si="88"/>
        <v/>
      </c>
      <c r="AJ315" t="str">
        <f t="shared" si="89"/>
        <v/>
      </c>
      <c r="AK315" t="str">
        <f t="shared" si="90"/>
        <v/>
      </c>
      <c r="AL315" t="str">
        <f t="shared" si="91"/>
        <v/>
      </c>
      <c r="AM315" t="str">
        <f t="shared" si="92"/>
        <v/>
      </c>
      <c r="AN315" t="str">
        <f t="shared" si="93"/>
        <v/>
      </c>
      <c r="AO315" t="str">
        <f>IF($A315="","",Allocation!CJ315)</f>
        <v/>
      </c>
      <c r="AP315" t="str">
        <f>IF($A315="","",IF(Allocation!$N$2="VOL_EFF",$Q315,IF(Allocation!$N$2="VOL_CLASS",$R315,$S315)))</f>
        <v/>
      </c>
      <c r="AQ315" t="str">
        <f>IF($A315="","",IF(Allocation!$N$2="VOL_EFF",$T315,IF(Allocation!$N$2="VOL_CLASS",$U315,$V315)))</f>
        <v/>
      </c>
      <c r="AR315" t="str">
        <f t="shared" si="94"/>
        <v/>
      </c>
      <c r="AS315" t="str">
        <f>IF($A315="","",$A315&amp;"|"&amp;Allocation!BG315)</f>
        <v/>
      </c>
    </row>
    <row r="316" spans="1:45" x14ac:dyDescent="0.45">
      <c r="A316" t="str">
        <f>IF(Allocation!BI316="","",Allocation!BI316)</f>
        <v/>
      </c>
      <c r="B316" t="str">
        <f>IF(Allocation!BJ316="","",Allocation!BJ316)</f>
        <v/>
      </c>
      <c r="C316" t="str">
        <f>IF(Allocation!BK316="","",Allocation!BK316)</f>
        <v/>
      </c>
      <c r="D316" t="str">
        <f>IF(Allocation!BL316="","",Allocation!BL316)</f>
        <v/>
      </c>
      <c r="E316" t="str">
        <f>IF(Allocation!BM316="","",Allocation!BM316)</f>
        <v/>
      </c>
      <c r="F316" t="str">
        <f>IF(Allocation!BN316="","",Allocation!BN316)</f>
        <v/>
      </c>
      <c r="G316" t="str">
        <f>IF(Allocation!BO316="","",Allocation!BO316)</f>
        <v/>
      </c>
      <c r="H316" t="str">
        <f>IF(Allocation!BP316="","",Allocation!BP316)</f>
        <v/>
      </c>
      <c r="I316" t="str">
        <f>IF(Allocation!BQ316="","",Allocation!BQ316)</f>
        <v/>
      </c>
      <c r="J316" t="str">
        <f>IF(Allocation!CC316="","",Allocation!CC316)</f>
        <v/>
      </c>
      <c r="K316" t="str">
        <f t="shared" si="76"/>
        <v/>
      </c>
      <c r="L316" t="str">
        <f t="shared" si="77"/>
        <v/>
      </c>
      <c r="M316" t="str">
        <f t="shared" si="78"/>
        <v/>
      </c>
      <c r="N316" t="str">
        <f t="shared" si="79"/>
        <v/>
      </c>
      <c r="O316" t="str">
        <f t="shared" si="80"/>
        <v/>
      </c>
      <c r="P316" t="str">
        <f t="shared" si="81"/>
        <v/>
      </c>
      <c r="Q316" t="str">
        <f t="shared" si="82"/>
        <v/>
      </c>
      <c r="R316" t="str">
        <f t="shared" si="83"/>
        <v/>
      </c>
      <c r="S316" t="str">
        <f t="shared" si="84"/>
        <v/>
      </c>
      <c r="T316" t="str">
        <f t="shared" si="85"/>
        <v/>
      </c>
      <c r="U316" t="str">
        <f t="shared" si="86"/>
        <v/>
      </c>
      <c r="V316" t="str">
        <f t="shared" si="87"/>
        <v/>
      </c>
      <c r="W316" t="str">
        <f>IF($A316="","",Allocation!CD316)</f>
        <v/>
      </c>
      <c r="X316" t="str">
        <f>IF($A316="","",Allocation!CE316)</f>
        <v/>
      </c>
      <c r="Y316" t="str">
        <f>IF($A316="","",Allocation!CF316)</f>
        <v/>
      </c>
      <c r="Z316" t="str">
        <f>IF($A316="","",Allocation!CG316)</f>
        <v/>
      </c>
      <c r="AA316" t="str">
        <f>IF($A316="","",Allocation!CH316)</f>
        <v/>
      </c>
      <c r="AB316" t="str">
        <f>IF($A316="","",Allocation!CI316)</f>
        <v/>
      </c>
      <c r="AC316" t="str">
        <f>IF($A316="","",IF(Allocation!$N$4="VOL_EFF",$G316,IF(Allocation!$N$4="VOL_CLASS",$H316,$I316)))</f>
        <v/>
      </c>
      <c r="AD316" t="str">
        <f>IF($A316="","",IF(Allocation!$N$4="VOL_EFF",$L316,IF(Allocation!$N$4="VOL_CLASS",$M316,$N316)))</f>
        <v/>
      </c>
      <c r="AE316" t="str">
        <f>IF($A316="","",IF(Allocation!$N$3="VOL_EFF",$L316,IF(Allocation!$N$3="VOL_CLASS",$M316,$N316)))</f>
        <v/>
      </c>
      <c r="AF316" t="str">
        <f>IF($A316="","",IF(Allocation!$N$3="VOL_EFF",$Q316,IF(Allocation!$N$3="VOL_CLASS",$R316,$S316)))</f>
        <v/>
      </c>
      <c r="AG316" t="str">
        <f>IF($A316="","",IF(Allocation!$N$1="VOL_EFF",$Q316,IF(Allocation!$N$1="VOL_CLASS",$R316,$S316)))</f>
        <v/>
      </c>
      <c r="AH316" t="str">
        <f>IF($A316="","",IF(Allocation!$N$1="VOL_EFF",$T316,IF(Allocation!$N$1="VOL_CLASS",$U316,$V316)))</f>
        <v/>
      </c>
      <c r="AI316" t="str">
        <f t="shared" si="88"/>
        <v/>
      </c>
      <c r="AJ316" t="str">
        <f t="shared" si="89"/>
        <v/>
      </c>
      <c r="AK316" t="str">
        <f t="shared" si="90"/>
        <v/>
      </c>
      <c r="AL316" t="str">
        <f t="shared" si="91"/>
        <v/>
      </c>
      <c r="AM316" t="str">
        <f t="shared" si="92"/>
        <v/>
      </c>
      <c r="AN316" t="str">
        <f t="shared" si="93"/>
        <v/>
      </c>
      <c r="AO316" t="str">
        <f>IF($A316="","",Allocation!CJ316)</f>
        <v/>
      </c>
      <c r="AP316" t="str">
        <f>IF($A316="","",IF(Allocation!$N$2="VOL_EFF",$Q316,IF(Allocation!$N$2="VOL_CLASS",$R316,$S316)))</f>
        <v/>
      </c>
      <c r="AQ316" t="str">
        <f>IF($A316="","",IF(Allocation!$N$2="VOL_EFF",$T316,IF(Allocation!$N$2="VOL_CLASS",$U316,$V316)))</f>
        <v/>
      </c>
      <c r="AR316" t="str">
        <f t="shared" si="94"/>
        <v/>
      </c>
      <c r="AS316" t="str">
        <f>IF($A316="","",$A316&amp;"|"&amp;Allocation!BG316)</f>
        <v/>
      </c>
    </row>
    <row r="317" spans="1:45" x14ac:dyDescent="0.45">
      <c r="A317" t="str">
        <f>IF(Allocation!BI317="","",Allocation!BI317)</f>
        <v/>
      </c>
      <c r="B317" t="str">
        <f>IF(Allocation!BJ317="","",Allocation!BJ317)</f>
        <v/>
      </c>
      <c r="C317" t="str">
        <f>IF(Allocation!BK317="","",Allocation!BK317)</f>
        <v/>
      </c>
      <c r="D317" t="str">
        <f>IF(Allocation!BL317="","",Allocation!BL317)</f>
        <v/>
      </c>
      <c r="E317" t="str">
        <f>IF(Allocation!BM317="","",Allocation!BM317)</f>
        <v/>
      </c>
      <c r="F317" t="str">
        <f>IF(Allocation!BN317="","",Allocation!BN317)</f>
        <v/>
      </c>
      <c r="G317" t="str">
        <f>IF(Allocation!BO317="","",Allocation!BO317)</f>
        <v/>
      </c>
      <c r="H317" t="str">
        <f>IF(Allocation!BP317="","",Allocation!BP317)</f>
        <v/>
      </c>
      <c r="I317" t="str">
        <f>IF(Allocation!BQ317="","",Allocation!BQ317)</f>
        <v/>
      </c>
      <c r="J317" t="str">
        <f>IF(Allocation!CC317="","",Allocation!CC317)</f>
        <v/>
      </c>
      <c r="K317" t="str">
        <f t="shared" si="76"/>
        <v/>
      </c>
      <c r="L317" t="str">
        <f t="shared" si="77"/>
        <v/>
      </c>
      <c r="M317" t="str">
        <f t="shared" si="78"/>
        <v/>
      </c>
      <c r="N317" t="str">
        <f t="shared" si="79"/>
        <v/>
      </c>
      <c r="O317" t="str">
        <f t="shared" si="80"/>
        <v/>
      </c>
      <c r="P317" t="str">
        <f t="shared" si="81"/>
        <v/>
      </c>
      <c r="Q317" t="str">
        <f t="shared" si="82"/>
        <v/>
      </c>
      <c r="R317" t="str">
        <f t="shared" si="83"/>
        <v/>
      </c>
      <c r="S317" t="str">
        <f t="shared" si="84"/>
        <v/>
      </c>
      <c r="T317" t="str">
        <f t="shared" si="85"/>
        <v/>
      </c>
      <c r="U317" t="str">
        <f t="shared" si="86"/>
        <v/>
      </c>
      <c r="V317" t="str">
        <f t="shared" si="87"/>
        <v/>
      </c>
      <c r="W317" t="str">
        <f>IF($A317="","",Allocation!CD317)</f>
        <v/>
      </c>
      <c r="X317" t="str">
        <f>IF($A317="","",Allocation!CE317)</f>
        <v/>
      </c>
      <c r="Y317" t="str">
        <f>IF($A317="","",Allocation!CF317)</f>
        <v/>
      </c>
      <c r="Z317" t="str">
        <f>IF($A317="","",Allocation!CG317)</f>
        <v/>
      </c>
      <c r="AA317" t="str">
        <f>IF($A317="","",Allocation!CH317)</f>
        <v/>
      </c>
      <c r="AB317" t="str">
        <f>IF($A317="","",Allocation!CI317)</f>
        <v/>
      </c>
      <c r="AC317" t="str">
        <f>IF($A317="","",IF(Allocation!$N$4="VOL_EFF",$G317,IF(Allocation!$N$4="VOL_CLASS",$H317,$I317)))</f>
        <v/>
      </c>
      <c r="AD317" t="str">
        <f>IF($A317="","",IF(Allocation!$N$4="VOL_EFF",$L317,IF(Allocation!$N$4="VOL_CLASS",$M317,$N317)))</f>
        <v/>
      </c>
      <c r="AE317" t="str">
        <f>IF($A317="","",IF(Allocation!$N$3="VOL_EFF",$L317,IF(Allocation!$N$3="VOL_CLASS",$M317,$N317)))</f>
        <v/>
      </c>
      <c r="AF317" t="str">
        <f>IF($A317="","",IF(Allocation!$N$3="VOL_EFF",$Q317,IF(Allocation!$N$3="VOL_CLASS",$R317,$S317)))</f>
        <v/>
      </c>
      <c r="AG317" t="str">
        <f>IF($A317="","",IF(Allocation!$N$1="VOL_EFF",$Q317,IF(Allocation!$N$1="VOL_CLASS",$R317,$S317)))</f>
        <v/>
      </c>
      <c r="AH317" t="str">
        <f>IF($A317="","",IF(Allocation!$N$1="VOL_EFF",$T317,IF(Allocation!$N$1="VOL_CLASS",$U317,$V317)))</f>
        <v/>
      </c>
      <c r="AI317" t="str">
        <f t="shared" si="88"/>
        <v/>
      </c>
      <c r="AJ317" t="str">
        <f t="shared" si="89"/>
        <v/>
      </c>
      <c r="AK317" t="str">
        <f t="shared" si="90"/>
        <v/>
      </c>
      <c r="AL317" t="str">
        <f t="shared" si="91"/>
        <v/>
      </c>
      <c r="AM317" t="str">
        <f t="shared" si="92"/>
        <v/>
      </c>
      <c r="AN317" t="str">
        <f t="shared" si="93"/>
        <v/>
      </c>
      <c r="AO317" t="str">
        <f>IF($A317="","",Allocation!CJ317)</f>
        <v/>
      </c>
      <c r="AP317" t="str">
        <f>IF($A317="","",IF(Allocation!$N$2="VOL_EFF",$Q317,IF(Allocation!$N$2="VOL_CLASS",$R317,$S317)))</f>
        <v/>
      </c>
      <c r="AQ317" t="str">
        <f>IF($A317="","",IF(Allocation!$N$2="VOL_EFF",$T317,IF(Allocation!$N$2="VOL_CLASS",$U317,$V317)))</f>
        <v/>
      </c>
      <c r="AR317" t="str">
        <f t="shared" si="94"/>
        <v/>
      </c>
      <c r="AS317" t="str">
        <f>IF($A317="","",$A317&amp;"|"&amp;Allocation!BG317)</f>
        <v/>
      </c>
    </row>
    <row r="318" spans="1:45" x14ac:dyDescent="0.45">
      <c r="A318" t="str">
        <f>IF(Allocation!BI318="","",Allocation!BI318)</f>
        <v/>
      </c>
      <c r="B318" t="str">
        <f>IF(Allocation!BJ318="","",Allocation!BJ318)</f>
        <v/>
      </c>
      <c r="C318" t="str">
        <f>IF(Allocation!BK318="","",Allocation!BK318)</f>
        <v/>
      </c>
      <c r="D318" t="str">
        <f>IF(Allocation!BL318="","",Allocation!BL318)</f>
        <v/>
      </c>
      <c r="E318" t="str">
        <f>IF(Allocation!BM318="","",Allocation!BM318)</f>
        <v/>
      </c>
      <c r="F318" t="str">
        <f>IF(Allocation!BN318="","",Allocation!BN318)</f>
        <v/>
      </c>
      <c r="G318" t="str">
        <f>IF(Allocation!BO318="","",Allocation!BO318)</f>
        <v/>
      </c>
      <c r="H318" t="str">
        <f>IF(Allocation!BP318="","",Allocation!BP318)</f>
        <v/>
      </c>
      <c r="I318" t="str">
        <f>IF(Allocation!BQ318="","",Allocation!BQ318)</f>
        <v/>
      </c>
      <c r="J318" t="str">
        <f>IF(Allocation!CC318="","",Allocation!CC318)</f>
        <v/>
      </c>
      <c r="K318" t="str">
        <f t="shared" si="76"/>
        <v/>
      </c>
      <c r="L318" t="str">
        <f t="shared" si="77"/>
        <v/>
      </c>
      <c r="M318" t="str">
        <f t="shared" si="78"/>
        <v/>
      </c>
      <c r="N318" t="str">
        <f t="shared" si="79"/>
        <v/>
      </c>
      <c r="O318" t="str">
        <f t="shared" si="80"/>
        <v/>
      </c>
      <c r="P318" t="str">
        <f t="shared" si="81"/>
        <v/>
      </c>
      <c r="Q318" t="str">
        <f t="shared" si="82"/>
        <v/>
      </c>
      <c r="R318" t="str">
        <f t="shared" si="83"/>
        <v/>
      </c>
      <c r="S318" t="str">
        <f t="shared" si="84"/>
        <v/>
      </c>
      <c r="T318" t="str">
        <f t="shared" si="85"/>
        <v/>
      </c>
      <c r="U318" t="str">
        <f t="shared" si="86"/>
        <v/>
      </c>
      <c r="V318" t="str">
        <f t="shared" si="87"/>
        <v/>
      </c>
      <c r="W318" t="str">
        <f>IF($A318="","",Allocation!CD318)</f>
        <v/>
      </c>
      <c r="X318" t="str">
        <f>IF($A318="","",Allocation!CE318)</f>
        <v/>
      </c>
      <c r="Y318" t="str">
        <f>IF($A318="","",Allocation!CF318)</f>
        <v/>
      </c>
      <c r="Z318" t="str">
        <f>IF($A318="","",Allocation!CG318)</f>
        <v/>
      </c>
      <c r="AA318" t="str">
        <f>IF($A318="","",Allocation!CH318)</f>
        <v/>
      </c>
      <c r="AB318" t="str">
        <f>IF($A318="","",Allocation!CI318)</f>
        <v/>
      </c>
      <c r="AC318" t="str">
        <f>IF($A318="","",IF(Allocation!$N$4="VOL_EFF",$G318,IF(Allocation!$N$4="VOL_CLASS",$H318,$I318)))</f>
        <v/>
      </c>
      <c r="AD318" t="str">
        <f>IF($A318="","",IF(Allocation!$N$4="VOL_EFF",$L318,IF(Allocation!$N$4="VOL_CLASS",$M318,$N318)))</f>
        <v/>
      </c>
      <c r="AE318" t="str">
        <f>IF($A318="","",IF(Allocation!$N$3="VOL_EFF",$L318,IF(Allocation!$N$3="VOL_CLASS",$M318,$N318)))</f>
        <v/>
      </c>
      <c r="AF318" t="str">
        <f>IF($A318="","",IF(Allocation!$N$3="VOL_EFF",$Q318,IF(Allocation!$N$3="VOL_CLASS",$R318,$S318)))</f>
        <v/>
      </c>
      <c r="AG318" t="str">
        <f>IF($A318="","",IF(Allocation!$N$1="VOL_EFF",$Q318,IF(Allocation!$N$1="VOL_CLASS",$R318,$S318)))</f>
        <v/>
      </c>
      <c r="AH318" t="str">
        <f>IF($A318="","",IF(Allocation!$N$1="VOL_EFF",$T318,IF(Allocation!$N$1="VOL_CLASS",$U318,$V318)))</f>
        <v/>
      </c>
      <c r="AI318" t="str">
        <f t="shared" si="88"/>
        <v/>
      </c>
      <c r="AJ318" t="str">
        <f t="shared" si="89"/>
        <v/>
      </c>
      <c r="AK318" t="str">
        <f t="shared" si="90"/>
        <v/>
      </c>
      <c r="AL318" t="str">
        <f t="shared" si="91"/>
        <v/>
      </c>
      <c r="AM318" t="str">
        <f t="shared" si="92"/>
        <v/>
      </c>
      <c r="AN318" t="str">
        <f t="shared" si="93"/>
        <v/>
      </c>
      <c r="AO318" t="str">
        <f>IF($A318="","",Allocation!CJ318)</f>
        <v/>
      </c>
      <c r="AP318" t="str">
        <f>IF($A318="","",IF(Allocation!$N$2="VOL_EFF",$Q318,IF(Allocation!$N$2="VOL_CLASS",$R318,$S318)))</f>
        <v/>
      </c>
      <c r="AQ318" t="str">
        <f>IF($A318="","",IF(Allocation!$N$2="VOL_EFF",$T318,IF(Allocation!$N$2="VOL_CLASS",$U318,$V318)))</f>
        <v/>
      </c>
      <c r="AR318" t="str">
        <f t="shared" si="94"/>
        <v/>
      </c>
      <c r="AS318" t="str">
        <f>IF($A318="","",$A318&amp;"|"&amp;Allocation!BG318)</f>
        <v/>
      </c>
    </row>
    <row r="319" spans="1:45" x14ac:dyDescent="0.45">
      <c r="A319" t="str">
        <f>IF(Allocation!BI319="","",Allocation!BI319)</f>
        <v/>
      </c>
      <c r="B319" t="str">
        <f>IF(Allocation!BJ319="","",Allocation!BJ319)</f>
        <v/>
      </c>
      <c r="C319" t="str">
        <f>IF(Allocation!BK319="","",Allocation!BK319)</f>
        <v/>
      </c>
      <c r="D319" t="str">
        <f>IF(Allocation!BL319="","",Allocation!BL319)</f>
        <v/>
      </c>
      <c r="E319" t="str">
        <f>IF(Allocation!BM319="","",Allocation!BM319)</f>
        <v/>
      </c>
      <c r="F319" t="str">
        <f>IF(Allocation!BN319="","",Allocation!BN319)</f>
        <v/>
      </c>
      <c r="G319" t="str">
        <f>IF(Allocation!BO319="","",Allocation!BO319)</f>
        <v/>
      </c>
      <c r="H319" t="str">
        <f>IF(Allocation!BP319="","",Allocation!BP319)</f>
        <v/>
      </c>
      <c r="I319" t="str">
        <f>IF(Allocation!BQ319="","",Allocation!BQ319)</f>
        <v/>
      </c>
      <c r="J319" t="str">
        <f>IF(Allocation!CC319="","",Allocation!CC319)</f>
        <v/>
      </c>
      <c r="K319" t="str">
        <f t="shared" si="76"/>
        <v/>
      </c>
      <c r="L319" t="str">
        <f t="shared" si="77"/>
        <v/>
      </c>
      <c r="M319" t="str">
        <f t="shared" si="78"/>
        <v/>
      </c>
      <c r="N319" t="str">
        <f t="shared" si="79"/>
        <v/>
      </c>
      <c r="O319" t="str">
        <f t="shared" si="80"/>
        <v/>
      </c>
      <c r="P319" t="str">
        <f t="shared" si="81"/>
        <v/>
      </c>
      <c r="Q319" t="str">
        <f t="shared" si="82"/>
        <v/>
      </c>
      <c r="R319" t="str">
        <f t="shared" si="83"/>
        <v/>
      </c>
      <c r="S319" t="str">
        <f t="shared" si="84"/>
        <v/>
      </c>
      <c r="T319" t="str">
        <f t="shared" si="85"/>
        <v/>
      </c>
      <c r="U319" t="str">
        <f t="shared" si="86"/>
        <v/>
      </c>
      <c r="V319" t="str">
        <f t="shared" si="87"/>
        <v/>
      </c>
      <c r="W319" t="str">
        <f>IF($A319="","",Allocation!CD319)</f>
        <v/>
      </c>
      <c r="X319" t="str">
        <f>IF($A319="","",Allocation!CE319)</f>
        <v/>
      </c>
      <c r="Y319" t="str">
        <f>IF($A319="","",Allocation!CF319)</f>
        <v/>
      </c>
      <c r="Z319" t="str">
        <f>IF($A319="","",Allocation!CG319)</f>
        <v/>
      </c>
      <c r="AA319" t="str">
        <f>IF($A319="","",Allocation!CH319)</f>
        <v/>
      </c>
      <c r="AB319" t="str">
        <f>IF($A319="","",Allocation!CI319)</f>
        <v/>
      </c>
      <c r="AC319" t="str">
        <f>IF($A319="","",IF(Allocation!$N$4="VOL_EFF",$G319,IF(Allocation!$N$4="VOL_CLASS",$H319,$I319)))</f>
        <v/>
      </c>
      <c r="AD319" t="str">
        <f>IF($A319="","",IF(Allocation!$N$4="VOL_EFF",$L319,IF(Allocation!$N$4="VOL_CLASS",$M319,$N319)))</f>
        <v/>
      </c>
      <c r="AE319" t="str">
        <f>IF($A319="","",IF(Allocation!$N$3="VOL_EFF",$L319,IF(Allocation!$N$3="VOL_CLASS",$M319,$N319)))</f>
        <v/>
      </c>
      <c r="AF319" t="str">
        <f>IF($A319="","",IF(Allocation!$N$3="VOL_EFF",$Q319,IF(Allocation!$N$3="VOL_CLASS",$R319,$S319)))</f>
        <v/>
      </c>
      <c r="AG319" t="str">
        <f>IF($A319="","",IF(Allocation!$N$1="VOL_EFF",$Q319,IF(Allocation!$N$1="VOL_CLASS",$R319,$S319)))</f>
        <v/>
      </c>
      <c r="AH319" t="str">
        <f>IF($A319="","",IF(Allocation!$N$1="VOL_EFF",$T319,IF(Allocation!$N$1="VOL_CLASS",$U319,$V319)))</f>
        <v/>
      </c>
      <c r="AI319" t="str">
        <f t="shared" si="88"/>
        <v/>
      </c>
      <c r="AJ319" t="str">
        <f t="shared" si="89"/>
        <v/>
      </c>
      <c r="AK319" t="str">
        <f t="shared" si="90"/>
        <v/>
      </c>
      <c r="AL319" t="str">
        <f t="shared" si="91"/>
        <v/>
      </c>
      <c r="AM319" t="str">
        <f t="shared" si="92"/>
        <v/>
      </c>
      <c r="AN319" t="str">
        <f t="shared" si="93"/>
        <v/>
      </c>
      <c r="AO319" t="str">
        <f>IF($A319="","",Allocation!CJ319)</f>
        <v/>
      </c>
      <c r="AP319" t="str">
        <f>IF($A319="","",IF(Allocation!$N$2="VOL_EFF",$Q319,IF(Allocation!$N$2="VOL_CLASS",$R319,$S319)))</f>
        <v/>
      </c>
      <c r="AQ319" t="str">
        <f>IF($A319="","",IF(Allocation!$N$2="VOL_EFF",$T319,IF(Allocation!$N$2="VOL_CLASS",$U319,$V319)))</f>
        <v/>
      </c>
      <c r="AR319" t="str">
        <f t="shared" si="94"/>
        <v/>
      </c>
      <c r="AS319" t="str">
        <f>IF($A319="","",$A319&amp;"|"&amp;Allocation!BG319)</f>
        <v/>
      </c>
    </row>
    <row r="320" spans="1:45" x14ac:dyDescent="0.45">
      <c r="A320" t="str">
        <f>IF(Allocation!BI320="","",Allocation!BI320)</f>
        <v/>
      </c>
      <c r="B320" t="str">
        <f>IF(Allocation!BJ320="","",Allocation!BJ320)</f>
        <v/>
      </c>
      <c r="C320" t="str">
        <f>IF(Allocation!BK320="","",Allocation!BK320)</f>
        <v/>
      </c>
      <c r="D320" t="str">
        <f>IF(Allocation!BL320="","",Allocation!BL320)</f>
        <v/>
      </c>
      <c r="E320" t="str">
        <f>IF(Allocation!BM320="","",Allocation!BM320)</f>
        <v/>
      </c>
      <c r="F320" t="str">
        <f>IF(Allocation!BN320="","",Allocation!BN320)</f>
        <v/>
      </c>
      <c r="G320" t="str">
        <f>IF(Allocation!BO320="","",Allocation!BO320)</f>
        <v/>
      </c>
      <c r="H320" t="str">
        <f>IF(Allocation!BP320="","",Allocation!BP320)</f>
        <v/>
      </c>
      <c r="I320" t="str">
        <f>IF(Allocation!BQ320="","",Allocation!BQ320)</f>
        <v/>
      </c>
      <c r="J320" t="str">
        <f>IF(Allocation!CC320="","",Allocation!CC320)</f>
        <v/>
      </c>
      <c r="K320" t="str">
        <f t="shared" si="76"/>
        <v/>
      </c>
      <c r="L320" t="str">
        <f t="shared" si="77"/>
        <v/>
      </c>
      <c r="M320" t="str">
        <f t="shared" si="78"/>
        <v/>
      </c>
      <c r="N320" t="str">
        <f t="shared" si="79"/>
        <v/>
      </c>
      <c r="O320" t="str">
        <f t="shared" si="80"/>
        <v/>
      </c>
      <c r="P320" t="str">
        <f t="shared" si="81"/>
        <v/>
      </c>
      <c r="Q320" t="str">
        <f t="shared" si="82"/>
        <v/>
      </c>
      <c r="R320" t="str">
        <f t="shared" si="83"/>
        <v/>
      </c>
      <c r="S320" t="str">
        <f t="shared" si="84"/>
        <v/>
      </c>
      <c r="T320" t="str">
        <f t="shared" si="85"/>
        <v/>
      </c>
      <c r="U320" t="str">
        <f t="shared" si="86"/>
        <v/>
      </c>
      <c r="V320" t="str">
        <f t="shared" si="87"/>
        <v/>
      </c>
      <c r="W320" t="str">
        <f>IF($A320="","",Allocation!CD320)</f>
        <v/>
      </c>
      <c r="X320" t="str">
        <f>IF($A320="","",Allocation!CE320)</f>
        <v/>
      </c>
      <c r="Y320" t="str">
        <f>IF($A320="","",Allocation!CF320)</f>
        <v/>
      </c>
      <c r="Z320" t="str">
        <f>IF($A320="","",Allocation!CG320)</f>
        <v/>
      </c>
      <c r="AA320" t="str">
        <f>IF($A320="","",Allocation!CH320)</f>
        <v/>
      </c>
      <c r="AB320" t="str">
        <f>IF($A320="","",Allocation!CI320)</f>
        <v/>
      </c>
      <c r="AC320" t="str">
        <f>IF($A320="","",IF(Allocation!$N$4="VOL_EFF",$G320,IF(Allocation!$N$4="VOL_CLASS",$H320,$I320)))</f>
        <v/>
      </c>
      <c r="AD320" t="str">
        <f>IF($A320="","",IF(Allocation!$N$4="VOL_EFF",$L320,IF(Allocation!$N$4="VOL_CLASS",$M320,$N320)))</f>
        <v/>
      </c>
      <c r="AE320" t="str">
        <f>IF($A320="","",IF(Allocation!$N$3="VOL_EFF",$L320,IF(Allocation!$N$3="VOL_CLASS",$M320,$N320)))</f>
        <v/>
      </c>
      <c r="AF320" t="str">
        <f>IF($A320="","",IF(Allocation!$N$3="VOL_EFF",$Q320,IF(Allocation!$N$3="VOL_CLASS",$R320,$S320)))</f>
        <v/>
      </c>
      <c r="AG320" t="str">
        <f>IF($A320="","",IF(Allocation!$N$1="VOL_EFF",$Q320,IF(Allocation!$N$1="VOL_CLASS",$R320,$S320)))</f>
        <v/>
      </c>
      <c r="AH320" t="str">
        <f>IF($A320="","",IF(Allocation!$N$1="VOL_EFF",$T320,IF(Allocation!$N$1="VOL_CLASS",$U320,$V320)))</f>
        <v/>
      </c>
      <c r="AI320" t="str">
        <f t="shared" si="88"/>
        <v/>
      </c>
      <c r="AJ320" t="str">
        <f t="shared" si="89"/>
        <v/>
      </c>
      <c r="AK320" t="str">
        <f t="shared" si="90"/>
        <v/>
      </c>
      <c r="AL320" t="str">
        <f t="shared" si="91"/>
        <v/>
      </c>
      <c r="AM320" t="str">
        <f t="shared" si="92"/>
        <v/>
      </c>
      <c r="AN320" t="str">
        <f t="shared" si="93"/>
        <v/>
      </c>
      <c r="AO320" t="str">
        <f>IF($A320="","",Allocation!CJ320)</f>
        <v/>
      </c>
      <c r="AP320" t="str">
        <f>IF($A320="","",IF(Allocation!$N$2="VOL_EFF",$Q320,IF(Allocation!$N$2="VOL_CLASS",$R320,$S320)))</f>
        <v/>
      </c>
      <c r="AQ320" t="str">
        <f>IF($A320="","",IF(Allocation!$N$2="VOL_EFF",$T320,IF(Allocation!$N$2="VOL_CLASS",$U320,$V320)))</f>
        <v/>
      </c>
      <c r="AR320" t="str">
        <f t="shared" si="94"/>
        <v/>
      </c>
      <c r="AS320" t="str">
        <f>IF($A320="","",$A320&amp;"|"&amp;Allocation!BG320)</f>
        <v/>
      </c>
    </row>
    <row r="321" spans="1:45" x14ac:dyDescent="0.45">
      <c r="A321" t="str">
        <f>IF(Allocation!BI321="","",Allocation!BI321)</f>
        <v/>
      </c>
      <c r="B321" t="str">
        <f>IF(Allocation!BJ321="","",Allocation!BJ321)</f>
        <v/>
      </c>
      <c r="C321" t="str">
        <f>IF(Allocation!BK321="","",Allocation!BK321)</f>
        <v/>
      </c>
      <c r="D321" t="str">
        <f>IF(Allocation!BL321="","",Allocation!BL321)</f>
        <v/>
      </c>
      <c r="E321" t="str">
        <f>IF(Allocation!BM321="","",Allocation!BM321)</f>
        <v/>
      </c>
      <c r="F321" t="str">
        <f>IF(Allocation!BN321="","",Allocation!BN321)</f>
        <v/>
      </c>
      <c r="G321" t="str">
        <f>IF(Allocation!BO321="","",Allocation!BO321)</f>
        <v/>
      </c>
      <c r="H321" t="str">
        <f>IF(Allocation!BP321="","",Allocation!BP321)</f>
        <v/>
      </c>
      <c r="I321" t="str">
        <f>IF(Allocation!BQ321="","",Allocation!BQ321)</f>
        <v/>
      </c>
      <c r="J321" t="str">
        <f>IF(Allocation!CC321="","",Allocation!CC321)</f>
        <v/>
      </c>
      <c r="K321" t="str">
        <f t="shared" si="76"/>
        <v/>
      </c>
      <c r="L321" t="str">
        <f t="shared" si="77"/>
        <v/>
      </c>
      <c r="M321" t="str">
        <f t="shared" si="78"/>
        <v/>
      </c>
      <c r="N321" t="str">
        <f t="shared" si="79"/>
        <v/>
      </c>
      <c r="O321" t="str">
        <f t="shared" si="80"/>
        <v/>
      </c>
      <c r="P321" t="str">
        <f t="shared" si="81"/>
        <v/>
      </c>
      <c r="Q321" t="str">
        <f t="shared" si="82"/>
        <v/>
      </c>
      <c r="R321" t="str">
        <f t="shared" si="83"/>
        <v/>
      </c>
      <c r="S321" t="str">
        <f t="shared" si="84"/>
        <v/>
      </c>
      <c r="T321" t="str">
        <f t="shared" si="85"/>
        <v/>
      </c>
      <c r="U321" t="str">
        <f t="shared" si="86"/>
        <v/>
      </c>
      <c r="V321" t="str">
        <f t="shared" si="87"/>
        <v/>
      </c>
      <c r="W321" t="str">
        <f>IF($A321="","",Allocation!CD321)</f>
        <v/>
      </c>
      <c r="X321" t="str">
        <f>IF($A321="","",Allocation!CE321)</f>
        <v/>
      </c>
      <c r="Y321" t="str">
        <f>IF($A321="","",Allocation!CF321)</f>
        <v/>
      </c>
      <c r="Z321" t="str">
        <f>IF($A321="","",Allocation!CG321)</f>
        <v/>
      </c>
      <c r="AA321" t="str">
        <f>IF($A321="","",Allocation!CH321)</f>
        <v/>
      </c>
      <c r="AB321" t="str">
        <f>IF($A321="","",Allocation!CI321)</f>
        <v/>
      </c>
      <c r="AC321" t="str">
        <f>IF($A321="","",IF(Allocation!$N$4="VOL_EFF",$G321,IF(Allocation!$N$4="VOL_CLASS",$H321,$I321)))</f>
        <v/>
      </c>
      <c r="AD321" t="str">
        <f>IF($A321="","",IF(Allocation!$N$4="VOL_EFF",$L321,IF(Allocation!$N$4="VOL_CLASS",$M321,$N321)))</f>
        <v/>
      </c>
      <c r="AE321" t="str">
        <f>IF($A321="","",IF(Allocation!$N$3="VOL_EFF",$L321,IF(Allocation!$N$3="VOL_CLASS",$M321,$N321)))</f>
        <v/>
      </c>
      <c r="AF321" t="str">
        <f>IF($A321="","",IF(Allocation!$N$3="VOL_EFF",$Q321,IF(Allocation!$N$3="VOL_CLASS",$R321,$S321)))</f>
        <v/>
      </c>
      <c r="AG321" t="str">
        <f>IF($A321="","",IF(Allocation!$N$1="VOL_EFF",$Q321,IF(Allocation!$N$1="VOL_CLASS",$R321,$S321)))</f>
        <v/>
      </c>
      <c r="AH321" t="str">
        <f>IF($A321="","",IF(Allocation!$N$1="VOL_EFF",$T321,IF(Allocation!$N$1="VOL_CLASS",$U321,$V321)))</f>
        <v/>
      </c>
      <c r="AI321" t="str">
        <f t="shared" si="88"/>
        <v/>
      </c>
      <c r="AJ321" t="str">
        <f t="shared" si="89"/>
        <v/>
      </c>
      <c r="AK321" t="str">
        <f t="shared" si="90"/>
        <v/>
      </c>
      <c r="AL321" t="str">
        <f t="shared" si="91"/>
        <v/>
      </c>
      <c r="AM321" t="str">
        <f t="shared" si="92"/>
        <v/>
      </c>
      <c r="AN321" t="str">
        <f t="shared" si="93"/>
        <v/>
      </c>
      <c r="AO321" t="str">
        <f>IF($A321="","",Allocation!CJ321)</f>
        <v/>
      </c>
      <c r="AP321" t="str">
        <f>IF($A321="","",IF(Allocation!$N$2="VOL_EFF",$Q321,IF(Allocation!$N$2="VOL_CLASS",$R321,$S321)))</f>
        <v/>
      </c>
      <c r="AQ321" t="str">
        <f>IF($A321="","",IF(Allocation!$N$2="VOL_EFF",$T321,IF(Allocation!$N$2="VOL_CLASS",$U321,$V321)))</f>
        <v/>
      </c>
      <c r="AR321" t="str">
        <f t="shared" si="94"/>
        <v/>
      </c>
      <c r="AS321" t="str">
        <f>IF($A321="","",$A321&amp;"|"&amp;Allocation!BG321)</f>
        <v/>
      </c>
    </row>
    <row r="322" spans="1:45" x14ac:dyDescent="0.45">
      <c r="A322" t="str">
        <f>IF(Allocation!BI322="","",Allocation!BI322)</f>
        <v/>
      </c>
      <c r="B322" t="str">
        <f>IF(Allocation!BJ322="","",Allocation!BJ322)</f>
        <v/>
      </c>
      <c r="C322" t="str">
        <f>IF(Allocation!BK322="","",Allocation!BK322)</f>
        <v/>
      </c>
      <c r="D322" t="str">
        <f>IF(Allocation!BL322="","",Allocation!BL322)</f>
        <v/>
      </c>
      <c r="E322" t="str">
        <f>IF(Allocation!BM322="","",Allocation!BM322)</f>
        <v/>
      </c>
      <c r="F322" t="str">
        <f>IF(Allocation!BN322="","",Allocation!BN322)</f>
        <v/>
      </c>
      <c r="G322" t="str">
        <f>IF(Allocation!BO322="","",Allocation!BO322)</f>
        <v/>
      </c>
      <c r="H322" t="str">
        <f>IF(Allocation!BP322="","",Allocation!BP322)</f>
        <v/>
      </c>
      <c r="I322" t="str">
        <f>IF(Allocation!BQ322="","",Allocation!BQ322)</f>
        <v/>
      </c>
      <c r="J322" t="str">
        <f>IF(Allocation!CC322="","",Allocation!CC322)</f>
        <v/>
      </c>
      <c r="K322" t="str">
        <f t="shared" ref="K322:K349" si="95">IF($A322="","",$H322*IF(AND(LEFT($D322,3)="BAC",$F322="INIT"),600,IF(LEFT($D322,3)="BAC",480,IF(AND(LEFT($D322,3)="MAS",$F322="INIT"),520,IF(LEFT($D322,3)="MAS",420,IF($F322="INIT",1000,700))))))</f>
        <v/>
      </c>
      <c r="L322" t="str">
        <f t="shared" ref="L322:L349" si="96">IF($A322="","",SUMIFS($G$1:$G$349,$AS$1:$AS$349,$AS322,$B$1:$B$349,$B322))</f>
        <v/>
      </c>
      <c r="M322" t="str">
        <f t="shared" ref="M322:M349" si="97">IF($A322="","",SUMIFS($H$1:$H$349,$AS$1:$AS$349,$AS322,$B$1:$B$349,$B322))</f>
        <v/>
      </c>
      <c r="N322" t="str">
        <f t="shared" ref="N322:N349" si="98">IF($A322="","",SUMIFS($I$1:$I$349,$AS$1:$AS$349,$AS322,$B$1:$B$349,$B322))</f>
        <v/>
      </c>
      <c r="O322" t="str">
        <f t="shared" ref="O322:O349" si="99">IF($A322="","",SUMIFS($K$1:$K$349,$AS$1:$AS$349,$AS322,$B$1:$B$349,$B322))</f>
        <v/>
      </c>
      <c r="P322" t="str">
        <f t="shared" ref="P322:P349" si="100">IF($A322="","",SUMIFS($J$1:$J$349,$AS$1:$AS$349,$AS322,$B$1:$B$349,$B322))</f>
        <v/>
      </c>
      <c r="Q322" t="str">
        <f t="shared" ref="Q322:Q349" si="101">IF($A322="","",SUMIFS($G$1:$G$349,$AS$1:$AS$349,$AS322,$C$1:$C$349,$C322))</f>
        <v/>
      </c>
      <c r="R322" t="str">
        <f t="shared" ref="R322:R349" si="102">IF($A322="","",SUMIFS($H$1:$H$349,$AS$1:$AS$349,$AS322,$C$1:$C$349,$C322))</f>
        <v/>
      </c>
      <c r="S322" t="str">
        <f t="shared" ref="S322:S349" si="103">IF($A322="","",SUMIFS($I$1:$I$349,$AS$1:$AS$349,$AS322,$C$1:$C$349,$C322))</f>
        <v/>
      </c>
      <c r="T322" t="str">
        <f t="shared" ref="T322:T349" si="104">IF($A322="","",SUMIFS($G$1:$G$349,$AS$1:$AS$349,$AS322))</f>
        <v/>
      </c>
      <c r="U322" t="str">
        <f t="shared" ref="U322:U349" si="105">IF($A322="","",SUMIFS($H$1:$H$349,$AS$1:$AS$349,$AS322))</f>
        <v/>
      </c>
      <c r="V322" t="str">
        <f t="shared" ref="V322:V349" si="106">IF($A322="","",SUMIFS($I$1:$I$349,$AS$1:$AS$349,$AS322))</f>
        <v/>
      </c>
      <c r="W322" t="str">
        <f>IF($A322="","",Allocation!CD322)</f>
        <v/>
      </c>
      <c r="X322" t="str">
        <f>IF($A322="","",Allocation!CE322)</f>
        <v/>
      </c>
      <c r="Y322" t="str">
        <f>IF($A322="","",Allocation!CF322)</f>
        <v/>
      </c>
      <c r="Z322" t="str">
        <f>IF($A322="","",Allocation!CG322)</f>
        <v/>
      </c>
      <c r="AA322" t="str">
        <f>IF($A322="","",Allocation!CH322)</f>
        <v/>
      </c>
      <c r="AB322" t="str">
        <f>IF($A322="","",Allocation!CI322)</f>
        <v/>
      </c>
      <c r="AC322" t="str">
        <f>IF($A322="","",IF(Allocation!$N$4="VOL_EFF",$G322,IF(Allocation!$N$4="VOL_CLASS",$H322,$I322)))</f>
        <v/>
      </c>
      <c r="AD322" t="str">
        <f>IF($A322="","",IF(Allocation!$N$4="VOL_EFF",$L322,IF(Allocation!$N$4="VOL_CLASS",$M322,$N322)))</f>
        <v/>
      </c>
      <c r="AE322" t="str">
        <f>IF($A322="","",IF(Allocation!$N$3="VOL_EFF",$L322,IF(Allocation!$N$3="VOL_CLASS",$M322,$N322)))</f>
        <v/>
      </c>
      <c r="AF322" t="str">
        <f>IF($A322="","",IF(Allocation!$N$3="VOL_EFF",$Q322,IF(Allocation!$N$3="VOL_CLASS",$R322,$S322)))</f>
        <v/>
      </c>
      <c r="AG322" t="str">
        <f>IF($A322="","",IF(Allocation!$N$1="VOL_EFF",$Q322,IF(Allocation!$N$1="VOL_CLASS",$R322,$S322)))</f>
        <v/>
      </c>
      <c r="AH322" t="str">
        <f>IF($A322="","",IF(Allocation!$N$1="VOL_EFF",$T322,IF(Allocation!$N$1="VOL_CLASS",$U322,$V322)))</f>
        <v/>
      </c>
      <c r="AI322" t="str">
        <f t="shared" ref="AI322:AI349" si="107">IF($A322="","",$W322*IFERROR($K322/$O322,0))</f>
        <v/>
      </c>
      <c r="AJ322" t="str">
        <f t="shared" ref="AJ322:AJ349" si="108">IF($A322="","",$X322*IFERROR($K322/$O322,0))</f>
        <v/>
      </c>
      <c r="AK322" t="str">
        <f t="shared" ref="AK322:AK349" si="109">IF($A322="","",$Y322*IFERROR($G322/$L322,0)+$Z322*IFERROR($J322/$P322,0))</f>
        <v/>
      </c>
      <c r="AL322" t="str">
        <f t="shared" ref="AL322:AL349" si="110">IF($A322="","",$AA322*IFERROR($AC322/$AD322,0))</f>
        <v/>
      </c>
      <c r="AM322" t="str">
        <f t="shared" ref="AM322:AM349" si="111">IF($A322="","",$AB322*IFERROR($AG322/$AH322,0)*IFERROR($AE322/$AF322,0)*IFERROR($AC322/$AD322,0))</f>
        <v/>
      </c>
      <c r="AN322" t="str">
        <f t="shared" ref="AN322:AN349" si="112">IF($A322="","",$I322-($AI322+$AJ322+$AK322+$AL322+$AM322+$AR322))</f>
        <v/>
      </c>
      <c r="AO322" t="str">
        <f>IF($A322="","",Allocation!CJ322)</f>
        <v/>
      </c>
      <c r="AP322" t="str">
        <f>IF($A322="","",IF(Allocation!$N$2="VOL_EFF",$Q322,IF(Allocation!$N$2="VOL_CLASS",$R322,$S322)))</f>
        <v/>
      </c>
      <c r="AQ322" t="str">
        <f>IF($A322="","",IF(Allocation!$N$2="VOL_EFF",$T322,IF(Allocation!$N$2="VOL_CLASS",$U322,$V322)))</f>
        <v/>
      </c>
      <c r="AR322" t="str">
        <f t="shared" ref="AR322:AR349" si="113">IF($A322="","",$AO322*IFERROR($AP322/$AQ322,0)*IFERROR($AE322/$AF322,0)*IFERROR($AC322/$AD322,0))</f>
        <v/>
      </c>
      <c r="AS322" t="str">
        <f>IF($A322="","",$A322&amp;"|"&amp;Allocation!BG322)</f>
        <v/>
      </c>
    </row>
    <row r="323" spans="1:45" x14ac:dyDescent="0.45">
      <c r="A323" t="str">
        <f>IF(Allocation!BI323="","",Allocation!BI323)</f>
        <v/>
      </c>
      <c r="B323" t="str">
        <f>IF(Allocation!BJ323="","",Allocation!BJ323)</f>
        <v/>
      </c>
      <c r="C323" t="str">
        <f>IF(Allocation!BK323="","",Allocation!BK323)</f>
        <v/>
      </c>
      <c r="D323" t="str">
        <f>IF(Allocation!BL323="","",Allocation!BL323)</f>
        <v/>
      </c>
      <c r="E323" t="str">
        <f>IF(Allocation!BM323="","",Allocation!BM323)</f>
        <v/>
      </c>
      <c r="F323" t="str">
        <f>IF(Allocation!BN323="","",Allocation!BN323)</f>
        <v/>
      </c>
      <c r="G323" t="str">
        <f>IF(Allocation!BO323="","",Allocation!BO323)</f>
        <v/>
      </c>
      <c r="H323" t="str">
        <f>IF(Allocation!BP323="","",Allocation!BP323)</f>
        <v/>
      </c>
      <c r="I323" t="str">
        <f>IF(Allocation!BQ323="","",Allocation!BQ323)</f>
        <v/>
      </c>
      <c r="J323" t="str">
        <f>IF(Allocation!CC323="","",Allocation!CC323)</f>
        <v/>
      </c>
      <c r="K323" t="str">
        <f t="shared" si="95"/>
        <v/>
      </c>
      <c r="L323" t="str">
        <f t="shared" si="96"/>
        <v/>
      </c>
      <c r="M323" t="str">
        <f t="shared" si="97"/>
        <v/>
      </c>
      <c r="N323" t="str">
        <f t="shared" si="98"/>
        <v/>
      </c>
      <c r="O323" t="str">
        <f t="shared" si="99"/>
        <v/>
      </c>
      <c r="P323" t="str">
        <f t="shared" si="100"/>
        <v/>
      </c>
      <c r="Q323" t="str">
        <f t="shared" si="101"/>
        <v/>
      </c>
      <c r="R323" t="str">
        <f t="shared" si="102"/>
        <v/>
      </c>
      <c r="S323" t="str">
        <f t="shared" si="103"/>
        <v/>
      </c>
      <c r="T323" t="str">
        <f t="shared" si="104"/>
        <v/>
      </c>
      <c r="U323" t="str">
        <f t="shared" si="105"/>
        <v/>
      </c>
      <c r="V323" t="str">
        <f t="shared" si="106"/>
        <v/>
      </c>
      <c r="W323" t="str">
        <f>IF($A323="","",Allocation!CD323)</f>
        <v/>
      </c>
      <c r="X323" t="str">
        <f>IF($A323="","",Allocation!CE323)</f>
        <v/>
      </c>
      <c r="Y323" t="str">
        <f>IF($A323="","",Allocation!CF323)</f>
        <v/>
      </c>
      <c r="Z323" t="str">
        <f>IF($A323="","",Allocation!CG323)</f>
        <v/>
      </c>
      <c r="AA323" t="str">
        <f>IF($A323="","",Allocation!CH323)</f>
        <v/>
      </c>
      <c r="AB323" t="str">
        <f>IF($A323="","",Allocation!CI323)</f>
        <v/>
      </c>
      <c r="AC323" t="str">
        <f>IF($A323="","",IF(Allocation!$N$4="VOL_EFF",$G323,IF(Allocation!$N$4="VOL_CLASS",$H323,$I323)))</f>
        <v/>
      </c>
      <c r="AD323" t="str">
        <f>IF($A323="","",IF(Allocation!$N$4="VOL_EFF",$L323,IF(Allocation!$N$4="VOL_CLASS",$M323,$N323)))</f>
        <v/>
      </c>
      <c r="AE323" t="str">
        <f>IF($A323="","",IF(Allocation!$N$3="VOL_EFF",$L323,IF(Allocation!$N$3="VOL_CLASS",$M323,$N323)))</f>
        <v/>
      </c>
      <c r="AF323" t="str">
        <f>IF($A323="","",IF(Allocation!$N$3="VOL_EFF",$Q323,IF(Allocation!$N$3="VOL_CLASS",$R323,$S323)))</f>
        <v/>
      </c>
      <c r="AG323" t="str">
        <f>IF($A323="","",IF(Allocation!$N$1="VOL_EFF",$Q323,IF(Allocation!$N$1="VOL_CLASS",$R323,$S323)))</f>
        <v/>
      </c>
      <c r="AH323" t="str">
        <f>IF($A323="","",IF(Allocation!$N$1="VOL_EFF",$T323,IF(Allocation!$N$1="VOL_CLASS",$U323,$V323)))</f>
        <v/>
      </c>
      <c r="AI323" t="str">
        <f t="shared" si="107"/>
        <v/>
      </c>
      <c r="AJ323" t="str">
        <f t="shared" si="108"/>
        <v/>
      </c>
      <c r="AK323" t="str">
        <f t="shared" si="109"/>
        <v/>
      </c>
      <c r="AL323" t="str">
        <f t="shared" si="110"/>
        <v/>
      </c>
      <c r="AM323" t="str">
        <f t="shared" si="111"/>
        <v/>
      </c>
      <c r="AN323" t="str">
        <f t="shared" si="112"/>
        <v/>
      </c>
      <c r="AO323" t="str">
        <f>IF($A323="","",Allocation!CJ323)</f>
        <v/>
      </c>
      <c r="AP323" t="str">
        <f>IF($A323="","",IF(Allocation!$N$2="VOL_EFF",$Q323,IF(Allocation!$N$2="VOL_CLASS",$R323,$S323)))</f>
        <v/>
      </c>
      <c r="AQ323" t="str">
        <f>IF($A323="","",IF(Allocation!$N$2="VOL_EFF",$T323,IF(Allocation!$N$2="VOL_CLASS",$U323,$V323)))</f>
        <v/>
      </c>
      <c r="AR323" t="str">
        <f t="shared" si="113"/>
        <v/>
      </c>
      <c r="AS323" t="str">
        <f>IF($A323="","",$A323&amp;"|"&amp;Allocation!BG323)</f>
        <v/>
      </c>
    </row>
    <row r="324" spans="1:45" x14ac:dyDescent="0.45">
      <c r="A324" t="str">
        <f>IF(Allocation!BI324="","",Allocation!BI324)</f>
        <v/>
      </c>
      <c r="B324" t="str">
        <f>IF(Allocation!BJ324="","",Allocation!BJ324)</f>
        <v/>
      </c>
      <c r="C324" t="str">
        <f>IF(Allocation!BK324="","",Allocation!BK324)</f>
        <v/>
      </c>
      <c r="D324" t="str">
        <f>IF(Allocation!BL324="","",Allocation!BL324)</f>
        <v/>
      </c>
      <c r="E324" t="str">
        <f>IF(Allocation!BM324="","",Allocation!BM324)</f>
        <v/>
      </c>
      <c r="F324" t="str">
        <f>IF(Allocation!BN324="","",Allocation!BN324)</f>
        <v/>
      </c>
      <c r="G324" t="str">
        <f>IF(Allocation!BO324="","",Allocation!BO324)</f>
        <v/>
      </c>
      <c r="H324" t="str">
        <f>IF(Allocation!BP324="","",Allocation!BP324)</f>
        <v/>
      </c>
      <c r="I324" t="str">
        <f>IF(Allocation!BQ324="","",Allocation!BQ324)</f>
        <v/>
      </c>
      <c r="J324" t="str">
        <f>IF(Allocation!CC324="","",Allocation!CC324)</f>
        <v/>
      </c>
      <c r="K324" t="str">
        <f t="shared" si="95"/>
        <v/>
      </c>
      <c r="L324" t="str">
        <f t="shared" si="96"/>
        <v/>
      </c>
      <c r="M324" t="str">
        <f t="shared" si="97"/>
        <v/>
      </c>
      <c r="N324" t="str">
        <f t="shared" si="98"/>
        <v/>
      </c>
      <c r="O324" t="str">
        <f t="shared" si="99"/>
        <v/>
      </c>
      <c r="P324" t="str">
        <f t="shared" si="100"/>
        <v/>
      </c>
      <c r="Q324" t="str">
        <f t="shared" si="101"/>
        <v/>
      </c>
      <c r="R324" t="str">
        <f t="shared" si="102"/>
        <v/>
      </c>
      <c r="S324" t="str">
        <f t="shared" si="103"/>
        <v/>
      </c>
      <c r="T324" t="str">
        <f t="shared" si="104"/>
        <v/>
      </c>
      <c r="U324" t="str">
        <f t="shared" si="105"/>
        <v/>
      </c>
      <c r="V324" t="str">
        <f t="shared" si="106"/>
        <v/>
      </c>
      <c r="W324" t="str">
        <f>IF($A324="","",Allocation!CD324)</f>
        <v/>
      </c>
      <c r="X324" t="str">
        <f>IF($A324="","",Allocation!CE324)</f>
        <v/>
      </c>
      <c r="Y324" t="str">
        <f>IF($A324="","",Allocation!CF324)</f>
        <v/>
      </c>
      <c r="Z324" t="str">
        <f>IF($A324="","",Allocation!CG324)</f>
        <v/>
      </c>
      <c r="AA324" t="str">
        <f>IF($A324="","",Allocation!CH324)</f>
        <v/>
      </c>
      <c r="AB324" t="str">
        <f>IF($A324="","",Allocation!CI324)</f>
        <v/>
      </c>
      <c r="AC324" t="str">
        <f>IF($A324="","",IF(Allocation!$N$4="VOL_EFF",$G324,IF(Allocation!$N$4="VOL_CLASS",$H324,$I324)))</f>
        <v/>
      </c>
      <c r="AD324" t="str">
        <f>IF($A324="","",IF(Allocation!$N$4="VOL_EFF",$L324,IF(Allocation!$N$4="VOL_CLASS",$M324,$N324)))</f>
        <v/>
      </c>
      <c r="AE324" t="str">
        <f>IF($A324="","",IF(Allocation!$N$3="VOL_EFF",$L324,IF(Allocation!$N$3="VOL_CLASS",$M324,$N324)))</f>
        <v/>
      </c>
      <c r="AF324" t="str">
        <f>IF($A324="","",IF(Allocation!$N$3="VOL_EFF",$Q324,IF(Allocation!$N$3="VOL_CLASS",$R324,$S324)))</f>
        <v/>
      </c>
      <c r="AG324" t="str">
        <f>IF($A324="","",IF(Allocation!$N$1="VOL_EFF",$Q324,IF(Allocation!$N$1="VOL_CLASS",$R324,$S324)))</f>
        <v/>
      </c>
      <c r="AH324" t="str">
        <f>IF($A324="","",IF(Allocation!$N$1="VOL_EFF",$T324,IF(Allocation!$N$1="VOL_CLASS",$U324,$V324)))</f>
        <v/>
      </c>
      <c r="AI324" t="str">
        <f t="shared" si="107"/>
        <v/>
      </c>
      <c r="AJ324" t="str">
        <f t="shared" si="108"/>
        <v/>
      </c>
      <c r="AK324" t="str">
        <f t="shared" si="109"/>
        <v/>
      </c>
      <c r="AL324" t="str">
        <f t="shared" si="110"/>
        <v/>
      </c>
      <c r="AM324" t="str">
        <f t="shared" si="111"/>
        <v/>
      </c>
      <c r="AN324" t="str">
        <f t="shared" si="112"/>
        <v/>
      </c>
      <c r="AO324" t="str">
        <f>IF($A324="","",Allocation!CJ324)</f>
        <v/>
      </c>
      <c r="AP324" t="str">
        <f>IF($A324="","",IF(Allocation!$N$2="VOL_EFF",$Q324,IF(Allocation!$N$2="VOL_CLASS",$R324,$S324)))</f>
        <v/>
      </c>
      <c r="AQ324" t="str">
        <f>IF($A324="","",IF(Allocation!$N$2="VOL_EFF",$T324,IF(Allocation!$N$2="VOL_CLASS",$U324,$V324)))</f>
        <v/>
      </c>
      <c r="AR324" t="str">
        <f t="shared" si="113"/>
        <v/>
      </c>
      <c r="AS324" t="str">
        <f>IF($A324="","",$A324&amp;"|"&amp;Allocation!BG324)</f>
        <v/>
      </c>
    </row>
    <row r="325" spans="1:45" x14ac:dyDescent="0.45">
      <c r="A325" t="str">
        <f>IF(Allocation!BI325="","",Allocation!BI325)</f>
        <v/>
      </c>
      <c r="B325" t="str">
        <f>IF(Allocation!BJ325="","",Allocation!BJ325)</f>
        <v/>
      </c>
      <c r="C325" t="str">
        <f>IF(Allocation!BK325="","",Allocation!BK325)</f>
        <v/>
      </c>
      <c r="D325" t="str">
        <f>IF(Allocation!BL325="","",Allocation!BL325)</f>
        <v/>
      </c>
      <c r="E325" t="str">
        <f>IF(Allocation!BM325="","",Allocation!BM325)</f>
        <v/>
      </c>
      <c r="F325" t="str">
        <f>IF(Allocation!BN325="","",Allocation!BN325)</f>
        <v/>
      </c>
      <c r="G325" t="str">
        <f>IF(Allocation!BO325="","",Allocation!BO325)</f>
        <v/>
      </c>
      <c r="H325" t="str">
        <f>IF(Allocation!BP325="","",Allocation!BP325)</f>
        <v/>
      </c>
      <c r="I325" t="str">
        <f>IF(Allocation!BQ325="","",Allocation!BQ325)</f>
        <v/>
      </c>
      <c r="J325" t="str">
        <f>IF(Allocation!CC325="","",Allocation!CC325)</f>
        <v/>
      </c>
      <c r="K325" t="str">
        <f t="shared" si="95"/>
        <v/>
      </c>
      <c r="L325" t="str">
        <f t="shared" si="96"/>
        <v/>
      </c>
      <c r="M325" t="str">
        <f t="shared" si="97"/>
        <v/>
      </c>
      <c r="N325" t="str">
        <f t="shared" si="98"/>
        <v/>
      </c>
      <c r="O325" t="str">
        <f t="shared" si="99"/>
        <v/>
      </c>
      <c r="P325" t="str">
        <f t="shared" si="100"/>
        <v/>
      </c>
      <c r="Q325" t="str">
        <f t="shared" si="101"/>
        <v/>
      </c>
      <c r="R325" t="str">
        <f t="shared" si="102"/>
        <v/>
      </c>
      <c r="S325" t="str">
        <f t="shared" si="103"/>
        <v/>
      </c>
      <c r="T325" t="str">
        <f t="shared" si="104"/>
        <v/>
      </c>
      <c r="U325" t="str">
        <f t="shared" si="105"/>
        <v/>
      </c>
      <c r="V325" t="str">
        <f t="shared" si="106"/>
        <v/>
      </c>
      <c r="W325" t="str">
        <f>IF($A325="","",Allocation!CD325)</f>
        <v/>
      </c>
      <c r="X325" t="str">
        <f>IF($A325="","",Allocation!CE325)</f>
        <v/>
      </c>
      <c r="Y325" t="str">
        <f>IF($A325="","",Allocation!CF325)</f>
        <v/>
      </c>
      <c r="Z325" t="str">
        <f>IF($A325="","",Allocation!CG325)</f>
        <v/>
      </c>
      <c r="AA325" t="str">
        <f>IF($A325="","",Allocation!CH325)</f>
        <v/>
      </c>
      <c r="AB325" t="str">
        <f>IF($A325="","",Allocation!CI325)</f>
        <v/>
      </c>
      <c r="AC325" t="str">
        <f>IF($A325="","",IF(Allocation!$N$4="VOL_EFF",$G325,IF(Allocation!$N$4="VOL_CLASS",$H325,$I325)))</f>
        <v/>
      </c>
      <c r="AD325" t="str">
        <f>IF($A325="","",IF(Allocation!$N$4="VOL_EFF",$L325,IF(Allocation!$N$4="VOL_CLASS",$M325,$N325)))</f>
        <v/>
      </c>
      <c r="AE325" t="str">
        <f>IF($A325="","",IF(Allocation!$N$3="VOL_EFF",$L325,IF(Allocation!$N$3="VOL_CLASS",$M325,$N325)))</f>
        <v/>
      </c>
      <c r="AF325" t="str">
        <f>IF($A325="","",IF(Allocation!$N$3="VOL_EFF",$Q325,IF(Allocation!$N$3="VOL_CLASS",$R325,$S325)))</f>
        <v/>
      </c>
      <c r="AG325" t="str">
        <f>IF($A325="","",IF(Allocation!$N$1="VOL_EFF",$Q325,IF(Allocation!$N$1="VOL_CLASS",$R325,$S325)))</f>
        <v/>
      </c>
      <c r="AH325" t="str">
        <f>IF($A325="","",IF(Allocation!$N$1="VOL_EFF",$T325,IF(Allocation!$N$1="VOL_CLASS",$U325,$V325)))</f>
        <v/>
      </c>
      <c r="AI325" t="str">
        <f t="shared" si="107"/>
        <v/>
      </c>
      <c r="AJ325" t="str">
        <f t="shared" si="108"/>
        <v/>
      </c>
      <c r="AK325" t="str">
        <f t="shared" si="109"/>
        <v/>
      </c>
      <c r="AL325" t="str">
        <f t="shared" si="110"/>
        <v/>
      </c>
      <c r="AM325" t="str">
        <f t="shared" si="111"/>
        <v/>
      </c>
      <c r="AN325" t="str">
        <f t="shared" si="112"/>
        <v/>
      </c>
      <c r="AO325" t="str">
        <f>IF($A325="","",Allocation!CJ325)</f>
        <v/>
      </c>
      <c r="AP325" t="str">
        <f>IF($A325="","",IF(Allocation!$N$2="VOL_EFF",$Q325,IF(Allocation!$N$2="VOL_CLASS",$R325,$S325)))</f>
        <v/>
      </c>
      <c r="AQ325" t="str">
        <f>IF($A325="","",IF(Allocation!$N$2="VOL_EFF",$T325,IF(Allocation!$N$2="VOL_CLASS",$U325,$V325)))</f>
        <v/>
      </c>
      <c r="AR325" t="str">
        <f t="shared" si="113"/>
        <v/>
      </c>
      <c r="AS325" t="str">
        <f>IF($A325="","",$A325&amp;"|"&amp;Allocation!BG325)</f>
        <v/>
      </c>
    </row>
    <row r="326" spans="1:45" x14ac:dyDescent="0.45">
      <c r="A326" t="str">
        <f>IF(Allocation!BI326="","",Allocation!BI326)</f>
        <v/>
      </c>
      <c r="B326" t="str">
        <f>IF(Allocation!BJ326="","",Allocation!BJ326)</f>
        <v/>
      </c>
      <c r="C326" t="str">
        <f>IF(Allocation!BK326="","",Allocation!BK326)</f>
        <v/>
      </c>
      <c r="D326" t="str">
        <f>IF(Allocation!BL326="","",Allocation!BL326)</f>
        <v/>
      </c>
      <c r="E326" t="str">
        <f>IF(Allocation!BM326="","",Allocation!BM326)</f>
        <v/>
      </c>
      <c r="F326" t="str">
        <f>IF(Allocation!BN326="","",Allocation!BN326)</f>
        <v/>
      </c>
      <c r="G326" t="str">
        <f>IF(Allocation!BO326="","",Allocation!BO326)</f>
        <v/>
      </c>
      <c r="H326" t="str">
        <f>IF(Allocation!BP326="","",Allocation!BP326)</f>
        <v/>
      </c>
      <c r="I326" t="str">
        <f>IF(Allocation!BQ326="","",Allocation!BQ326)</f>
        <v/>
      </c>
      <c r="J326" t="str">
        <f>IF(Allocation!CC326="","",Allocation!CC326)</f>
        <v/>
      </c>
      <c r="K326" t="str">
        <f t="shared" si="95"/>
        <v/>
      </c>
      <c r="L326" t="str">
        <f t="shared" si="96"/>
        <v/>
      </c>
      <c r="M326" t="str">
        <f t="shared" si="97"/>
        <v/>
      </c>
      <c r="N326" t="str">
        <f t="shared" si="98"/>
        <v/>
      </c>
      <c r="O326" t="str">
        <f t="shared" si="99"/>
        <v/>
      </c>
      <c r="P326" t="str">
        <f t="shared" si="100"/>
        <v/>
      </c>
      <c r="Q326" t="str">
        <f t="shared" si="101"/>
        <v/>
      </c>
      <c r="R326" t="str">
        <f t="shared" si="102"/>
        <v/>
      </c>
      <c r="S326" t="str">
        <f t="shared" si="103"/>
        <v/>
      </c>
      <c r="T326" t="str">
        <f t="shared" si="104"/>
        <v/>
      </c>
      <c r="U326" t="str">
        <f t="shared" si="105"/>
        <v/>
      </c>
      <c r="V326" t="str">
        <f t="shared" si="106"/>
        <v/>
      </c>
      <c r="W326" t="str">
        <f>IF($A326="","",Allocation!CD326)</f>
        <v/>
      </c>
      <c r="X326" t="str">
        <f>IF($A326="","",Allocation!CE326)</f>
        <v/>
      </c>
      <c r="Y326" t="str">
        <f>IF($A326="","",Allocation!CF326)</f>
        <v/>
      </c>
      <c r="Z326" t="str">
        <f>IF($A326="","",Allocation!CG326)</f>
        <v/>
      </c>
      <c r="AA326" t="str">
        <f>IF($A326="","",Allocation!CH326)</f>
        <v/>
      </c>
      <c r="AB326" t="str">
        <f>IF($A326="","",Allocation!CI326)</f>
        <v/>
      </c>
      <c r="AC326" t="str">
        <f>IF($A326="","",IF(Allocation!$N$4="VOL_EFF",$G326,IF(Allocation!$N$4="VOL_CLASS",$H326,$I326)))</f>
        <v/>
      </c>
      <c r="AD326" t="str">
        <f>IF($A326="","",IF(Allocation!$N$4="VOL_EFF",$L326,IF(Allocation!$N$4="VOL_CLASS",$M326,$N326)))</f>
        <v/>
      </c>
      <c r="AE326" t="str">
        <f>IF($A326="","",IF(Allocation!$N$3="VOL_EFF",$L326,IF(Allocation!$N$3="VOL_CLASS",$M326,$N326)))</f>
        <v/>
      </c>
      <c r="AF326" t="str">
        <f>IF($A326="","",IF(Allocation!$N$3="VOL_EFF",$Q326,IF(Allocation!$N$3="VOL_CLASS",$R326,$S326)))</f>
        <v/>
      </c>
      <c r="AG326" t="str">
        <f>IF($A326="","",IF(Allocation!$N$1="VOL_EFF",$Q326,IF(Allocation!$N$1="VOL_CLASS",$R326,$S326)))</f>
        <v/>
      </c>
      <c r="AH326" t="str">
        <f>IF($A326="","",IF(Allocation!$N$1="VOL_EFF",$T326,IF(Allocation!$N$1="VOL_CLASS",$U326,$V326)))</f>
        <v/>
      </c>
      <c r="AI326" t="str">
        <f t="shared" si="107"/>
        <v/>
      </c>
      <c r="AJ326" t="str">
        <f t="shared" si="108"/>
        <v/>
      </c>
      <c r="AK326" t="str">
        <f t="shared" si="109"/>
        <v/>
      </c>
      <c r="AL326" t="str">
        <f t="shared" si="110"/>
        <v/>
      </c>
      <c r="AM326" t="str">
        <f t="shared" si="111"/>
        <v/>
      </c>
      <c r="AN326" t="str">
        <f t="shared" si="112"/>
        <v/>
      </c>
      <c r="AO326" t="str">
        <f>IF($A326="","",Allocation!CJ326)</f>
        <v/>
      </c>
      <c r="AP326" t="str">
        <f>IF($A326="","",IF(Allocation!$N$2="VOL_EFF",$Q326,IF(Allocation!$N$2="VOL_CLASS",$R326,$S326)))</f>
        <v/>
      </c>
      <c r="AQ326" t="str">
        <f>IF($A326="","",IF(Allocation!$N$2="VOL_EFF",$T326,IF(Allocation!$N$2="VOL_CLASS",$U326,$V326)))</f>
        <v/>
      </c>
      <c r="AR326" t="str">
        <f t="shared" si="113"/>
        <v/>
      </c>
      <c r="AS326" t="str">
        <f>IF($A326="","",$A326&amp;"|"&amp;Allocation!BG326)</f>
        <v/>
      </c>
    </row>
    <row r="327" spans="1:45" x14ac:dyDescent="0.45">
      <c r="A327" t="str">
        <f>IF(Allocation!BI327="","",Allocation!BI327)</f>
        <v/>
      </c>
      <c r="B327" t="str">
        <f>IF(Allocation!BJ327="","",Allocation!BJ327)</f>
        <v/>
      </c>
      <c r="C327" t="str">
        <f>IF(Allocation!BK327="","",Allocation!BK327)</f>
        <v/>
      </c>
      <c r="D327" t="str">
        <f>IF(Allocation!BL327="","",Allocation!BL327)</f>
        <v/>
      </c>
      <c r="E327" t="str">
        <f>IF(Allocation!BM327="","",Allocation!BM327)</f>
        <v/>
      </c>
      <c r="F327" t="str">
        <f>IF(Allocation!BN327="","",Allocation!BN327)</f>
        <v/>
      </c>
      <c r="G327" t="str">
        <f>IF(Allocation!BO327="","",Allocation!BO327)</f>
        <v/>
      </c>
      <c r="H327" t="str">
        <f>IF(Allocation!BP327="","",Allocation!BP327)</f>
        <v/>
      </c>
      <c r="I327" t="str">
        <f>IF(Allocation!BQ327="","",Allocation!BQ327)</f>
        <v/>
      </c>
      <c r="J327" t="str">
        <f>IF(Allocation!CC327="","",Allocation!CC327)</f>
        <v/>
      </c>
      <c r="K327" t="str">
        <f t="shared" si="95"/>
        <v/>
      </c>
      <c r="L327" t="str">
        <f t="shared" si="96"/>
        <v/>
      </c>
      <c r="M327" t="str">
        <f t="shared" si="97"/>
        <v/>
      </c>
      <c r="N327" t="str">
        <f t="shared" si="98"/>
        <v/>
      </c>
      <c r="O327" t="str">
        <f t="shared" si="99"/>
        <v/>
      </c>
      <c r="P327" t="str">
        <f t="shared" si="100"/>
        <v/>
      </c>
      <c r="Q327" t="str">
        <f t="shared" si="101"/>
        <v/>
      </c>
      <c r="R327" t="str">
        <f t="shared" si="102"/>
        <v/>
      </c>
      <c r="S327" t="str">
        <f t="shared" si="103"/>
        <v/>
      </c>
      <c r="T327" t="str">
        <f t="shared" si="104"/>
        <v/>
      </c>
      <c r="U327" t="str">
        <f t="shared" si="105"/>
        <v/>
      </c>
      <c r="V327" t="str">
        <f t="shared" si="106"/>
        <v/>
      </c>
      <c r="W327" t="str">
        <f>IF($A327="","",Allocation!CD327)</f>
        <v/>
      </c>
      <c r="X327" t="str">
        <f>IF($A327="","",Allocation!CE327)</f>
        <v/>
      </c>
      <c r="Y327" t="str">
        <f>IF($A327="","",Allocation!CF327)</f>
        <v/>
      </c>
      <c r="Z327" t="str">
        <f>IF($A327="","",Allocation!CG327)</f>
        <v/>
      </c>
      <c r="AA327" t="str">
        <f>IF($A327="","",Allocation!CH327)</f>
        <v/>
      </c>
      <c r="AB327" t="str">
        <f>IF($A327="","",Allocation!CI327)</f>
        <v/>
      </c>
      <c r="AC327" t="str">
        <f>IF($A327="","",IF(Allocation!$N$4="VOL_EFF",$G327,IF(Allocation!$N$4="VOL_CLASS",$H327,$I327)))</f>
        <v/>
      </c>
      <c r="AD327" t="str">
        <f>IF($A327="","",IF(Allocation!$N$4="VOL_EFF",$L327,IF(Allocation!$N$4="VOL_CLASS",$M327,$N327)))</f>
        <v/>
      </c>
      <c r="AE327" t="str">
        <f>IF($A327="","",IF(Allocation!$N$3="VOL_EFF",$L327,IF(Allocation!$N$3="VOL_CLASS",$M327,$N327)))</f>
        <v/>
      </c>
      <c r="AF327" t="str">
        <f>IF($A327="","",IF(Allocation!$N$3="VOL_EFF",$Q327,IF(Allocation!$N$3="VOL_CLASS",$R327,$S327)))</f>
        <v/>
      </c>
      <c r="AG327" t="str">
        <f>IF($A327="","",IF(Allocation!$N$1="VOL_EFF",$Q327,IF(Allocation!$N$1="VOL_CLASS",$R327,$S327)))</f>
        <v/>
      </c>
      <c r="AH327" t="str">
        <f>IF($A327="","",IF(Allocation!$N$1="VOL_EFF",$T327,IF(Allocation!$N$1="VOL_CLASS",$U327,$V327)))</f>
        <v/>
      </c>
      <c r="AI327" t="str">
        <f t="shared" si="107"/>
        <v/>
      </c>
      <c r="AJ327" t="str">
        <f t="shared" si="108"/>
        <v/>
      </c>
      <c r="AK327" t="str">
        <f t="shared" si="109"/>
        <v/>
      </c>
      <c r="AL327" t="str">
        <f t="shared" si="110"/>
        <v/>
      </c>
      <c r="AM327" t="str">
        <f t="shared" si="111"/>
        <v/>
      </c>
      <c r="AN327" t="str">
        <f t="shared" si="112"/>
        <v/>
      </c>
      <c r="AO327" t="str">
        <f>IF($A327="","",Allocation!CJ327)</f>
        <v/>
      </c>
      <c r="AP327" t="str">
        <f>IF($A327="","",IF(Allocation!$N$2="VOL_EFF",$Q327,IF(Allocation!$N$2="VOL_CLASS",$R327,$S327)))</f>
        <v/>
      </c>
      <c r="AQ327" t="str">
        <f>IF($A327="","",IF(Allocation!$N$2="VOL_EFF",$T327,IF(Allocation!$N$2="VOL_CLASS",$U327,$V327)))</f>
        <v/>
      </c>
      <c r="AR327" t="str">
        <f t="shared" si="113"/>
        <v/>
      </c>
      <c r="AS327" t="str">
        <f>IF($A327="","",$A327&amp;"|"&amp;Allocation!BG327)</f>
        <v/>
      </c>
    </row>
    <row r="328" spans="1:45" x14ac:dyDescent="0.45">
      <c r="A328" t="str">
        <f>IF(Allocation!BI328="","",Allocation!BI328)</f>
        <v/>
      </c>
      <c r="B328" t="str">
        <f>IF(Allocation!BJ328="","",Allocation!BJ328)</f>
        <v/>
      </c>
      <c r="C328" t="str">
        <f>IF(Allocation!BK328="","",Allocation!BK328)</f>
        <v/>
      </c>
      <c r="D328" t="str">
        <f>IF(Allocation!BL328="","",Allocation!BL328)</f>
        <v/>
      </c>
      <c r="E328" t="str">
        <f>IF(Allocation!BM328="","",Allocation!BM328)</f>
        <v/>
      </c>
      <c r="F328" t="str">
        <f>IF(Allocation!BN328="","",Allocation!BN328)</f>
        <v/>
      </c>
      <c r="G328" t="str">
        <f>IF(Allocation!BO328="","",Allocation!BO328)</f>
        <v/>
      </c>
      <c r="H328" t="str">
        <f>IF(Allocation!BP328="","",Allocation!BP328)</f>
        <v/>
      </c>
      <c r="I328" t="str">
        <f>IF(Allocation!BQ328="","",Allocation!BQ328)</f>
        <v/>
      </c>
      <c r="J328" t="str">
        <f>IF(Allocation!CC328="","",Allocation!CC328)</f>
        <v/>
      </c>
      <c r="K328" t="str">
        <f t="shared" si="95"/>
        <v/>
      </c>
      <c r="L328" t="str">
        <f t="shared" si="96"/>
        <v/>
      </c>
      <c r="M328" t="str">
        <f t="shared" si="97"/>
        <v/>
      </c>
      <c r="N328" t="str">
        <f t="shared" si="98"/>
        <v/>
      </c>
      <c r="O328" t="str">
        <f t="shared" si="99"/>
        <v/>
      </c>
      <c r="P328" t="str">
        <f t="shared" si="100"/>
        <v/>
      </c>
      <c r="Q328" t="str">
        <f t="shared" si="101"/>
        <v/>
      </c>
      <c r="R328" t="str">
        <f t="shared" si="102"/>
        <v/>
      </c>
      <c r="S328" t="str">
        <f t="shared" si="103"/>
        <v/>
      </c>
      <c r="T328" t="str">
        <f t="shared" si="104"/>
        <v/>
      </c>
      <c r="U328" t="str">
        <f t="shared" si="105"/>
        <v/>
      </c>
      <c r="V328" t="str">
        <f t="shared" si="106"/>
        <v/>
      </c>
      <c r="W328" t="str">
        <f>IF($A328="","",Allocation!CD328)</f>
        <v/>
      </c>
      <c r="X328" t="str">
        <f>IF($A328="","",Allocation!CE328)</f>
        <v/>
      </c>
      <c r="Y328" t="str">
        <f>IF($A328="","",Allocation!CF328)</f>
        <v/>
      </c>
      <c r="Z328" t="str">
        <f>IF($A328="","",Allocation!CG328)</f>
        <v/>
      </c>
      <c r="AA328" t="str">
        <f>IF($A328="","",Allocation!CH328)</f>
        <v/>
      </c>
      <c r="AB328" t="str">
        <f>IF($A328="","",Allocation!CI328)</f>
        <v/>
      </c>
      <c r="AC328" t="str">
        <f>IF($A328="","",IF(Allocation!$N$4="VOL_EFF",$G328,IF(Allocation!$N$4="VOL_CLASS",$H328,$I328)))</f>
        <v/>
      </c>
      <c r="AD328" t="str">
        <f>IF($A328="","",IF(Allocation!$N$4="VOL_EFF",$L328,IF(Allocation!$N$4="VOL_CLASS",$M328,$N328)))</f>
        <v/>
      </c>
      <c r="AE328" t="str">
        <f>IF($A328="","",IF(Allocation!$N$3="VOL_EFF",$L328,IF(Allocation!$N$3="VOL_CLASS",$M328,$N328)))</f>
        <v/>
      </c>
      <c r="AF328" t="str">
        <f>IF($A328="","",IF(Allocation!$N$3="VOL_EFF",$Q328,IF(Allocation!$N$3="VOL_CLASS",$R328,$S328)))</f>
        <v/>
      </c>
      <c r="AG328" t="str">
        <f>IF($A328="","",IF(Allocation!$N$1="VOL_EFF",$Q328,IF(Allocation!$N$1="VOL_CLASS",$R328,$S328)))</f>
        <v/>
      </c>
      <c r="AH328" t="str">
        <f>IF($A328="","",IF(Allocation!$N$1="VOL_EFF",$T328,IF(Allocation!$N$1="VOL_CLASS",$U328,$V328)))</f>
        <v/>
      </c>
      <c r="AI328" t="str">
        <f t="shared" si="107"/>
        <v/>
      </c>
      <c r="AJ328" t="str">
        <f t="shared" si="108"/>
        <v/>
      </c>
      <c r="AK328" t="str">
        <f t="shared" si="109"/>
        <v/>
      </c>
      <c r="AL328" t="str">
        <f t="shared" si="110"/>
        <v/>
      </c>
      <c r="AM328" t="str">
        <f t="shared" si="111"/>
        <v/>
      </c>
      <c r="AN328" t="str">
        <f t="shared" si="112"/>
        <v/>
      </c>
      <c r="AO328" t="str">
        <f>IF($A328="","",Allocation!CJ328)</f>
        <v/>
      </c>
      <c r="AP328" t="str">
        <f>IF($A328="","",IF(Allocation!$N$2="VOL_EFF",$Q328,IF(Allocation!$N$2="VOL_CLASS",$R328,$S328)))</f>
        <v/>
      </c>
      <c r="AQ328" t="str">
        <f>IF($A328="","",IF(Allocation!$N$2="VOL_EFF",$T328,IF(Allocation!$N$2="VOL_CLASS",$U328,$V328)))</f>
        <v/>
      </c>
      <c r="AR328" t="str">
        <f t="shared" si="113"/>
        <v/>
      </c>
      <c r="AS328" t="str">
        <f>IF($A328="","",$A328&amp;"|"&amp;Allocation!BG328)</f>
        <v/>
      </c>
    </row>
    <row r="329" spans="1:45" x14ac:dyDescent="0.45">
      <c r="A329" t="str">
        <f>IF(Allocation!BI329="","",Allocation!BI329)</f>
        <v/>
      </c>
      <c r="B329" t="str">
        <f>IF(Allocation!BJ329="","",Allocation!BJ329)</f>
        <v/>
      </c>
      <c r="C329" t="str">
        <f>IF(Allocation!BK329="","",Allocation!BK329)</f>
        <v/>
      </c>
      <c r="D329" t="str">
        <f>IF(Allocation!BL329="","",Allocation!BL329)</f>
        <v/>
      </c>
      <c r="E329" t="str">
        <f>IF(Allocation!BM329="","",Allocation!BM329)</f>
        <v/>
      </c>
      <c r="F329" t="str">
        <f>IF(Allocation!BN329="","",Allocation!BN329)</f>
        <v/>
      </c>
      <c r="G329" t="str">
        <f>IF(Allocation!BO329="","",Allocation!BO329)</f>
        <v/>
      </c>
      <c r="H329" t="str">
        <f>IF(Allocation!BP329="","",Allocation!BP329)</f>
        <v/>
      </c>
      <c r="I329" t="str">
        <f>IF(Allocation!BQ329="","",Allocation!BQ329)</f>
        <v/>
      </c>
      <c r="J329" t="str">
        <f>IF(Allocation!CC329="","",Allocation!CC329)</f>
        <v/>
      </c>
      <c r="K329" t="str">
        <f t="shared" si="95"/>
        <v/>
      </c>
      <c r="L329" t="str">
        <f t="shared" si="96"/>
        <v/>
      </c>
      <c r="M329" t="str">
        <f t="shared" si="97"/>
        <v/>
      </c>
      <c r="N329" t="str">
        <f t="shared" si="98"/>
        <v/>
      </c>
      <c r="O329" t="str">
        <f t="shared" si="99"/>
        <v/>
      </c>
      <c r="P329" t="str">
        <f t="shared" si="100"/>
        <v/>
      </c>
      <c r="Q329" t="str">
        <f t="shared" si="101"/>
        <v/>
      </c>
      <c r="R329" t="str">
        <f t="shared" si="102"/>
        <v/>
      </c>
      <c r="S329" t="str">
        <f t="shared" si="103"/>
        <v/>
      </c>
      <c r="T329" t="str">
        <f t="shared" si="104"/>
        <v/>
      </c>
      <c r="U329" t="str">
        <f t="shared" si="105"/>
        <v/>
      </c>
      <c r="V329" t="str">
        <f t="shared" si="106"/>
        <v/>
      </c>
      <c r="W329" t="str">
        <f>IF($A329="","",Allocation!CD329)</f>
        <v/>
      </c>
      <c r="X329" t="str">
        <f>IF($A329="","",Allocation!CE329)</f>
        <v/>
      </c>
      <c r="Y329" t="str">
        <f>IF($A329="","",Allocation!CF329)</f>
        <v/>
      </c>
      <c r="Z329" t="str">
        <f>IF($A329="","",Allocation!CG329)</f>
        <v/>
      </c>
      <c r="AA329" t="str">
        <f>IF($A329="","",Allocation!CH329)</f>
        <v/>
      </c>
      <c r="AB329" t="str">
        <f>IF($A329="","",Allocation!CI329)</f>
        <v/>
      </c>
      <c r="AC329" t="str">
        <f>IF($A329="","",IF(Allocation!$N$4="VOL_EFF",$G329,IF(Allocation!$N$4="VOL_CLASS",$H329,$I329)))</f>
        <v/>
      </c>
      <c r="AD329" t="str">
        <f>IF($A329="","",IF(Allocation!$N$4="VOL_EFF",$L329,IF(Allocation!$N$4="VOL_CLASS",$M329,$N329)))</f>
        <v/>
      </c>
      <c r="AE329" t="str">
        <f>IF($A329="","",IF(Allocation!$N$3="VOL_EFF",$L329,IF(Allocation!$N$3="VOL_CLASS",$M329,$N329)))</f>
        <v/>
      </c>
      <c r="AF329" t="str">
        <f>IF($A329="","",IF(Allocation!$N$3="VOL_EFF",$Q329,IF(Allocation!$N$3="VOL_CLASS",$R329,$S329)))</f>
        <v/>
      </c>
      <c r="AG329" t="str">
        <f>IF($A329="","",IF(Allocation!$N$1="VOL_EFF",$Q329,IF(Allocation!$N$1="VOL_CLASS",$R329,$S329)))</f>
        <v/>
      </c>
      <c r="AH329" t="str">
        <f>IF($A329="","",IF(Allocation!$N$1="VOL_EFF",$T329,IF(Allocation!$N$1="VOL_CLASS",$U329,$V329)))</f>
        <v/>
      </c>
      <c r="AI329" t="str">
        <f t="shared" si="107"/>
        <v/>
      </c>
      <c r="AJ329" t="str">
        <f t="shared" si="108"/>
        <v/>
      </c>
      <c r="AK329" t="str">
        <f t="shared" si="109"/>
        <v/>
      </c>
      <c r="AL329" t="str">
        <f t="shared" si="110"/>
        <v/>
      </c>
      <c r="AM329" t="str">
        <f t="shared" si="111"/>
        <v/>
      </c>
      <c r="AN329" t="str">
        <f t="shared" si="112"/>
        <v/>
      </c>
      <c r="AO329" t="str">
        <f>IF($A329="","",Allocation!CJ329)</f>
        <v/>
      </c>
      <c r="AP329" t="str">
        <f>IF($A329="","",IF(Allocation!$N$2="VOL_EFF",$Q329,IF(Allocation!$N$2="VOL_CLASS",$R329,$S329)))</f>
        <v/>
      </c>
      <c r="AQ329" t="str">
        <f>IF($A329="","",IF(Allocation!$N$2="VOL_EFF",$T329,IF(Allocation!$N$2="VOL_CLASS",$U329,$V329)))</f>
        <v/>
      </c>
      <c r="AR329" t="str">
        <f t="shared" si="113"/>
        <v/>
      </c>
      <c r="AS329" t="str">
        <f>IF($A329="","",$A329&amp;"|"&amp;Allocation!BG329)</f>
        <v/>
      </c>
    </row>
    <row r="330" spans="1:45" x14ac:dyDescent="0.45">
      <c r="A330" t="str">
        <f>IF(Allocation!BI330="","",Allocation!BI330)</f>
        <v/>
      </c>
      <c r="B330" t="str">
        <f>IF(Allocation!BJ330="","",Allocation!BJ330)</f>
        <v/>
      </c>
      <c r="C330" t="str">
        <f>IF(Allocation!BK330="","",Allocation!BK330)</f>
        <v/>
      </c>
      <c r="D330" t="str">
        <f>IF(Allocation!BL330="","",Allocation!BL330)</f>
        <v/>
      </c>
      <c r="E330" t="str">
        <f>IF(Allocation!BM330="","",Allocation!BM330)</f>
        <v/>
      </c>
      <c r="F330" t="str">
        <f>IF(Allocation!BN330="","",Allocation!BN330)</f>
        <v/>
      </c>
      <c r="G330" t="str">
        <f>IF(Allocation!BO330="","",Allocation!BO330)</f>
        <v/>
      </c>
      <c r="H330" t="str">
        <f>IF(Allocation!BP330="","",Allocation!BP330)</f>
        <v/>
      </c>
      <c r="I330" t="str">
        <f>IF(Allocation!BQ330="","",Allocation!BQ330)</f>
        <v/>
      </c>
      <c r="J330" t="str">
        <f>IF(Allocation!CC330="","",Allocation!CC330)</f>
        <v/>
      </c>
      <c r="K330" t="str">
        <f t="shared" si="95"/>
        <v/>
      </c>
      <c r="L330" t="str">
        <f t="shared" si="96"/>
        <v/>
      </c>
      <c r="M330" t="str">
        <f t="shared" si="97"/>
        <v/>
      </c>
      <c r="N330" t="str">
        <f t="shared" si="98"/>
        <v/>
      </c>
      <c r="O330" t="str">
        <f t="shared" si="99"/>
        <v/>
      </c>
      <c r="P330" t="str">
        <f t="shared" si="100"/>
        <v/>
      </c>
      <c r="Q330" t="str">
        <f t="shared" si="101"/>
        <v/>
      </c>
      <c r="R330" t="str">
        <f t="shared" si="102"/>
        <v/>
      </c>
      <c r="S330" t="str">
        <f t="shared" si="103"/>
        <v/>
      </c>
      <c r="T330" t="str">
        <f t="shared" si="104"/>
        <v/>
      </c>
      <c r="U330" t="str">
        <f t="shared" si="105"/>
        <v/>
      </c>
      <c r="V330" t="str">
        <f t="shared" si="106"/>
        <v/>
      </c>
      <c r="W330" t="str">
        <f>IF($A330="","",Allocation!CD330)</f>
        <v/>
      </c>
      <c r="X330" t="str">
        <f>IF($A330="","",Allocation!CE330)</f>
        <v/>
      </c>
      <c r="Y330" t="str">
        <f>IF($A330="","",Allocation!CF330)</f>
        <v/>
      </c>
      <c r="Z330" t="str">
        <f>IF($A330="","",Allocation!CG330)</f>
        <v/>
      </c>
      <c r="AA330" t="str">
        <f>IF($A330="","",Allocation!CH330)</f>
        <v/>
      </c>
      <c r="AB330" t="str">
        <f>IF($A330="","",Allocation!CI330)</f>
        <v/>
      </c>
      <c r="AC330" t="str">
        <f>IF($A330="","",IF(Allocation!$N$4="VOL_EFF",$G330,IF(Allocation!$N$4="VOL_CLASS",$H330,$I330)))</f>
        <v/>
      </c>
      <c r="AD330" t="str">
        <f>IF($A330="","",IF(Allocation!$N$4="VOL_EFF",$L330,IF(Allocation!$N$4="VOL_CLASS",$M330,$N330)))</f>
        <v/>
      </c>
      <c r="AE330" t="str">
        <f>IF($A330="","",IF(Allocation!$N$3="VOL_EFF",$L330,IF(Allocation!$N$3="VOL_CLASS",$M330,$N330)))</f>
        <v/>
      </c>
      <c r="AF330" t="str">
        <f>IF($A330="","",IF(Allocation!$N$3="VOL_EFF",$Q330,IF(Allocation!$N$3="VOL_CLASS",$R330,$S330)))</f>
        <v/>
      </c>
      <c r="AG330" t="str">
        <f>IF($A330="","",IF(Allocation!$N$1="VOL_EFF",$Q330,IF(Allocation!$N$1="VOL_CLASS",$R330,$S330)))</f>
        <v/>
      </c>
      <c r="AH330" t="str">
        <f>IF($A330="","",IF(Allocation!$N$1="VOL_EFF",$T330,IF(Allocation!$N$1="VOL_CLASS",$U330,$V330)))</f>
        <v/>
      </c>
      <c r="AI330" t="str">
        <f t="shared" si="107"/>
        <v/>
      </c>
      <c r="AJ330" t="str">
        <f t="shared" si="108"/>
        <v/>
      </c>
      <c r="AK330" t="str">
        <f t="shared" si="109"/>
        <v/>
      </c>
      <c r="AL330" t="str">
        <f t="shared" si="110"/>
        <v/>
      </c>
      <c r="AM330" t="str">
        <f t="shared" si="111"/>
        <v/>
      </c>
      <c r="AN330" t="str">
        <f t="shared" si="112"/>
        <v/>
      </c>
      <c r="AO330" t="str">
        <f>IF($A330="","",Allocation!CJ330)</f>
        <v/>
      </c>
      <c r="AP330" t="str">
        <f>IF($A330="","",IF(Allocation!$N$2="VOL_EFF",$Q330,IF(Allocation!$N$2="VOL_CLASS",$R330,$S330)))</f>
        <v/>
      </c>
      <c r="AQ330" t="str">
        <f>IF($A330="","",IF(Allocation!$N$2="VOL_EFF",$T330,IF(Allocation!$N$2="VOL_CLASS",$U330,$V330)))</f>
        <v/>
      </c>
      <c r="AR330" t="str">
        <f t="shared" si="113"/>
        <v/>
      </c>
      <c r="AS330" t="str">
        <f>IF($A330="","",$A330&amp;"|"&amp;Allocation!BG330)</f>
        <v/>
      </c>
    </row>
    <row r="331" spans="1:45" x14ac:dyDescent="0.45">
      <c r="A331" t="str">
        <f>IF(Allocation!BI331="","",Allocation!BI331)</f>
        <v/>
      </c>
      <c r="B331" t="str">
        <f>IF(Allocation!BJ331="","",Allocation!BJ331)</f>
        <v/>
      </c>
      <c r="C331" t="str">
        <f>IF(Allocation!BK331="","",Allocation!BK331)</f>
        <v/>
      </c>
      <c r="D331" t="str">
        <f>IF(Allocation!BL331="","",Allocation!BL331)</f>
        <v/>
      </c>
      <c r="E331" t="str">
        <f>IF(Allocation!BM331="","",Allocation!BM331)</f>
        <v/>
      </c>
      <c r="F331" t="str">
        <f>IF(Allocation!BN331="","",Allocation!BN331)</f>
        <v/>
      </c>
      <c r="G331" t="str">
        <f>IF(Allocation!BO331="","",Allocation!BO331)</f>
        <v/>
      </c>
      <c r="H331" t="str">
        <f>IF(Allocation!BP331="","",Allocation!BP331)</f>
        <v/>
      </c>
      <c r="I331" t="str">
        <f>IF(Allocation!BQ331="","",Allocation!BQ331)</f>
        <v/>
      </c>
      <c r="J331" t="str">
        <f>IF(Allocation!CC331="","",Allocation!CC331)</f>
        <v/>
      </c>
      <c r="K331" t="str">
        <f t="shared" si="95"/>
        <v/>
      </c>
      <c r="L331" t="str">
        <f t="shared" si="96"/>
        <v/>
      </c>
      <c r="M331" t="str">
        <f t="shared" si="97"/>
        <v/>
      </c>
      <c r="N331" t="str">
        <f t="shared" si="98"/>
        <v/>
      </c>
      <c r="O331" t="str">
        <f t="shared" si="99"/>
        <v/>
      </c>
      <c r="P331" t="str">
        <f t="shared" si="100"/>
        <v/>
      </c>
      <c r="Q331" t="str">
        <f t="shared" si="101"/>
        <v/>
      </c>
      <c r="R331" t="str">
        <f t="shared" si="102"/>
        <v/>
      </c>
      <c r="S331" t="str">
        <f t="shared" si="103"/>
        <v/>
      </c>
      <c r="T331" t="str">
        <f t="shared" si="104"/>
        <v/>
      </c>
      <c r="U331" t="str">
        <f t="shared" si="105"/>
        <v/>
      </c>
      <c r="V331" t="str">
        <f t="shared" si="106"/>
        <v/>
      </c>
      <c r="W331" t="str">
        <f>IF($A331="","",Allocation!CD331)</f>
        <v/>
      </c>
      <c r="X331" t="str">
        <f>IF($A331="","",Allocation!CE331)</f>
        <v/>
      </c>
      <c r="Y331" t="str">
        <f>IF($A331="","",Allocation!CF331)</f>
        <v/>
      </c>
      <c r="Z331" t="str">
        <f>IF($A331="","",Allocation!CG331)</f>
        <v/>
      </c>
      <c r="AA331" t="str">
        <f>IF($A331="","",Allocation!CH331)</f>
        <v/>
      </c>
      <c r="AB331" t="str">
        <f>IF($A331="","",Allocation!CI331)</f>
        <v/>
      </c>
      <c r="AC331" t="str">
        <f>IF($A331="","",IF(Allocation!$N$4="VOL_EFF",$G331,IF(Allocation!$N$4="VOL_CLASS",$H331,$I331)))</f>
        <v/>
      </c>
      <c r="AD331" t="str">
        <f>IF($A331="","",IF(Allocation!$N$4="VOL_EFF",$L331,IF(Allocation!$N$4="VOL_CLASS",$M331,$N331)))</f>
        <v/>
      </c>
      <c r="AE331" t="str">
        <f>IF($A331="","",IF(Allocation!$N$3="VOL_EFF",$L331,IF(Allocation!$N$3="VOL_CLASS",$M331,$N331)))</f>
        <v/>
      </c>
      <c r="AF331" t="str">
        <f>IF($A331="","",IF(Allocation!$N$3="VOL_EFF",$Q331,IF(Allocation!$N$3="VOL_CLASS",$R331,$S331)))</f>
        <v/>
      </c>
      <c r="AG331" t="str">
        <f>IF($A331="","",IF(Allocation!$N$1="VOL_EFF",$Q331,IF(Allocation!$N$1="VOL_CLASS",$R331,$S331)))</f>
        <v/>
      </c>
      <c r="AH331" t="str">
        <f>IF($A331="","",IF(Allocation!$N$1="VOL_EFF",$T331,IF(Allocation!$N$1="VOL_CLASS",$U331,$V331)))</f>
        <v/>
      </c>
      <c r="AI331" t="str">
        <f t="shared" si="107"/>
        <v/>
      </c>
      <c r="AJ331" t="str">
        <f t="shared" si="108"/>
        <v/>
      </c>
      <c r="AK331" t="str">
        <f t="shared" si="109"/>
        <v/>
      </c>
      <c r="AL331" t="str">
        <f t="shared" si="110"/>
        <v/>
      </c>
      <c r="AM331" t="str">
        <f t="shared" si="111"/>
        <v/>
      </c>
      <c r="AN331" t="str">
        <f t="shared" si="112"/>
        <v/>
      </c>
      <c r="AO331" t="str">
        <f>IF($A331="","",Allocation!CJ331)</f>
        <v/>
      </c>
      <c r="AP331" t="str">
        <f>IF($A331="","",IF(Allocation!$N$2="VOL_EFF",$Q331,IF(Allocation!$N$2="VOL_CLASS",$R331,$S331)))</f>
        <v/>
      </c>
      <c r="AQ331" t="str">
        <f>IF($A331="","",IF(Allocation!$N$2="VOL_EFF",$T331,IF(Allocation!$N$2="VOL_CLASS",$U331,$V331)))</f>
        <v/>
      </c>
      <c r="AR331" t="str">
        <f t="shared" si="113"/>
        <v/>
      </c>
      <c r="AS331" t="str">
        <f>IF($A331="","",$A331&amp;"|"&amp;Allocation!BG331)</f>
        <v/>
      </c>
    </row>
    <row r="332" spans="1:45" x14ac:dyDescent="0.45">
      <c r="A332" t="str">
        <f>IF(Allocation!BI332="","",Allocation!BI332)</f>
        <v/>
      </c>
      <c r="B332" t="str">
        <f>IF(Allocation!BJ332="","",Allocation!BJ332)</f>
        <v/>
      </c>
      <c r="C332" t="str">
        <f>IF(Allocation!BK332="","",Allocation!BK332)</f>
        <v/>
      </c>
      <c r="D332" t="str">
        <f>IF(Allocation!BL332="","",Allocation!BL332)</f>
        <v/>
      </c>
      <c r="E332" t="str">
        <f>IF(Allocation!BM332="","",Allocation!BM332)</f>
        <v/>
      </c>
      <c r="F332" t="str">
        <f>IF(Allocation!BN332="","",Allocation!BN332)</f>
        <v/>
      </c>
      <c r="G332" t="str">
        <f>IF(Allocation!BO332="","",Allocation!BO332)</f>
        <v/>
      </c>
      <c r="H332" t="str">
        <f>IF(Allocation!BP332="","",Allocation!BP332)</f>
        <v/>
      </c>
      <c r="I332" t="str">
        <f>IF(Allocation!BQ332="","",Allocation!BQ332)</f>
        <v/>
      </c>
      <c r="J332" t="str">
        <f>IF(Allocation!CC332="","",Allocation!CC332)</f>
        <v/>
      </c>
      <c r="K332" t="str">
        <f t="shared" si="95"/>
        <v/>
      </c>
      <c r="L332" t="str">
        <f t="shared" si="96"/>
        <v/>
      </c>
      <c r="M332" t="str">
        <f t="shared" si="97"/>
        <v/>
      </c>
      <c r="N332" t="str">
        <f t="shared" si="98"/>
        <v/>
      </c>
      <c r="O332" t="str">
        <f t="shared" si="99"/>
        <v/>
      </c>
      <c r="P332" t="str">
        <f t="shared" si="100"/>
        <v/>
      </c>
      <c r="Q332" t="str">
        <f t="shared" si="101"/>
        <v/>
      </c>
      <c r="R332" t="str">
        <f t="shared" si="102"/>
        <v/>
      </c>
      <c r="S332" t="str">
        <f t="shared" si="103"/>
        <v/>
      </c>
      <c r="T332" t="str">
        <f t="shared" si="104"/>
        <v/>
      </c>
      <c r="U332" t="str">
        <f t="shared" si="105"/>
        <v/>
      </c>
      <c r="V332" t="str">
        <f t="shared" si="106"/>
        <v/>
      </c>
      <c r="W332" t="str">
        <f>IF($A332="","",Allocation!CD332)</f>
        <v/>
      </c>
      <c r="X332" t="str">
        <f>IF($A332="","",Allocation!CE332)</f>
        <v/>
      </c>
      <c r="Y332" t="str">
        <f>IF($A332="","",Allocation!CF332)</f>
        <v/>
      </c>
      <c r="Z332" t="str">
        <f>IF($A332="","",Allocation!CG332)</f>
        <v/>
      </c>
      <c r="AA332" t="str">
        <f>IF($A332="","",Allocation!CH332)</f>
        <v/>
      </c>
      <c r="AB332" t="str">
        <f>IF($A332="","",Allocation!CI332)</f>
        <v/>
      </c>
      <c r="AC332" t="str">
        <f>IF($A332="","",IF(Allocation!$N$4="VOL_EFF",$G332,IF(Allocation!$N$4="VOL_CLASS",$H332,$I332)))</f>
        <v/>
      </c>
      <c r="AD332" t="str">
        <f>IF($A332="","",IF(Allocation!$N$4="VOL_EFF",$L332,IF(Allocation!$N$4="VOL_CLASS",$M332,$N332)))</f>
        <v/>
      </c>
      <c r="AE332" t="str">
        <f>IF($A332="","",IF(Allocation!$N$3="VOL_EFF",$L332,IF(Allocation!$N$3="VOL_CLASS",$M332,$N332)))</f>
        <v/>
      </c>
      <c r="AF332" t="str">
        <f>IF($A332="","",IF(Allocation!$N$3="VOL_EFF",$Q332,IF(Allocation!$N$3="VOL_CLASS",$R332,$S332)))</f>
        <v/>
      </c>
      <c r="AG332" t="str">
        <f>IF($A332="","",IF(Allocation!$N$1="VOL_EFF",$Q332,IF(Allocation!$N$1="VOL_CLASS",$R332,$S332)))</f>
        <v/>
      </c>
      <c r="AH332" t="str">
        <f>IF($A332="","",IF(Allocation!$N$1="VOL_EFF",$T332,IF(Allocation!$N$1="VOL_CLASS",$U332,$V332)))</f>
        <v/>
      </c>
      <c r="AI332" t="str">
        <f t="shared" si="107"/>
        <v/>
      </c>
      <c r="AJ332" t="str">
        <f t="shared" si="108"/>
        <v/>
      </c>
      <c r="AK332" t="str">
        <f t="shared" si="109"/>
        <v/>
      </c>
      <c r="AL332" t="str">
        <f t="shared" si="110"/>
        <v/>
      </c>
      <c r="AM332" t="str">
        <f t="shared" si="111"/>
        <v/>
      </c>
      <c r="AN332" t="str">
        <f t="shared" si="112"/>
        <v/>
      </c>
      <c r="AO332" t="str">
        <f>IF($A332="","",Allocation!CJ332)</f>
        <v/>
      </c>
      <c r="AP332" t="str">
        <f>IF($A332="","",IF(Allocation!$N$2="VOL_EFF",$Q332,IF(Allocation!$N$2="VOL_CLASS",$R332,$S332)))</f>
        <v/>
      </c>
      <c r="AQ332" t="str">
        <f>IF($A332="","",IF(Allocation!$N$2="VOL_EFF",$T332,IF(Allocation!$N$2="VOL_CLASS",$U332,$V332)))</f>
        <v/>
      </c>
      <c r="AR332" t="str">
        <f t="shared" si="113"/>
        <v/>
      </c>
      <c r="AS332" t="str">
        <f>IF($A332="","",$A332&amp;"|"&amp;Allocation!BG332)</f>
        <v/>
      </c>
    </row>
    <row r="333" spans="1:45" x14ac:dyDescent="0.45">
      <c r="A333" t="str">
        <f>IF(Allocation!BI333="","",Allocation!BI333)</f>
        <v/>
      </c>
      <c r="B333" t="str">
        <f>IF(Allocation!BJ333="","",Allocation!BJ333)</f>
        <v/>
      </c>
      <c r="C333" t="str">
        <f>IF(Allocation!BK333="","",Allocation!BK333)</f>
        <v/>
      </c>
      <c r="D333" t="str">
        <f>IF(Allocation!BL333="","",Allocation!BL333)</f>
        <v/>
      </c>
      <c r="E333" t="str">
        <f>IF(Allocation!BM333="","",Allocation!BM333)</f>
        <v/>
      </c>
      <c r="F333" t="str">
        <f>IF(Allocation!BN333="","",Allocation!BN333)</f>
        <v/>
      </c>
      <c r="G333" t="str">
        <f>IF(Allocation!BO333="","",Allocation!BO333)</f>
        <v/>
      </c>
      <c r="H333" t="str">
        <f>IF(Allocation!BP333="","",Allocation!BP333)</f>
        <v/>
      </c>
      <c r="I333" t="str">
        <f>IF(Allocation!BQ333="","",Allocation!BQ333)</f>
        <v/>
      </c>
      <c r="J333" t="str">
        <f>IF(Allocation!CC333="","",Allocation!CC333)</f>
        <v/>
      </c>
      <c r="K333" t="str">
        <f t="shared" si="95"/>
        <v/>
      </c>
      <c r="L333" t="str">
        <f t="shared" si="96"/>
        <v/>
      </c>
      <c r="M333" t="str">
        <f t="shared" si="97"/>
        <v/>
      </c>
      <c r="N333" t="str">
        <f t="shared" si="98"/>
        <v/>
      </c>
      <c r="O333" t="str">
        <f t="shared" si="99"/>
        <v/>
      </c>
      <c r="P333" t="str">
        <f t="shared" si="100"/>
        <v/>
      </c>
      <c r="Q333" t="str">
        <f t="shared" si="101"/>
        <v/>
      </c>
      <c r="R333" t="str">
        <f t="shared" si="102"/>
        <v/>
      </c>
      <c r="S333" t="str">
        <f t="shared" si="103"/>
        <v/>
      </c>
      <c r="T333" t="str">
        <f t="shared" si="104"/>
        <v/>
      </c>
      <c r="U333" t="str">
        <f t="shared" si="105"/>
        <v/>
      </c>
      <c r="V333" t="str">
        <f t="shared" si="106"/>
        <v/>
      </c>
      <c r="W333" t="str">
        <f>IF($A333="","",Allocation!CD333)</f>
        <v/>
      </c>
      <c r="X333" t="str">
        <f>IF($A333="","",Allocation!CE333)</f>
        <v/>
      </c>
      <c r="Y333" t="str">
        <f>IF($A333="","",Allocation!CF333)</f>
        <v/>
      </c>
      <c r="Z333" t="str">
        <f>IF($A333="","",Allocation!CG333)</f>
        <v/>
      </c>
      <c r="AA333" t="str">
        <f>IF($A333="","",Allocation!CH333)</f>
        <v/>
      </c>
      <c r="AB333" t="str">
        <f>IF($A333="","",Allocation!CI333)</f>
        <v/>
      </c>
      <c r="AC333" t="str">
        <f>IF($A333="","",IF(Allocation!$N$4="VOL_EFF",$G333,IF(Allocation!$N$4="VOL_CLASS",$H333,$I333)))</f>
        <v/>
      </c>
      <c r="AD333" t="str">
        <f>IF($A333="","",IF(Allocation!$N$4="VOL_EFF",$L333,IF(Allocation!$N$4="VOL_CLASS",$M333,$N333)))</f>
        <v/>
      </c>
      <c r="AE333" t="str">
        <f>IF($A333="","",IF(Allocation!$N$3="VOL_EFF",$L333,IF(Allocation!$N$3="VOL_CLASS",$M333,$N333)))</f>
        <v/>
      </c>
      <c r="AF333" t="str">
        <f>IF($A333="","",IF(Allocation!$N$3="VOL_EFF",$Q333,IF(Allocation!$N$3="VOL_CLASS",$R333,$S333)))</f>
        <v/>
      </c>
      <c r="AG333" t="str">
        <f>IF($A333="","",IF(Allocation!$N$1="VOL_EFF",$Q333,IF(Allocation!$N$1="VOL_CLASS",$R333,$S333)))</f>
        <v/>
      </c>
      <c r="AH333" t="str">
        <f>IF($A333="","",IF(Allocation!$N$1="VOL_EFF",$T333,IF(Allocation!$N$1="VOL_CLASS",$U333,$V333)))</f>
        <v/>
      </c>
      <c r="AI333" t="str">
        <f t="shared" si="107"/>
        <v/>
      </c>
      <c r="AJ333" t="str">
        <f t="shared" si="108"/>
        <v/>
      </c>
      <c r="AK333" t="str">
        <f t="shared" si="109"/>
        <v/>
      </c>
      <c r="AL333" t="str">
        <f t="shared" si="110"/>
        <v/>
      </c>
      <c r="AM333" t="str">
        <f t="shared" si="111"/>
        <v/>
      </c>
      <c r="AN333" t="str">
        <f t="shared" si="112"/>
        <v/>
      </c>
      <c r="AO333" t="str">
        <f>IF($A333="","",Allocation!CJ333)</f>
        <v/>
      </c>
      <c r="AP333" t="str">
        <f>IF($A333="","",IF(Allocation!$N$2="VOL_EFF",$Q333,IF(Allocation!$N$2="VOL_CLASS",$R333,$S333)))</f>
        <v/>
      </c>
      <c r="AQ333" t="str">
        <f>IF($A333="","",IF(Allocation!$N$2="VOL_EFF",$T333,IF(Allocation!$N$2="VOL_CLASS",$U333,$V333)))</f>
        <v/>
      </c>
      <c r="AR333" t="str">
        <f t="shared" si="113"/>
        <v/>
      </c>
      <c r="AS333" t="str">
        <f>IF($A333="","",$A333&amp;"|"&amp;Allocation!BG333)</f>
        <v/>
      </c>
    </row>
    <row r="334" spans="1:45" x14ac:dyDescent="0.45">
      <c r="A334" t="str">
        <f>IF(Allocation!BI334="","",Allocation!BI334)</f>
        <v/>
      </c>
      <c r="B334" t="str">
        <f>IF(Allocation!BJ334="","",Allocation!BJ334)</f>
        <v/>
      </c>
      <c r="C334" t="str">
        <f>IF(Allocation!BK334="","",Allocation!BK334)</f>
        <v/>
      </c>
      <c r="D334" t="str">
        <f>IF(Allocation!BL334="","",Allocation!BL334)</f>
        <v/>
      </c>
      <c r="E334" t="str">
        <f>IF(Allocation!BM334="","",Allocation!BM334)</f>
        <v/>
      </c>
      <c r="F334" t="str">
        <f>IF(Allocation!BN334="","",Allocation!BN334)</f>
        <v/>
      </c>
      <c r="G334" t="str">
        <f>IF(Allocation!BO334="","",Allocation!BO334)</f>
        <v/>
      </c>
      <c r="H334" t="str">
        <f>IF(Allocation!BP334="","",Allocation!BP334)</f>
        <v/>
      </c>
      <c r="I334" t="str">
        <f>IF(Allocation!BQ334="","",Allocation!BQ334)</f>
        <v/>
      </c>
      <c r="J334" t="str">
        <f>IF(Allocation!CC334="","",Allocation!CC334)</f>
        <v/>
      </c>
      <c r="K334" t="str">
        <f t="shared" si="95"/>
        <v/>
      </c>
      <c r="L334" t="str">
        <f t="shared" si="96"/>
        <v/>
      </c>
      <c r="M334" t="str">
        <f t="shared" si="97"/>
        <v/>
      </c>
      <c r="N334" t="str">
        <f t="shared" si="98"/>
        <v/>
      </c>
      <c r="O334" t="str">
        <f t="shared" si="99"/>
        <v/>
      </c>
      <c r="P334" t="str">
        <f t="shared" si="100"/>
        <v/>
      </c>
      <c r="Q334" t="str">
        <f t="shared" si="101"/>
        <v/>
      </c>
      <c r="R334" t="str">
        <f t="shared" si="102"/>
        <v/>
      </c>
      <c r="S334" t="str">
        <f t="shared" si="103"/>
        <v/>
      </c>
      <c r="T334" t="str">
        <f t="shared" si="104"/>
        <v/>
      </c>
      <c r="U334" t="str">
        <f t="shared" si="105"/>
        <v/>
      </c>
      <c r="V334" t="str">
        <f t="shared" si="106"/>
        <v/>
      </c>
      <c r="W334" t="str">
        <f>IF($A334="","",Allocation!CD334)</f>
        <v/>
      </c>
      <c r="X334" t="str">
        <f>IF($A334="","",Allocation!CE334)</f>
        <v/>
      </c>
      <c r="Y334" t="str">
        <f>IF($A334="","",Allocation!CF334)</f>
        <v/>
      </c>
      <c r="Z334" t="str">
        <f>IF($A334="","",Allocation!CG334)</f>
        <v/>
      </c>
      <c r="AA334" t="str">
        <f>IF($A334="","",Allocation!CH334)</f>
        <v/>
      </c>
      <c r="AB334" t="str">
        <f>IF($A334="","",Allocation!CI334)</f>
        <v/>
      </c>
      <c r="AC334" t="str">
        <f>IF($A334="","",IF(Allocation!$N$4="VOL_EFF",$G334,IF(Allocation!$N$4="VOL_CLASS",$H334,$I334)))</f>
        <v/>
      </c>
      <c r="AD334" t="str">
        <f>IF($A334="","",IF(Allocation!$N$4="VOL_EFF",$L334,IF(Allocation!$N$4="VOL_CLASS",$M334,$N334)))</f>
        <v/>
      </c>
      <c r="AE334" t="str">
        <f>IF($A334="","",IF(Allocation!$N$3="VOL_EFF",$L334,IF(Allocation!$N$3="VOL_CLASS",$M334,$N334)))</f>
        <v/>
      </c>
      <c r="AF334" t="str">
        <f>IF($A334="","",IF(Allocation!$N$3="VOL_EFF",$Q334,IF(Allocation!$N$3="VOL_CLASS",$R334,$S334)))</f>
        <v/>
      </c>
      <c r="AG334" t="str">
        <f>IF($A334="","",IF(Allocation!$N$1="VOL_EFF",$Q334,IF(Allocation!$N$1="VOL_CLASS",$R334,$S334)))</f>
        <v/>
      </c>
      <c r="AH334" t="str">
        <f>IF($A334="","",IF(Allocation!$N$1="VOL_EFF",$T334,IF(Allocation!$N$1="VOL_CLASS",$U334,$V334)))</f>
        <v/>
      </c>
      <c r="AI334" t="str">
        <f t="shared" si="107"/>
        <v/>
      </c>
      <c r="AJ334" t="str">
        <f t="shared" si="108"/>
        <v/>
      </c>
      <c r="AK334" t="str">
        <f t="shared" si="109"/>
        <v/>
      </c>
      <c r="AL334" t="str">
        <f t="shared" si="110"/>
        <v/>
      </c>
      <c r="AM334" t="str">
        <f t="shared" si="111"/>
        <v/>
      </c>
      <c r="AN334" t="str">
        <f t="shared" si="112"/>
        <v/>
      </c>
      <c r="AO334" t="str">
        <f>IF($A334="","",Allocation!CJ334)</f>
        <v/>
      </c>
      <c r="AP334" t="str">
        <f>IF($A334="","",IF(Allocation!$N$2="VOL_EFF",$Q334,IF(Allocation!$N$2="VOL_CLASS",$R334,$S334)))</f>
        <v/>
      </c>
      <c r="AQ334" t="str">
        <f>IF($A334="","",IF(Allocation!$N$2="VOL_EFF",$T334,IF(Allocation!$N$2="VOL_CLASS",$U334,$V334)))</f>
        <v/>
      </c>
      <c r="AR334" t="str">
        <f t="shared" si="113"/>
        <v/>
      </c>
      <c r="AS334" t="str">
        <f>IF($A334="","",$A334&amp;"|"&amp;Allocation!BG334)</f>
        <v/>
      </c>
    </row>
    <row r="335" spans="1:45" x14ac:dyDescent="0.45">
      <c r="A335" t="str">
        <f>IF(Allocation!BI335="","",Allocation!BI335)</f>
        <v/>
      </c>
      <c r="B335" t="str">
        <f>IF(Allocation!BJ335="","",Allocation!BJ335)</f>
        <v/>
      </c>
      <c r="C335" t="str">
        <f>IF(Allocation!BK335="","",Allocation!BK335)</f>
        <v/>
      </c>
      <c r="D335" t="str">
        <f>IF(Allocation!BL335="","",Allocation!BL335)</f>
        <v/>
      </c>
      <c r="E335" t="str">
        <f>IF(Allocation!BM335="","",Allocation!BM335)</f>
        <v/>
      </c>
      <c r="F335" t="str">
        <f>IF(Allocation!BN335="","",Allocation!BN335)</f>
        <v/>
      </c>
      <c r="G335" t="str">
        <f>IF(Allocation!BO335="","",Allocation!BO335)</f>
        <v/>
      </c>
      <c r="H335" t="str">
        <f>IF(Allocation!BP335="","",Allocation!BP335)</f>
        <v/>
      </c>
      <c r="I335" t="str">
        <f>IF(Allocation!BQ335="","",Allocation!BQ335)</f>
        <v/>
      </c>
      <c r="J335" t="str">
        <f>IF(Allocation!CC335="","",Allocation!CC335)</f>
        <v/>
      </c>
      <c r="K335" t="str">
        <f t="shared" si="95"/>
        <v/>
      </c>
      <c r="L335" t="str">
        <f t="shared" si="96"/>
        <v/>
      </c>
      <c r="M335" t="str">
        <f t="shared" si="97"/>
        <v/>
      </c>
      <c r="N335" t="str">
        <f t="shared" si="98"/>
        <v/>
      </c>
      <c r="O335" t="str">
        <f t="shared" si="99"/>
        <v/>
      </c>
      <c r="P335" t="str">
        <f t="shared" si="100"/>
        <v/>
      </c>
      <c r="Q335" t="str">
        <f t="shared" si="101"/>
        <v/>
      </c>
      <c r="R335" t="str">
        <f t="shared" si="102"/>
        <v/>
      </c>
      <c r="S335" t="str">
        <f t="shared" si="103"/>
        <v/>
      </c>
      <c r="T335" t="str">
        <f t="shared" si="104"/>
        <v/>
      </c>
      <c r="U335" t="str">
        <f t="shared" si="105"/>
        <v/>
      </c>
      <c r="V335" t="str">
        <f t="shared" si="106"/>
        <v/>
      </c>
      <c r="W335" t="str">
        <f>IF($A335="","",Allocation!CD335)</f>
        <v/>
      </c>
      <c r="X335" t="str">
        <f>IF($A335="","",Allocation!CE335)</f>
        <v/>
      </c>
      <c r="Y335" t="str">
        <f>IF($A335="","",Allocation!CF335)</f>
        <v/>
      </c>
      <c r="Z335" t="str">
        <f>IF($A335="","",Allocation!CG335)</f>
        <v/>
      </c>
      <c r="AA335" t="str">
        <f>IF($A335="","",Allocation!CH335)</f>
        <v/>
      </c>
      <c r="AB335" t="str">
        <f>IF($A335="","",Allocation!CI335)</f>
        <v/>
      </c>
      <c r="AC335" t="str">
        <f>IF($A335="","",IF(Allocation!$N$4="VOL_EFF",$G335,IF(Allocation!$N$4="VOL_CLASS",$H335,$I335)))</f>
        <v/>
      </c>
      <c r="AD335" t="str">
        <f>IF($A335="","",IF(Allocation!$N$4="VOL_EFF",$L335,IF(Allocation!$N$4="VOL_CLASS",$M335,$N335)))</f>
        <v/>
      </c>
      <c r="AE335" t="str">
        <f>IF($A335="","",IF(Allocation!$N$3="VOL_EFF",$L335,IF(Allocation!$N$3="VOL_CLASS",$M335,$N335)))</f>
        <v/>
      </c>
      <c r="AF335" t="str">
        <f>IF($A335="","",IF(Allocation!$N$3="VOL_EFF",$Q335,IF(Allocation!$N$3="VOL_CLASS",$R335,$S335)))</f>
        <v/>
      </c>
      <c r="AG335" t="str">
        <f>IF($A335="","",IF(Allocation!$N$1="VOL_EFF",$Q335,IF(Allocation!$N$1="VOL_CLASS",$R335,$S335)))</f>
        <v/>
      </c>
      <c r="AH335" t="str">
        <f>IF($A335="","",IF(Allocation!$N$1="VOL_EFF",$T335,IF(Allocation!$N$1="VOL_CLASS",$U335,$V335)))</f>
        <v/>
      </c>
      <c r="AI335" t="str">
        <f t="shared" si="107"/>
        <v/>
      </c>
      <c r="AJ335" t="str">
        <f t="shared" si="108"/>
        <v/>
      </c>
      <c r="AK335" t="str">
        <f t="shared" si="109"/>
        <v/>
      </c>
      <c r="AL335" t="str">
        <f t="shared" si="110"/>
        <v/>
      </c>
      <c r="AM335" t="str">
        <f t="shared" si="111"/>
        <v/>
      </c>
      <c r="AN335" t="str">
        <f t="shared" si="112"/>
        <v/>
      </c>
      <c r="AO335" t="str">
        <f>IF($A335="","",Allocation!CJ335)</f>
        <v/>
      </c>
      <c r="AP335" t="str">
        <f>IF($A335="","",IF(Allocation!$N$2="VOL_EFF",$Q335,IF(Allocation!$N$2="VOL_CLASS",$R335,$S335)))</f>
        <v/>
      </c>
      <c r="AQ335" t="str">
        <f>IF($A335="","",IF(Allocation!$N$2="VOL_EFF",$T335,IF(Allocation!$N$2="VOL_CLASS",$U335,$V335)))</f>
        <v/>
      </c>
      <c r="AR335" t="str">
        <f t="shared" si="113"/>
        <v/>
      </c>
      <c r="AS335" t="str">
        <f>IF($A335="","",$A335&amp;"|"&amp;Allocation!BG335)</f>
        <v/>
      </c>
    </row>
    <row r="336" spans="1:45" x14ac:dyDescent="0.45">
      <c r="A336" t="str">
        <f>IF(Allocation!BI336="","",Allocation!BI336)</f>
        <v/>
      </c>
      <c r="B336" t="str">
        <f>IF(Allocation!BJ336="","",Allocation!BJ336)</f>
        <v/>
      </c>
      <c r="C336" t="str">
        <f>IF(Allocation!BK336="","",Allocation!BK336)</f>
        <v/>
      </c>
      <c r="D336" t="str">
        <f>IF(Allocation!BL336="","",Allocation!BL336)</f>
        <v/>
      </c>
      <c r="E336" t="str">
        <f>IF(Allocation!BM336="","",Allocation!BM336)</f>
        <v/>
      </c>
      <c r="F336" t="str">
        <f>IF(Allocation!BN336="","",Allocation!BN336)</f>
        <v/>
      </c>
      <c r="G336" t="str">
        <f>IF(Allocation!BO336="","",Allocation!BO336)</f>
        <v/>
      </c>
      <c r="H336" t="str">
        <f>IF(Allocation!BP336="","",Allocation!BP336)</f>
        <v/>
      </c>
      <c r="I336" t="str">
        <f>IF(Allocation!BQ336="","",Allocation!BQ336)</f>
        <v/>
      </c>
      <c r="J336" t="str">
        <f>IF(Allocation!CC336="","",Allocation!CC336)</f>
        <v/>
      </c>
      <c r="K336" t="str">
        <f t="shared" si="95"/>
        <v/>
      </c>
      <c r="L336" t="str">
        <f t="shared" si="96"/>
        <v/>
      </c>
      <c r="M336" t="str">
        <f t="shared" si="97"/>
        <v/>
      </c>
      <c r="N336" t="str">
        <f t="shared" si="98"/>
        <v/>
      </c>
      <c r="O336" t="str">
        <f t="shared" si="99"/>
        <v/>
      </c>
      <c r="P336" t="str">
        <f t="shared" si="100"/>
        <v/>
      </c>
      <c r="Q336" t="str">
        <f t="shared" si="101"/>
        <v/>
      </c>
      <c r="R336" t="str">
        <f t="shared" si="102"/>
        <v/>
      </c>
      <c r="S336" t="str">
        <f t="shared" si="103"/>
        <v/>
      </c>
      <c r="T336" t="str">
        <f t="shared" si="104"/>
        <v/>
      </c>
      <c r="U336" t="str">
        <f t="shared" si="105"/>
        <v/>
      </c>
      <c r="V336" t="str">
        <f t="shared" si="106"/>
        <v/>
      </c>
      <c r="W336" t="str">
        <f>IF($A336="","",Allocation!CD336)</f>
        <v/>
      </c>
      <c r="X336" t="str">
        <f>IF($A336="","",Allocation!CE336)</f>
        <v/>
      </c>
      <c r="Y336" t="str">
        <f>IF($A336="","",Allocation!CF336)</f>
        <v/>
      </c>
      <c r="Z336" t="str">
        <f>IF($A336="","",Allocation!CG336)</f>
        <v/>
      </c>
      <c r="AA336" t="str">
        <f>IF($A336="","",Allocation!CH336)</f>
        <v/>
      </c>
      <c r="AB336" t="str">
        <f>IF($A336="","",Allocation!CI336)</f>
        <v/>
      </c>
      <c r="AC336" t="str">
        <f>IF($A336="","",IF(Allocation!$N$4="VOL_EFF",$G336,IF(Allocation!$N$4="VOL_CLASS",$H336,$I336)))</f>
        <v/>
      </c>
      <c r="AD336" t="str">
        <f>IF($A336="","",IF(Allocation!$N$4="VOL_EFF",$L336,IF(Allocation!$N$4="VOL_CLASS",$M336,$N336)))</f>
        <v/>
      </c>
      <c r="AE336" t="str">
        <f>IF($A336="","",IF(Allocation!$N$3="VOL_EFF",$L336,IF(Allocation!$N$3="VOL_CLASS",$M336,$N336)))</f>
        <v/>
      </c>
      <c r="AF336" t="str">
        <f>IF($A336="","",IF(Allocation!$N$3="VOL_EFF",$Q336,IF(Allocation!$N$3="VOL_CLASS",$R336,$S336)))</f>
        <v/>
      </c>
      <c r="AG336" t="str">
        <f>IF($A336="","",IF(Allocation!$N$1="VOL_EFF",$Q336,IF(Allocation!$N$1="VOL_CLASS",$R336,$S336)))</f>
        <v/>
      </c>
      <c r="AH336" t="str">
        <f>IF($A336="","",IF(Allocation!$N$1="VOL_EFF",$T336,IF(Allocation!$N$1="VOL_CLASS",$U336,$V336)))</f>
        <v/>
      </c>
      <c r="AI336" t="str">
        <f t="shared" si="107"/>
        <v/>
      </c>
      <c r="AJ336" t="str">
        <f t="shared" si="108"/>
        <v/>
      </c>
      <c r="AK336" t="str">
        <f t="shared" si="109"/>
        <v/>
      </c>
      <c r="AL336" t="str">
        <f t="shared" si="110"/>
        <v/>
      </c>
      <c r="AM336" t="str">
        <f t="shared" si="111"/>
        <v/>
      </c>
      <c r="AN336" t="str">
        <f t="shared" si="112"/>
        <v/>
      </c>
      <c r="AO336" t="str">
        <f>IF($A336="","",Allocation!CJ336)</f>
        <v/>
      </c>
      <c r="AP336" t="str">
        <f>IF($A336="","",IF(Allocation!$N$2="VOL_EFF",$Q336,IF(Allocation!$N$2="VOL_CLASS",$R336,$S336)))</f>
        <v/>
      </c>
      <c r="AQ336" t="str">
        <f>IF($A336="","",IF(Allocation!$N$2="VOL_EFF",$T336,IF(Allocation!$N$2="VOL_CLASS",$U336,$V336)))</f>
        <v/>
      </c>
      <c r="AR336" t="str">
        <f t="shared" si="113"/>
        <v/>
      </c>
      <c r="AS336" t="str">
        <f>IF($A336="","",$A336&amp;"|"&amp;Allocation!BG336)</f>
        <v/>
      </c>
    </row>
    <row r="337" spans="1:45" x14ac:dyDescent="0.45">
      <c r="A337" t="str">
        <f>IF(Allocation!BI337="","",Allocation!BI337)</f>
        <v/>
      </c>
      <c r="B337" t="str">
        <f>IF(Allocation!BJ337="","",Allocation!BJ337)</f>
        <v/>
      </c>
      <c r="C337" t="str">
        <f>IF(Allocation!BK337="","",Allocation!BK337)</f>
        <v/>
      </c>
      <c r="D337" t="str">
        <f>IF(Allocation!BL337="","",Allocation!BL337)</f>
        <v/>
      </c>
      <c r="E337" t="str">
        <f>IF(Allocation!BM337="","",Allocation!BM337)</f>
        <v/>
      </c>
      <c r="F337" t="str">
        <f>IF(Allocation!BN337="","",Allocation!BN337)</f>
        <v/>
      </c>
      <c r="G337" t="str">
        <f>IF(Allocation!BO337="","",Allocation!BO337)</f>
        <v/>
      </c>
      <c r="H337" t="str">
        <f>IF(Allocation!BP337="","",Allocation!BP337)</f>
        <v/>
      </c>
      <c r="I337" t="str">
        <f>IF(Allocation!BQ337="","",Allocation!BQ337)</f>
        <v/>
      </c>
      <c r="J337" t="str">
        <f>IF(Allocation!CC337="","",Allocation!CC337)</f>
        <v/>
      </c>
      <c r="K337" t="str">
        <f t="shared" si="95"/>
        <v/>
      </c>
      <c r="L337" t="str">
        <f t="shared" si="96"/>
        <v/>
      </c>
      <c r="M337" t="str">
        <f t="shared" si="97"/>
        <v/>
      </c>
      <c r="N337" t="str">
        <f t="shared" si="98"/>
        <v/>
      </c>
      <c r="O337" t="str">
        <f t="shared" si="99"/>
        <v/>
      </c>
      <c r="P337" t="str">
        <f t="shared" si="100"/>
        <v/>
      </c>
      <c r="Q337" t="str">
        <f t="shared" si="101"/>
        <v/>
      </c>
      <c r="R337" t="str">
        <f t="shared" si="102"/>
        <v/>
      </c>
      <c r="S337" t="str">
        <f t="shared" si="103"/>
        <v/>
      </c>
      <c r="T337" t="str">
        <f t="shared" si="104"/>
        <v/>
      </c>
      <c r="U337" t="str">
        <f t="shared" si="105"/>
        <v/>
      </c>
      <c r="V337" t="str">
        <f t="shared" si="106"/>
        <v/>
      </c>
      <c r="W337" t="str">
        <f>IF($A337="","",Allocation!CD337)</f>
        <v/>
      </c>
      <c r="X337" t="str">
        <f>IF($A337="","",Allocation!CE337)</f>
        <v/>
      </c>
      <c r="Y337" t="str">
        <f>IF($A337="","",Allocation!CF337)</f>
        <v/>
      </c>
      <c r="Z337" t="str">
        <f>IF($A337="","",Allocation!CG337)</f>
        <v/>
      </c>
      <c r="AA337" t="str">
        <f>IF($A337="","",Allocation!CH337)</f>
        <v/>
      </c>
      <c r="AB337" t="str">
        <f>IF($A337="","",Allocation!CI337)</f>
        <v/>
      </c>
      <c r="AC337" t="str">
        <f>IF($A337="","",IF(Allocation!$N$4="VOL_EFF",$G337,IF(Allocation!$N$4="VOL_CLASS",$H337,$I337)))</f>
        <v/>
      </c>
      <c r="AD337" t="str">
        <f>IF($A337="","",IF(Allocation!$N$4="VOL_EFF",$L337,IF(Allocation!$N$4="VOL_CLASS",$M337,$N337)))</f>
        <v/>
      </c>
      <c r="AE337" t="str">
        <f>IF($A337="","",IF(Allocation!$N$3="VOL_EFF",$L337,IF(Allocation!$N$3="VOL_CLASS",$M337,$N337)))</f>
        <v/>
      </c>
      <c r="AF337" t="str">
        <f>IF($A337="","",IF(Allocation!$N$3="VOL_EFF",$Q337,IF(Allocation!$N$3="VOL_CLASS",$R337,$S337)))</f>
        <v/>
      </c>
      <c r="AG337" t="str">
        <f>IF($A337="","",IF(Allocation!$N$1="VOL_EFF",$Q337,IF(Allocation!$N$1="VOL_CLASS",$R337,$S337)))</f>
        <v/>
      </c>
      <c r="AH337" t="str">
        <f>IF($A337="","",IF(Allocation!$N$1="VOL_EFF",$T337,IF(Allocation!$N$1="VOL_CLASS",$U337,$V337)))</f>
        <v/>
      </c>
      <c r="AI337" t="str">
        <f t="shared" si="107"/>
        <v/>
      </c>
      <c r="AJ337" t="str">
        <f t="shared" si="108"/>
        <v/>
      </c>
      <c r="AK337" t="str">
        <f t="shared" si="109"/>
        <v/>
      </c>
      <c r="AL337" t="str">
        <f t="shared" si="110"/>
        <v/>
      </c>
      <c r="AM337" t="str">
        <f t="shared" si="111"/>
        <v/>
      </c>
      <c r="AN337" t="str">
        <f t="shared" si="112"/>
        <v/>
      </c>
      <c r="AO337" t="str">
        <f>IF($A337="","",Allocation!CJ337)</f>
        <v/>
      </c>
      <c r="AP337" t="str">
        <f>IF($A337="","",IF(Allocation!$N$2="VOL_EFF",$Q337,IF(Allocation!$N$2="VOL_CLASS",$R337,$S337)))</f>
        <v/>
      </c>
      <c r="AQ337" t="str">
        <f>IF($A337="","",IF(Allocation!$N$2="VOL_EFF",$T337,IF(Allocation!$N$2="VOL_CLASS",$U337,$V337)))</f>
        <v/>
      </c>
      <c r="AR337" t="str">
        <f t="shared" si="113"/>
        <v/>
      </c>
      <c r="AS337" t="str">
        <f>IF($A337="","",$A337&amp;"|"&amp;Allocation!BG337)</f>
        <v/>
      </c>
    </row>
    <row r="338" spans="1:45" x14ac:dyDescent="0.45">
      <c r="A338" t="str">
        <f>IF(Allocation!BI338="","",Allocation!BI338)</f>
        <v/>
      </c>
      <c r="B338" t="str">
        <f>IF(Allocation!BJ338="","",Allocation!BJ338)</f>
        <v/>
      </c>
      <c r="C338" t="str">
        <f>IF(Allocation!BK338="","",Allocation!BK338)</f>
        <v/>
      </c>
      <c r="D338" t="str">
        <f>IF(Allocation!BL338="","",Allocation!BL338)</f>
        <v/>
      </c>
      <c r="E338" t="str">
        <f>IF(Allocation!BM338="","",Allocation!BM338)</f>
        <v/>
      </c>
      <c r="F338" t="str">
        <f>IF(Allocation!BN338="","",Allocation!BN338)</f>
        <v/>
      </c>
      <c r="G338" t="str">
        <f>IF(Allocation!BO338="","",Allocation!BO338)</f>
        <v/>
      </c>
      <c r="H338" t="str">
        <f>IF(Allocation!BP338="","",Allocation!BP338)</f>
        <v/>
      </c>
      <c r="I338" t="str">
        <f>IF(Allocation!BQ338="","",Allocation!BQ338)</f>
        <v/>
      </c>
      <c r="J338" t="str">
        <f>IF(Allocation!CC338="","",Allocation!CC338)</f>
        <v/>
      </c>
      <c r="K338" t="str">
        <f t="shared" si="95"/>
        <v/>
      </c>
      <c r="L338" t="str">
        <f t="shared" si="96"/>
        <v/>
      </c>
      <c r="M338" t="str">
        <f t="shared" si="97"/>
        <v/>
      </c>
      <c r="N338" t="str">
        <f t="shared" si="98"/>
        <v/>
      </c>
      <c r="O338" t="str">
        <f t="shared" si="99"/>
        <v/>
      </c>
      <c r="P338" t="str">
        <f t="shared" si="100"/>
        <v/>
      </c>
      <c r="Q338" t="str">
        <f t="shared" si="101"/>
        <v/>
      </c>
      <c r="R338" t="str">
        <f t="shared" si="102"/>
        <v/>
      </c>
      <c r="S338" t="str">
        <f t="shared" si="103"/>
        <v/>
      </c>
      <c r="T338" t="str">
        <f t="shared" si="104"/>
        <v/>
      </c>
      <c r="U338" t="str">
        <f t="shared" si="105"/>
        <v/>
      </c>
      <c r="V338" t="str">
        <f t="shared" si="106"/>
        <v/>
      </c>
      <c r="W338" t="str">
        <f>IF($A338="","",Allocation!CD338)</f>
        <v/>
      </c>
      <c r="X338" t="str">
        <f>IF($A338="","",Allocation!CE338)</f>
        <v/>
      </c>
      <c r="Y338" t="str">
        <f>IF($A338="","",Allocation!CF338)</f>
        <v/>
      </c>
      <c r="Z338" t="str">
        <f>IF($A338="","",Allocation!CG338)</f>
        <v/>
      </c>
      <c r="AA338" t="str">
        <f>IF($A338="","",Allocation!CH338)</f>
        <v/>
      </c>
      <c r="AB338" t="str">
        <f>IF($A338="","",Allocation!CI338)</f>
        <v/>
      </c>
      <c r="AC338" t="str">
        <f>IF($A338="","",IF(Allocation!$N$4="VOL_EFF",$G338,IF(Allocation!$N$4="VOL_CLASS",$H338,$I338)))</f>
        <v/>
      </c>
      <c r="AD338" t="str">
        <f>IF($A338="","",IF(Allocation!$N$4="VOL_EFF",$L338,IF(Allocation!$N$4="VOL_CLASS",$M338,$N338)))</f>
        <v/>
      </c>
      <c r="AE338" t="str">
        <f>IF($A338="","",IF(Allocation!$N$3="VOL_EFF",$L338,IF(Allocation!$N$3="VOL_CLASS",$M338,$N338)))</f>
        <v/>
      </c>
      <c r="AF338" t="str">
        <f>IF($A338="","",IF(Allocation!$N$3="VOL_EFF",$Q338,IF(Allocation!$N$3="VOL_CLASS",$R338,$S338)))</f>
        <v/>
      </c>
      <c r="AG338" t="str">
        <f>IF($A338="","",IF(Allocation!$N$1="VOL_EFF",$Q338,IF(Allocation!$N$1="VOL_CLASS",$R338,$S338)))</f>
        <v/>
      </c>
      <c r="AH338" t="str">
        <f>IF($A338="","",IF(Allocation!$N$1="VOL_EFF",$T338,IF(Allocation!$N$1="VOL_CLASS",$U338,$V338)))</f>
        <v/>
      </c>
      <c r="AI338" t="str">
        <f t="shared" si="107"/>
        <v/>
      </c>
      <c r="AJ338" t="str">
        <f t="shared" si="108"/>
        <v/>
      </c>
      <c r="AK338" t="str">
        <f t="shared" si="109"/>
        <v/>
      </c>
      <c r="AL338" t="str">
        <f t="shared" si="110"/>
        <v/>
      </c>
      <c r="AM338" t="str">
        <f t="shared" si="111"/>
        <v/>
      </c>
      <c r="AN338" t="str">
        <f t="shared" si="112"/>
        <v/>
      </c>
      <c r="AO338" t="str">
        <f>IF($A338="","",Allocation!CJ338)</f>
        <v/>
      </c>
      <c r="AP338" t="str">
        <f>IF($A338="","",IF(Allocation!$N$2="VOL_EFF",$Q338,IF(Allocation!$N$2="VOL_CLASS",$R338,$S338)))</f>
        <v/>
      </c>
      <c r="AQ338" t="str">
        <f>IF($A338="","",IF(Allocation!$N$2="VOL_EFF",$T338,IF(Allocation!$N$2="VOL_CLASS",$U338,$V338)))</f>
        <v/>
      </c>
      <c r="AR338" t="str">
        <f t="shared" si="113"/>
        <v/>
      </c>
      <c r="AS338" t="str">
        <f>IF($A338="","",$A338&amp;"|"&amp;Allocation!BG338)</f>
        <v/>
      </c>
    </row>
    <row r="339" spans="1:45" x14ac:dyDescent="0.45">
      <c r="A339" t="str">
        <f>IF(Allocation!BI339="","",Allocation!BI339)</f>
        <v/>
      </c>
      <c r="B339" t="str">
        <f>IF(Allocation!BJ339="","",Allocation!BJ339)</f>
        <v/>
      </c>
      <c r="C339" t="str">
        <f>IF(Allocation!BK339="","",Allocation!BK339)</f>
        <v/>
      </c>
      <c r="D339" t="str">
        <f>IF(Allocation!BL339="","",Allocation!BL339)</f>
        <v/>
      </c>
      <c r="E339" t="str">
        <f>IF(Allocation!BM339="","",Allocation!BM339)</f>
        <v/>
      </c>
      <c r="F339" t="str">
        <f>IF(Allocation!BN339="","",Allocation!BN339)</f>
        <v/>
      </c>
      <c r="G339" t="str">
        <f>IF(Allocation!BO339="","",Allocation!BO339)</f>
        <v/>
      </c>
      <c r="H339" t="str">
        <f>IF(Allocation!BP339="","",Allocation!BP339)</f>
        <v/>
      </c>
      <c r="I339" t="str">
        <f>IF(Allocation!BQ339="","",Allocation!BQ339)</f>
        <v/>
      </c>
      <c r="J339" t="str">
        <f>IF(Allocation!CC339="","",Allocation!CC339)</f>
        <v/>
      </c>
      <c r="K339" t="str">
        <f t="shared" si="95"/>
        <v/>
      </c>
      <c r="L339" t="str">
        <f t="shared" si="96"/>
        <v/>
      </c>
      <c r="M339" t="str">
        <f t="shared" si="97"/>
        <v/>
      </c>
      <c r="N339" t="str">
        <f t="shared" si="98"/>
        <v/>
      </c>
      <c r="O339" t="str">
        <f t="shared" si="99"/>
        <v/>
      </c>
      <c r="P339" t="str">
        <f t="shared" si="100"/>
        <v/>
      </c>
      <c r="Q339" t="str">
        <f t="shared" si="101"/>
        <v/>
      </c>
      <c r="R339" t="str">
        <f t="shared" si="102"/>
        <v/>
      </c>
      <c r="S339" t="str">
        <f t="shared" si="103"/>
        <v/>
      </c>
      <c r="T339" t="str">
        <f t="shared" si="104"/>
        <v/>
      </c>
      <c r="U339" t="str">
        <f t="shared" si="105"/>
        <v/>
      </c>
      <c r="V339" t="str">
        <f t="shared" si="106"/>
        <v/>
      </c>
      <c r="W339" t="str">
        <f>IF($A339="","",Allocation!CD339)</f>
        <v/>
      </c>
      <c r="X339" t="str">
        <f>IF($A339="","",Allocation!CE339)</f>
        <v/>
      </c>
      <c r="Y339" t="str">
        <f>IF($A339="","",Allocation!CF339)</f>
        <v/>
      </c>
      <c r="Z339" t="str">
        <f>IF($A339="","",Allocation!CG339)</f>
        <v/>
      </c>
      <c r="AA339" t="str">
        <f>IF($A339="","",Allocation!CH339)</f>
        <v/>
      </c>
      <c r="AB339" t="str">
        <f>IF($A339="","",Allocation!CI339)</f>
        <v/>
      </c>
      <c r="AC339" t="str">
        <f>IF($A339="","",IF(Allocation!$N$4="VOL_EFF",$G339,IF(Allocation!$N$4="VOL_CLASS",$H339,$I339)))</f>
        <v/>
      </c>
      <c r="AD339" t="str">
        <f>IF($A339="","",IF(Allocation!$N$4="VOL_EFF",$L339,IF(Allocation!$N$4="VOL_CLASS",$M339,$N339)))</f>
        <v/>
      </c>
      <c r="AE339" t="str">
        <f>IF($A339="","",IF(Allocation!$N$3="VOL_EFF",$L339,IF(Allocation!$N$3="VOL_CLASS",$M339,$N339)))</f>
        <v/>
      </c>
      <c r="AF339" t="str">
        <f>IF($A339="","",IF(Allocation!$N$3="VOL_EFF",$Q339,IF(Allocation!$N$3="VOL_CLASS",$R339,$S339)))</f>
        <v/>
      </c>
      <c r="AG339" t="str">
        <f>IF($A339="","",IF(Allocation!$N$1="VOL_EFF",$Q339,IF(Allocation!$N$1="VOL_CLASS",$R339,$S339)))</f>
        <v/>
      </c>
      <c r="AH339" t="str">
        <f>IF($A339="","",IF(Allocation!$N$1="VOL_EFF",$T339,IF(Allocation!$N$1="VOL_CLASS",$U339,$V339)))</f>
        <v/>
      </c>
      <c r="AI339" t="str">
        <f t="shared" si="107"/>
        <v/>
      </c>
      <c r="AJ339" t="str">
        <f t="shared" si="108"/>
        <v/>
      </c>
      <c r="AK339" t="str">
        <f t="shared" si="109"/>
        <v/>
      </c>
      <c r="AL339" t="str">
        <f t="shared" si="110"/>
        <v/>
      </c>
      <c r="AM339" t="str">
        <f t="shared" si="111"/>
        <v/>
      </c>
      <c r="AN339" t="str">
        <f t="shared" si="112"/>
        <v/>
      </c>
      <c r="AO339" t="str">
        <f>IF($A339="","",Allocation!CJ339)</f>
        <v/>
      </c>
      <c r="AP339" t="str">
        <f>IF($A339="","",IF(Allocation!$N$2="VOL_EFF",$Q339,IF(Allocation!$N$2="VOL_CLASS",$R339,$S339)))</f>
        <v/>
      </c>
      <c r="AQ339" t="str">
        <f>IF($A339="","",IF(Allocation!$N$2="VOL_EFF",$T339,IF(Allocation!$N$2="VOL_CLASS",$U339,$V339)))</f>
        <v/>
      </c>
      <c r="AR339" t="str">
        <f t="shared" si="113"/>
        <v/>
      </c>
      <c r="AS339" t="str">
        <f>IF($A339="","",$A339&amp;"|"&amp;Allocation!BG339)</f>
        <v/>
      </c>
    </row>
    <row r="340" spans="1:45" x14ac:dyDescent="0.45">
      <c r="A340" t="str">
        <f>IF(Allocation!BI340="","",Allocation!BI340)</f>
        <v/>
      </c>
      <c r="B340" t="str">
        <f>IF(Allocation!BJ340="","",Allocation!BJ340)</f>
        <v/>
      </c>
      <c r="C340" t="str">
        <f>IF(Allocation!BK340="","",Allocation!BK340)</f>
        <v/>
      </c>
      <c r="D340" t="str">
        <f>IF(Allocation!BL340="","",Allocation!BL340)</f>
        <v/>
      </c>
      <c r="E340" t="str">
        <f>IF(Allocation!BM340="","",Allocation!BM340)</f>
        <v/>
      </c>
      <c r="F340" t="str">
        <f>IF(Allocation!BN340="","",Allocation!BN340)</f>
        <v/>
      </c>
      <c r="G340" t="str">
        <f>IF(Allocation!BO340="","",Allocation!BO340)</f>
        <v/>
      </c>
      <c r="H340" t="str">
        <f>IF(Allocation!BP340="","",Allocation!BP340)</f>
        <v/>
      </c>
      <c r="I340" t="str">
        <f>IF(Allocation!BQ340="","",Allocation!BQ340)</f>
        <v/>
      </c>
      <c r="J340" t="str">
        <f>IF(Allocation!CC340="","",Allocation!CC340)</f>
        <v/>
      </c>
      <c r="K340" t="str">
        <f t="shared" si="95"/>
        <v/>
      </c>
      <c r="L340" t="str">
        <f t="shared" si="96"/>
        <v/>
      </c>
      <c r="M340" t="str">
        <f t="shared" si="97"/>
        <v/>
      </c>
      <c r="N340" t="str">
        <f t="shared" si="98"/>
        <v/>
      </c>
      <c r="O340" t="str">
        <f t="shared" si="99"/>
        <v/>
      </c>
      <c r="P340" t="str">
        <f t="shared" si="100"/>
        <v/>
      </c>
      <c r="Q340" t="str">
        <f t="shared" si="101"/>
        <v/>
      </c>
      <c r="R340" t="str">
        <f t="shared" si="102"/>
        <v/>
      </c>
      <c r="S340" t="str">
        <f t="shared" si="103"/>
        <v/>
      </c>
      <c r="T340" t="str">
        <f t="shared" si="104"/>
        <v/>
      </c>
      <c r="U340" t="str">
        <f t="shared" si="105"/>
        <v/>
      </c>
      <c r="V340" t="str">
        <f t="shared" si="106"/>
        <v/>
      </c>
      <c r="W340" t="str">
        <f>IF($A340="","",Allocation!CD340)</f>
        <v/>
      </c>
      <c r="X340" t="str">
        <f>IF($A340="","",Allocation!CE340)</f>
        <v/>
      </c>
      <c r="Y340" t="str">
        <f>IF($A340="","",Allocation!CF340)</f>
        <v/>
      </c>
      <c r="Z340" t="str">
        <f>IF($A340="","",Allocation!CG340)</f>
        <v/>
      </c>
      <c r="AA340" t="str">
        <f>IF($A340="","",Allocation!CH340)</f>
        <v/>
      </c>
      <c r="AB340" t="str">
        <f>IF($A340="","",Allocation!CI340)</f>
        <v/>
      </c>
      <c r="AC340" t="str">
        <f>IF($A340="","",IF(Allocation!$N$4="VOL_EFF",$G340,IF(Allocation!$N$4="VOL_CLASS",$H340,$I340)))</f>
        <v/>
      </c>
      <c r="AD340" t="str">
        <f>IF($A340="","",IF(Allocation!$N$4="VOL_EFF",$L340,IF(Allocation!$N$4="VOL_CLASS",$M340,$N340)))</f>
        <v/>
      </c>
      <c r="AE340" t="str">
        <f>IF($A340="","",IF(Allocation!$N$3="VOL_EFF",$L340,IF(Allocation!$N$3="VOL_CLASS",$M340,$N340)))</f>
        <v/>
      </c>
      <c r="AF340" t="str">
        <f>IF($A340="","",IF(Allocation!$N$3="VOL_EFF",$Q340,IF(Allocation!$N$3="VOL_CLASS",$R340,$S340)))</f>
        <v/>
      </c>
      <c r="AG340" t="str">
        <f>IF($A340="","",IF(Allocation!$N$1="VOL_EFF",$Q340,IF(Allocation!$N$1="VOL_CLASS",$R340,$S340)))</f>
        <v/>
      </c>
      <c r="AH340" t="str">
        <f>IF($A340="","",IF(Allocation!$N$1="VOL_EFF",$T340,IF(Allocation!$N$1="VOL_CLASS",$U340,$V340)))</f>
        <v/>
      </c>
      <c r="AI340" t="str">
        <f t="shared" si="107"/>
        <v/>
      </c>
      <c r="AJ340" t="str">
        <f t="shared" si="108"/>
        <v/>
      </c>
      <c r="AK340" t="str">
        <f t="shared" si="109"/>
        <v/>
      </c>
      <c r="AL340" t="str">
        <f t="shared" si="110"/>
        <v/>
      </c>
      <c r="AM340" t="str">
        <f t="shared" si="111"/>
        <v/>
      </c>
      <c r="AN340" t="str">
        <f t="shared" si="112"/>
        <v/>
      </c>
      <c r="AO340" t="str">
        <f>IF($A340="","",Allocation!CJ340)</f>
        <v/>
      </c>
      <c r="AP340" t="str">
        <f>IF($A340="","",IF(Allocation!$N$2="VOL_EFF",$Q340,IF(Allocation!$N$2="VOL_CLASS",$R340,$S340)))</f>
        <v/>
      </c>
      <c r="AQ340" t="str">
        <f>IF($A340="","",IF(Allocation!$N$2="VOL_EFF",$T340,IF(Allocation!$N$2="VOL_CLASS",$U340,$V340)))</f>
        <v/>
      </c>
      <c r="AR340" t="str">
        <f t="shared" si="113"/>
        <v/>
      </c>
      <c r="AS340" t="str">
        <f>IF($A340="","",$A340&amp;"|"&amp;Allocation!BG340)</f>
        <v/>
      </c>
    </row>
    <row r="341" spans="1:45" x14ac:dyDescent="0.45">
      <c r="A341" t="str">
        <f>IF(Allocation!BI341="","",Allocation!BI341)</f>
        <v/>
      </c>
      <c r="B341" t="str">
        <f>IF(Allocation!BJ341="","",Allocation!BJ341)</f>
        <v/>
      </c>
      <c r="C341" t="str">
        <f>IF(Allocation!BK341="","",Allocation!BK341)</f>
        <v/>
      </c>
      <c r="D341" t="str">
        <f>IF(Allocation!BL341="","",Allocation!BL341)</f>
        <v/>
      </c>
      <c r="E341" t="str">
        <f>IF(Allocation!BM341="","",Allocation!BM341)</f>
        <v/>
      </c>
      <c r="F341" t="str">
        <f>IF(Allocation!BN341="","",Allocation!BN341)</f>
        <v/>
      </c>
      <c r="G341" t="str">
        <f>IF(Allocation!BO341="","",Allocation!BO341)</f>
        <v/>
      </c>
      <c r="H341" t="str">
        <f>IF(Allocation!BP341="","",Allocation!BP341)</f>
        <v/>
      </c>
      <c r="I341" t="str">
        <f>IF(Allocation!BQ341="","",Allocation!BQ341)</f>
        <v/>
      </c>
      <c r="J341" t="str">
        <f>IF(Allocation!CC341="","",Allocation!CC341)</f>
        <v/>
      </c>
      <c r="K341" t="str">
        <f t="shared" si="95"/>
        <v/>
      </c>
      <c r="L341" t="str">
        <f t="shared" si="96"/>
        <v/>
      </c>
      <c r="M341" t="str">
        <f t="shared" si="97"/>
        <v/>
      </c>
      <c r="N341" t="str">
        <f t="shared" si="98"/>
        <v/>
      </c>
      <c r="O341" t="str">
        <f t="shared" si="99"/>
        <v/>
      </c>
      <c r="P341" t="str">
        <f t="shared" si="100"/>
        <v/>
      </c>
      <c r="Q341" t="str">
        <f t="shared" si="101"/>
        <v/>
      </c>
      <c r="R341" t="str">
        <f t="shared" si="102"/>
        <v/>
      </c>
      <c r="S341" t="str">
        <f t="shared" si="103"/>
        <v/>
      </c>
      <c r="T341" t="str">
        <f t="shared" si="104"/>
        <v/>
      </c>
      <c r="U341" t="str">
        <f t="shared" si="105"/>
        <v/>
      </c>
      <c r="V341" t="str">
        <f t="shared" si="106"/>
        <v/>
      </c>
      <c r="W341" t="str">
        <f>IF($A341="","",Allocation!CD341)</f>
        <v/>
      </c>
      <c r="X341" t="str">
        <f>IF($A341="","",Allocation!CE341)</f>
        <v/>
      </c>
      <c r="Y341" t="str">
        <f>IF($A341="","",Allocation!CF341)</f>
        <v/>
      </c>
      <c r="Z341" t="str">
        <f>IF($A341="","",Allocation!CG341)</f>
        <v/>
      </c>
      <c r="AA341" t="str">
        <f>IF($A341="","",Allocation!CH341)</f>
        <v/>
      </c>
      <c r="AB341" t="str">
        <f>IF($A341="","",Allocation!CI341)</f>
        <v/>
      </c>
      <c r="AC341" t="str">
        <f>IF($A341="","",IF(Allocation!$N$4="VOL_EFF",$G341,IF(Allocation!$N$4="VOL_CLASS",$H341,$I341)))</f>
        <v/>
      </c>
      <c r="AD341" t="str">
        <f>IF($A341="","",IF(Allocation!$N$4="VOL_EFF",$L341,IF(Allocation!$N$4="VOL_CLASS",$M341,$N341)))</f>
        <v/>
      </c>
      <c r="AE341" t="str">
        <f>IF($A341="","",IF(Allocation!$N$3="VOL_EFF",$L341,IF(Allocation!$N$3="VOL_CLASS",$M341,$N341)))</f>
        <v/>
      </c>
      <c r="AF341" t="str">
        <f>IF($A341="","",IF(Allocation!$N$3="VOL_EFF",$Q341,IF(Allocation!$N$3="VOL_CLASS",$R341,$S341)))</f>
        <v/>
      </c>
      <c r="AG341" t="str">
        <f>IF($A341="","",IF(Allocation!$N$1="VOL_EFF",$Q341,IF(Allocation!$N$1="VOL_CLASS",$R341,$S341)))</f>
        <v/>
      </c>
      <c r="AH341" t="str">
        <f>IF($A341="","",IF(Allocation!$N$1="VOL_EFF",$T341,IF(Allocation!$N$1="VOL_CLASS",$U341,$V341)))</f>
        <v/>
      </c>
      <c r="AI341" t="str">
        <f t="shared" si="107"/>
        <v/>
      </c>
      <c r="AJ341" t="str">
        <f t="shared" si="108"/>
        <v/>
      </c>
      <c r="AK341" t="str">
        <f t="shared" si="109"/>
        <v/>
      </c>
      <c r="AL341" t="str">
        <f t="shared" si="110"/>
        <v/>
      </c>
      <c r="AM341" t="str">
        <f t="shared" si="111"/>
        <v/>
      </c>
      <c r="AN341" t="str">
        <f t="shared" si="112"/>
        <v/>
      </c>
      <c r="AO341" t="str">
        <f>IF($A341="","",Allocation!CJ341)</f>
        <v/>
      </c>
      <c r="AP341" t="str">
        <f>IF($A341="","",IF(Allocation!$N$2="VOL_EFF",$Q341,IF(Allocation!$N$2="VOL_CLASS",$R341,$S341)))</f>
        <v/>
      </c>
      <c r="AQ341" t="str">
        <f>IF($A341="","",IF(Allocation!$N$2="VOL_EFF",$T341,IF(Allocation!$N$2="VOL_CLASS",$U341,$V341)))</f>
        <v/>
      </c>
      <c r="AR341" t="str">
        <f t="shared" si="113"/>
        <v/>
      </c>
      <c r="AS341" t="str">
        <f>IF($A341="","",$A341&amp;"|"&amp;Allocation!BG341)</f>
        <v/>
      </c>
    </row>
    <row r="342" spans="1:45" x14ac:dyDescent="0.45">
      <c r="A342" t="str">
        <f>IF(Allocation!BI342="","",Allocation!BI342)</f>
        <v/>
      </c>
      <c r="B342" t="str">
        <f>IF(Allocation!BJ342="","",Allocation!BJ342)</f>
        <v/>
      </c>
      <c r="C342" t="str">
        <f>IF(Allocation!BK342="","",Allocation!BK342)</f>
        <v/>
      </c>
      <c r="D342" t="str">
        <f>IF(Allocation!BL342="","",Allocation!BL342)</f>
        <v/>
      </c>
      <c r="E342" t="str">
        <f>IF(Allocation!BM342="","",Allocation!BM342)</f>
        <v/>
      </c>
      <c r="F342" t="str">
        <f>IF(Allocation!BN342="","",Allocation!BN342)</f>
        <v/>
      </c>
      <c r="G342" t="str">
        <f>IF(Allocation!BO342="","",Allocation!BO342)</f>
        <v/>
      </c>
      <c r="H342" t="str">
        <f>IF(Allocation!BP342="","",Allocation!BP342)</f>
        <v/>
      </c>
      <c r="I342" t="str">
        <f>IF(Allocation!BQ342="","",Allocation!BQ342)</f>
        <v/>
      </c>
      <c r="J342" t="str">
        <f>IF(Allocation!CC342="","",Allocation!CC342)</f>
        <v/>
      </c>
      <c r="K342" t="str">
        <f t="shared" si="95"/>
        <v/>
      </c>
      <c r="L342" t="str">
        <f t="shared" si="96"/>
        <v/>
      </c>
      <c r="M342" t="str">
        <f t="shared" si="97"/>
        <v/>
      </c>
      <c r="N342" t="str">
        <f t="shared" si="98"/>
        <v/>
      </c>
      <c r="O342" t="str">
        <f t="shared" si="99"/>
        <v/>
      </c>
      <c r="P342" t="str">
        <f t="shared" si="100"/>
        <v/>
      </c>
      <c r="Q342" t="str">
        <f t="shared" si="101"/>
        <v/>
      </c>
      <c r="R342" t="str">
        <f t="shared" si="102"/>
        <v/>
      </c>
      <c r="S342" t="str">
        <f t="shared" si="103"/>
        <v/>
      </c>
      <c r="T342" t="str">
        <f t="shared" si="104"/>
        <v/>
      </c>
      <c r="U342" t="str">
        <f t="shared" si="105"/>
        <v/>
      </c>
      <c r="V342" t="str">
        <f t="shared" si="106"/>
        <v/>
      </c>
      <c r="W342" t="str">
        <f>IF($A342="","",Allocation!CD342)</f>
        <v/>
      </c>
      <c r="X342" t="str">
        <f>IF($A342="","",Allocation!CE342)</f>
        <v/>
      </c>
      <c r="Y342" t="str">
        <f>IF($A342="","",Allocation!CF342)</f>
        <v/>
      </c>
      <c r="Z342" t="str">
        <f>IF($A342="","",Allocation!CG342)</f>
        <v/>
      </c>
      <c r="AA342" t="str">
        <f>IF($A342="","",Allocation!CH342)</f>
        <v/>
      </c>
      <c r="AB342" t="str">
        <f>IF($A342="","",Allocation!CI342)</f>
        <v/>
      </c>
      <c r="AC342" t="str">
        <f>IF($A342="","",IF(Allocation!$N$4="VOL_EFF",$G342,IF(Allocation!$N$4="VOL_CLASS",$H342,$I342)))</f>
        <v/>
      </c>
      <c r="AD342" t="str">
        <f>IF($A342="","",IF(Allocation!$N$4="VOL_EFF",$L342,IF(Allocation!$N$4="VOL_CLASS",$M342,$N342)))</f>
        <v/>
      </c>
      <c r="AE342" t="str">
        <f>IF($A342="","",IF(Allocation!$N$3="VOL_EFF",$L342,IF(Allocation!$N$3="VOL_CLASS",$M342,$N342)))</f>
        <v/>
      </c>
      <c r="AF342" t="str">
        <f>IF($A342="","",IF(Allocation!$N$3="VOL_EFF",$Q342,IF(Allocation!$N$3="VOL_CLASS",$R342,$S342)))</f>
        <v/>
      </c>
      <c r="AG342" t="str">
        <f>IF($A342="","",IF(Allocation!$N$1="VOL_EFF",$Q342,IF(Allocation!$N$1="VOL_CLASS",$R342,$S342)))</f>
        <v/>
      </c>
      <c r="AH342" t="str">
        <f>IF($A342="","",IF(Allocation!$N$1="VOL_EFF",$T342,IF(Allocation!$N$1="VOL_CLASS",$U342,$V342)))</f>
        <v/>
      </c>
      <c r="AI342" t="str">
        <f t="shared" si="107"/>
        <v/>
      </c>
      <c r="AJ342" t="str">
        <f t="shared" si="108"/>
        <v/>
      </c>
      <c r="AK342" t="str">
        <f t="shared" si="109"/>
        <v/>
      </c>
      <c r="AL342" t="str">
        <f t="shared" si="110"/>
        <v/>
      </c>
      <c r="AM342" t="str">
        <f t="shared" si="111"/>
        <v/>
      </c>
      <c r="AN342" t="str">
        <f t="shared" si="112"/>
        <v/>
      </c>
      <c r="AO342" t="str">
        <f>IF($A342="","",Allocation!CJ342)</f>
        <v/>
      </c>
      <c r="AP342" t="str">
        <f>IF($A342="","",IF(Allocation!$N$2="VOL_EFF",$Q342,IF(Allocation!$N$2="VOL_CLASS",$R342,$S342)))</f>
        <v/>
      </c>
      <c r="AQ342" t="str">
        <f>IF($A342="","",IF(Allocation!$N$2="VOL_EFF",$T342,IF(Allocation!$N$2="VOL_CLASS",$U342,$V342)))</f>
        <v/>
      </c>
      <c r="AR342" t="str">
        <f t="shared" si="113"/>
        <v/>
      </c>
      <c r="AS342" t="str">
        <f>IF($A342="","",$A342&amp;"|"&amp;Allocation!BG342)</f>
        <v/>
      </c>
    </row>
    <row r="343" spans="1:45" x14ac:dyDescent="0.45">
      <c r="A343" t="str">
        <f>IF(Allocation!BI343="","",Allocation!BI343)</f>
        <v/>
      </c>
      <c r="B343" t="str">
        <f>IF(Allocation!BJ343="","",Allocation!BJ343)</f>
        <v/>
      </c>
      <c r="C343" t="str">
        <f>IF(Allocation!BK343="","",Allocation!BK343)</f>
        <v/>
      </c>
      <c r="D343" t="str">
        <f>IF(Allocation!BL343="","",Allocation!BL343)</f>
        <v/>
      </c>
      <c r="E343" t="str">
        <f>IF(Allocation!BM343="","",Allocation!BM343)</f>
        <v/>
      </c>
      <c r="F343" t="str">
        <f>IF(Allocation!BN343="","",Allocation!BN343)</f>
        <v/>
      </c>
      <c r="G343" t="str">
        <f>IF(Allocation!BO343="","",Allocation!BO343)</f>
        <v/>
      </c>
      <c r="H343" t="str">
        <f>IF(Allocation!BP343="","",Allocation!BP343)</f>
        <v/>
      </c>
      <c r="I343" t="str">
        <f>IF(Allocation!BQ343="","",Allocation!BQ343)</f>
        <v/>
      </c>
      <c r="J343" t="str">
        <f>IF(Allocation!CC343="","",Allocation!CC343)</f>
        <v/>
      </c>
      <c r="K343" t="str">
        <f t="shared" si="95"/>
        <v/>
      </c>
      <c r="L343" t="str">
        <f t="shared" si="96"/>
        <v/>
      </c>
      <c r="M343" t="str">
        <f t="shared" si="97"/>
        <v/>
      </c>
      <c r="N343" t="str">
        <f t="shared" si="98"/>
        <v/>
      </c>
      <c r="O343" t="str">
        <f t="shared" si="99"/>
        <v/>
      </c>
      <c r="P343" t="str">
        <f t="shared" si="100"/>
        <v/>
      </c>
      <c r="Q343" t="str">
        <f t="shared" si="101"/>
        <v/>
      </c>
      <c r="R343" t="str">
        <f t="shared" si="102"/>
        <v/>
      </c>
      <c r="S343" t="str">
        <f t="shared" si="103"/>
        <v/>
      </c>
      <c r="T343" t="str">
        <f t="shared" si="104"/>
        <v/>
      </c>
      <c r="U343" t="str">
        <f t="shared" si="105"/>
        <v/>
      </c>
      <c r="V343" t="str">
        <f t="shared" si="106"/>
        <v/>
      </c>
      <c r="W343" t="str">
        <f>IF($A343="","",Allocation!CD343)</f>
        <v/>
      </c>
      <c r="X343" t="str">
        <f>IF($A343="","",Allocation!CE343)</f>
        <v/>
      </c>
      <c r="Y343" t="str">
        <f>IF($A343="","",Allocation!CF343)</f>
        <v/>
      </c>
      <c r="Z343" t="str">
        <f>IF($A343="","",Allocation!CG343)</f>
        <v/>
      </c>
      <c r="AA343" t="str">
        <f>IF($A343="","",Allocation!CH343)</f>
        <v/>
      </c>
      <c r="AB343" t="str">
        <f>IF($A343="","",Allocation!CI343)</f>
        <v/>
      </c>
      <c r="AC343" t="str">
        <f>IF($A343="","",IF(Allocation!$N$4="VOL_EFF",$G343,IF(Allocation!$N$4="VOL_CLASS",$H343,$I343)))</f>
        <v/>
      </c>
      <c r="AD343" t="str">
        <f>IF($A343="","",IF(Allocation!$N$4="VOL_EFF",$L343,IF(Allocation!$N$4="VOL_CLASS",$M343,$N343)))</f>
        <v/>
      </c>
      <c r="AE343" t="str">
        <f>IF($A343="","",IF(Allocation!$N$3="VOL_EFF",$L343,IF(Allocation!$N$3="VOL_CLASS",$M343,$N343)))</f>
        <v/>
      </c>
      <c r="AF343" t="str">
        <f>IF($A343="","",IF(Allocation!$N$3="VOL_EFF",$Q343,IF(Allocation!$N$3="VOL_CLASS",$R343,$S343)))</f>
        <v/>
      </c>
      <c r="AG343" t="str">
        <f>IF($A343="","",IF(Allocation!$N$1="VOL_EFF",$Q343,IF(Allocation!$N$1="VOL_CLASS",$R343,$S343)))</f>
        <v/>
      </c>
      <c r="AH343" t="str">
        <f>IF($A343="","",IF(Allocation!$N$1="VOL_EFF",$T343,IF(Allocation!$N$1="VOL_CLASS",$U343,$V343)))</f>
        <v/>
      </c>
      <c r="AI343" t="str">
        <f t="shared" si="107"/>
        <v/>
      </c>
      <c r="AJ343" t="str">
        <f t="shared" si="108"/>
        <v/>
      </c>
      <c r="AK343" t="str">
        <f t="shared" si="109"/>
        <v/>
      </c>
      <c r="AL343" t="str">
        <f t="shared" si="110"/>
        <v/>
      </c>
      <c r="AM343" t="str">
        <f t="shared" si="111"/>
        <v/>
      </c>
      <c r="AN343" t="str">
        <f t="shared" si="112"/>
        <v/>
      </c>
      <c r="AO343" t="str">
        <f>IF($A343="","",Allocation!CJ343)</f>
        <v/>
      </c>
      <c r="AP343" t="str">
        <f>IF($A343="","",IF(Allocation!$N$2="VOL_EFF",$Q343,IF(Allocation!$N$2="VOL_CLASS",$R343,$S343)))</f>
        <v/>
      </c>
      <c r="AQ343" t="str">
        <f>IF($A343="","",IF(Allocation!$N$2="VOL_EFF",$T343,IF(Allocation!$N$2="VOL_CLASS",$U343,$V343)))</f>
        <v/>
      </c>
      <c r="AR343" t="str">
        <f t="shared" si="113"/>
        <v/>
      </c>
      <c r="AS343" t="str">
        <f>IF($A343="","",$A343&amp;"|"&amp;Allocation!BG343)</f>
        <v/>
      </c>
    </row>
    <row r="344" spans="1:45" x14ac:dyDescent="0.45">
      <c r="A344" t="str">
        <f>IF(Allocation!BI344="","",Allocation!BI344)</f>
        <v/>
      </c>
      <c r="B344" t="str">
        <f>IF(Allocation!BJ344="","",Allocation!BJ344)</f>
        <v/>
      </c>
      <c r="C344" t="str">
        <f>IF(Allocation!BK344="","",Allocation!BK344)</f>
        <v/>
      </c>
      <c r="D344" t="str">
        <f>IF(Allocation!BL344="","",Allocation!BL344)</f>
        <v/>
      </c>
      <c r="E344" t="str">
        <f>IF(Allocation!BM344="","",Allocation!BM344)</f>
        <v/>
      </c>
      <c r="F344" t="str">
        <f>IF(Allocation!BN344="","",Allocation!BN344)</f>
        <v/>
      </c>
      <c r="G344" t="str">
        <f>IF(Allocation!BO344="","",Allocation!BO344)</f>
        <v/>
      </c>
      <c r="H344" t="str">
        <f>IF(Allocation!BP344="","",Allocation!BP344)</f>
        <v/>
      </c>
      <c r="I344" t="str">
        <f>IF(Allocation!BQ344="","",Allocation!BQ344)</f>
        <v/>
      </c>
      <c r="J344" t="str">
        <f>IF(Allocation!CC344="","",Allocation!CC344)</f>
        <v/>
      </c>
      <c r="K344" t="str">
        <f t="shared" si="95"/>
        <v/>
      </c>
      <c r="L344" t="str">
        <f t="shared" si="96"/>
        <v/>
      </c>
      <c r="M344" t="str">
        <f t="shared" si="97"/>
        <v/>
      </c>
      <c r="N344" t="str">
        <f t="shared" si="98"/>
        <v/>
      </c>
      <c r="O344" t="str">
        <f t="shared" si="99"/>
        <v/>
      </c>
      <c r="P344" t="str">
        <f t="shared" si="100"/>
        <v/>
      </c>
      <c r="Q344" t="str">
        <f t="shared" si="101"/>
        <v/>
      </c>
      <c r="R344" t="str">
        <f t="shared" si="102"/>
        <v/>
      </c>
      <c r="S344" t="str">
        <f t="shared" si="103"/>
        <v/>
      </c>
      <c r="T344" t="str">
        <f t="shared" si="104"/>
        <v/>
      </c>
      <c r="U344" t="str">
        <f t="shared" si="105"/>
        <v/>
      </c>
      <c r="V344" t="str">
        <f t="shared" si="106"/>
        <v/>
      </c>
      <c r="W344" t="str">
        <f>IF($A344="","",Allocation!CD344)</f>
        <v/>
      </c>
      <c r="X344" t="str">
        <f>IF($A344="","",Allocation!CE344)</f>
        <v/>
      </c>
      <c r="Y344" t="str">
        <f>IF($A344="","",Allocation!CF344)</f>
        <v/>
      </c>
      <c r="Z344" t="str">
        <f>IF($A344="","",Allocation!CG344)</f>
        <v/>
      </c>
      <c r="AA344" t="str">
        <f>IF($A344="","",Allocation!CH344)</f>
        <v/>
      </c>
      <c r="AB344" t="str">
        <f>IF($A344="","",Allocation!CI344)</f>
        <v/>
      </c>
      <c r="AC344" t="str">
        <f>IF($A344="","",IF(Allocation!$N$4="VOL_EFF",$G344,IF(Allocation!$N$4="VOL_CLASS",$H344,$I344)))</f>
        <v/>
      </c>
      <c r="AD344" t="str">
        <f>IF($A344="","",IF(Allocation!$N$4="VOL_EFF",$L344,IF(Allocation!$N$4="VOL_CLASS",$M344,$N344)))</f>
        <v/>
      </c>
      <c r="AE344" t="str">
        <f>IF($A344="","",IF(Allocation!$N$3="VOL_EFF",$L344,IF(Allocation!$N$3="VOL_CLASS",$M344,$N344)))</f>
        <v/>
      </c>
      <c r="AF344" t="str">
        <f>IF($A344="","",IF(Allocation!$N$3="VOL_EFF",$Q344,IF(Allocation!$N$3="VOL_CLASS",$R344,$S344)))</f>
        <v/>
      </c>
      <c r="AG344" t="str">
        <f>IF($A344="","",IF(Allocation!$N$1="VOL_EFF",$Q344,IF(Allocation!$N$1="VOL_CLASS",$R344,$S344)))</f>
        <v/>
      </c>
      <c r="AH344" t="str">
        <f>IF($A344="","",IF(Allocation!$N$1="VOL_EFF",$T344,IF(Allocation!$N$1="VOL_CLASS",$U344,$V344)))</f>
        <v/>
      </c>
      <c r="AI344" t="str">
        <f t="shared" si="107"/>
        <v/>
      </c>
      <c r="AJ344" t="str">
        <f t="shared" si="108"/>
        <v/>
      </c>
      <c r="AK344" t="str">
        <f t="shared" si="109"/>
        <v/>
      </c>
      <c r="AL344" t="str">
        <f t="shared" si="110"/>
        <v/>
      </c>
      <c r="AM344" t="str">
        <f t="shared" si="111"/>
        <v/>
      </c>
      <c r="AN344" t="str">
        <f t="shared" si="112"/>
        <v/>
      </c>
      <c r="AO344" t="str">
        <f>IF($A344="","",Allocation!CJ344)</f>
        <v/>
      </c>
      <c r="AP344" t="str">
        <f>IF($A344="","",IF(Allocation!$N$2="VOL_EFF",$Q344,IF(Allocation!$N$2="VOL_CLASS",$R344,$S344)))</f>
        <v/>
      </c>
      <c r="AQ344" t="str">
        <f>IF($A344="","",IF(Allocation!$N$2="VOL_EFF",$T344,IF(Allocation!$N$2="VOL_CLASS",$U344,$V344)))</f>
        <v/>
      </c>
      <c r="AR344" t="str">
        <f t="shared" si="113"/>
        <v/>
      </c>
      <c r="AS344" t="str">
        <f>IF($A344="","",$A344&amp;"|"&amp;Allocation!BG344)</f>
        <v/>
      </c>
    </row>
    <row r="345" spans="1:45" x14ac:dyDescent="0.45">
      <c r="A345" t="str">
        <f>IF(Allocation!BI345="","",Allocation!BI345)</f>
        <v/>
      </c>
      <c r="B345" t="str">
        <f>IF(Allocation!BJ345="","",Allocation!BJ345)</f>
        <v/>
      </c>
      <c r="C345" t="str">
        <f>IF(Allocation!BK345="","",Allocation!BK345)</f>
        <v/>
      </c>
      <c r="D345" t="str">
        <f>IF(Allocation!BL345="","",Allocation!BL345)</f>
        <v/>
      </c>
      <c r="E345" t="str">
        <f>IF(Allocation!BM345="","",Allocation!BM345)</f>
        <v/>
      </c>
      <c r="F345" t="str">
        <f>IF(Allocation!BN345="","",Allocation!BN345)</f>
        <v/>
      </c>
      <c r="G345" t="str">
        <f>IF(Allocation!BO345="","",Allocation!BO345)</f>
        <v/>
      </c>
      <c r="H345" t="str">
        <f>IF(Allocation!BP345="","",Allocation!BP345)</f>
        <v/>
      </c>
      <c r="I345" t="str">
        <f>IF(Allocation!BQ345="","",Allocation!BQ345)</f>
        <v/>
      </c>
      <c r="J345" t="str">
        <f>IF(Allocation!CC345="","",Allocation!CC345)</f>
        <v/>
      </c>
      <c r="K345" t="str">
        <f t="shared" si="95"/>
        <v/>
      </c>
      <c r="L345" t="str">
        <f t="shared" si="96"/>
        <v/>
      </c>
      <c r="M345" t="str">
        <f t="shared" si="97"/>
        <v/>
      </c>
      <c r="N345" t="str">
        <f t="shared" si="98"/>
        <v/>
      </c>
      <c r="O345" t="str">
        <f t="shared" si="99"/>
        <v/>
      </c>
      <c r="P345" t="str">
        <f t="shared" si="100"/>
        <v/>
      </c>
      <c r="Q345" t="str">
        <f t="shared" si="101"/>
        <v/>
      </c>
      <c r="R345" t="str">
        <f t="shared" si="102"/>
        <v/>
      </c>
      <c r="S345" t="str">
        <f t="shared" si="103"/>
        <v/>
      </c>
      <c r="T345" t="str">
        <f t="shared" si="104"/>
        <v/>
      </c>
      <c r="U345" t="str">
        <f t="shared" si="105"/>
        <v/>
      </c>
      <c r="V345" t="str">
        <f t="shared" si="106"/>
        <v/>
      </c>
      <c r="W345" t="str">
        <f>IF($A345="","",Allocation!CD345)</f>
        <v/>
      </c>
      <c r="X345" t="str">
        <f>IF($A345="","",Allocation!CE345)</f>
        <v/>
      </c>
      <c r="Y345" t="str">
        <f>IF($A345="","",Allocation!CF345)</f>
        <v/>
      </c>
      <c r="Z345" t="str">
        <f>IF($A345="","",Allocation!CG345)</f>
        <v/>
      </c>
      <c r="AA345" t="str">
        <f>IF($A345="","",Allocation!CH345)</f>
        <v/>
      </c>
      <c r="AB345" t="str">
        <f>IF($A345="","",Allocation!CI345)</f>
        <v/>
      </c>
      <c r="AC345" t="str">
        <f>IF($A345="","",IF(Allocation!$N$4="VOL_EFF",$G345,IF(Allocation!$N$4="VOL_CLASS",$H345,$I345)))</f>
        <v/>
      </c>
      <c r="AD345" t="str">
        <f>IF($A345="","",IF(Allocation!$N$4="VOL_EFF",$L345,IF(Allocation!$N$4="VOL_CLASS",$M345,$N345)))</f>
        <v/>
      </c>
      <c r="AE345" t="str">
        <f>IF($A345="","",IF(Allocation!$N$3="VOL_EFF",$L345,IF(Allocation!$N$3="VOL_CLASS",$M345,$N345)))</f>
        <v/>
      </c>
      <c r="AF345" t="str">
        <f>IF($A345="","",IF(Allocation!$N$3="VOL_EFF",$Q345,IF(Allocation!$N$3="VOL_CLASS",$R345,$S345)))</f>
        <v/>
      </c>
      <c r="AG345" t="str">
        <f>IF($A345="","",IF(Allocation!$N$1="VOL_EFF",$Q345,IF(Allocation!$N$1="VOL_CLASS",$R345,$S345)))</f>
        <v/>
      </c>
      <c r="AH345" t="str">
        <f>IF($A345="","",IF(Allocation!$N$1="VOL_EFF",$T345,IF(Allocation!$N$1="VOL_CLASS",$U345,$V345)))</f>
        <v/>
      </c>
      <c r="AI345" t="str">
        <f t="shared" si="107"/>
        <v/>
      </c>
      <c r="AJ345" t="str">
        <f t="shared" si="108"/>
        <v/>
      </c>
      <c r="AK345" t="str">
        <f t="shared" si="109"/>
        <v/>
      </c>
      <c r="AL345" t="str">
        <f t="shared" si="110"/>
        <v/>
      </c>
      <c r="AM345" t="str">
        <f t="shared" si="111"/>
        <v/>
      </c>
      <c r="AN345" t="str">
        <f t="shared" si="112"/>
        <v/>
      </c>
      <c r="AO345" t="str">
        <f>IF($A345="","",Allocation!CJ345)</f>
        <v/>
      </c>
      <c r="AP345" t="str">
        <f>IF($A345="","",IF(Allocation!$N$2="VOL_EFF",$Q345,IF(Allocation!$N$2="VOL_CLASS",$R345,$S345)))</f>
        <v/>
      </c>
      <c r="AQ345" t="str">
        <f>IF($A345="","",IF(Allocation!$N$2="VOL_EFF",$T345,IF(Allocation!$N$2="VOL_CLASS",$U345,$V345)))</f>
        <v/>
      </c>
      <c r="AR345" t="str">
        <f t="shared" si="113"/>
        <v/>
      </c>
      <c r="AS345" t="str">
        <f>IF($A345="","",$A345&amp;"|"&amp;Allocation!BG345)</f>
        <v/>
      </c>
    </row>
    <row r="346" spans="1:45" x14ac:dyDescent="0.45">
      <c r="A346" t="str">
        <f>IF(Allocation!BI346="","",Allocation!BI346)</f>
        <v/>
      </c>
      <c r="B346" t="str">
        <f>IF(Allocation!BJ346="","",Allocation!BJ346)</f>
        <v/>
      </c>
      <c r="C346" t="str">
        <f>IF(Allocation!BK346="","",Allocation!BK346)</f>
        <v/>
      </c>
      <c r="D346" t="str">
        <f>IF(Allocation!BL346="","",Allocation!BL346)</f>
        <v/>
      </c>
      <c r="E346" t="str">
        <f>IF(Allocation!BM346="","",Allocation!BM346)</f>
        <v/>
      </c>
      <c r="F346" t="str">
        <f>IF(Allocation!BN346="","",Allocation!BN346)</f>
        <v/>
      </c>
      <c r="G346" t="str">
        <f>IF(Allocation!BO346="","",Allocation!BO346)</f>
        <v/>
      </c>
      <c r="H346" t="str">
        <f>IF(Allocation!BP346="","",Allocation!BP346)</f>
        <v/>
      </c>
      <c r="I346" t="str">
        <f>IF(Allocation!BQ346="","",Allocation!BQ346)</f>
        <v/>
      </c>
      <c r="J346" t="str">
        <f>IF(Allocation!CC346="","",Allocation!CC346)</f>
        <v/>
      </c>
      <c r="K346" t="str">
        <f t="shared" si="95"/>
        <v/>
      </c>
      <c r="L346" t="str">
        <f t="shared" si="96"/>
        <v/>
      </c>
      <c r="M346" t="str">
        <f t="shared" si="97"/>
        <v/>
      </c>
      <c r="N346" t="str">
        <f t="shared" si="98"/>
        <v/>
      </c>
      <c r="O346" t="str">
        <f t="shared" si="99"/>
        <v/>
      </c>
      <c r="P346" t="str">
        <f t="shared" si="100"/>
        <v/>
      </c>
      <c r="Q346" t="str">
        <f t="shared" si="101"/>
        <v/>
      </c>
      <c r="R346" t="str">
        <f t="shared" si="102"/>
        <v/>
      </c>
      <c r="S346" t="str">
        <f t="shared" si="103"/>
        <v/>
      </c>
      <c r="T346" t="str">
        <f t="shared" si="104"/>
        <v/>
      </c>
      <c r="U346" t="str">
        <f t="shared" si="105"/>
        <v/>
      </c>
      <c r="V346" t="str">
        <f t="shared" si="106"/>
        <v/>
      </c>
      <c r="W346" t="str">
        <f>IF($A346="","",Allocation!CD346)</f>
        <v/>
      </c>
      <c r="X346" t="str">
        <f>IF($A346="","",Allocation!CE346)</f>
        <v/>
      </c>
      <c r="Y346" t="str">
        <f>IF($A346="","",Allocation!CF346)</f>
        <v/>
      </c>
      <c r="Z346" t="str">
        <f>IF($A346="","",Allocation!CG346)</f>
        <v/>
      </c>
      <c r="AA346" t="str">
        <f>IF($A346="","",Allocation!CH346)</f>
        <v/>
      </c>
      <c r="AB346" t="str">
        <f>IF($A346="","",Allocation!CI346)</f>
        <v/>
      </c>
      <c r="AC346" t="str">
        <f>IF($A346="","",IF(Allocation!$N$4="VOL_EFF",$G346,IF(Allocation!$N$4="VOL_CLASS",$H346,$I346)))</f>
        <v/>
      </c>
      <c r="AD346" t="str">
        <f>IF($A346="","",IF(Allocation!$N$4="VOL_EFF",$L346,IF(Allocation!$N$4="VOL_CLASS",$M346,$N346)))</f>
        <v/>
      </c>
      <c r="AE346" t="str">
        <f>IF($A346="","",IF(Allocation!$N$3="VOL_EFF",$L346,IF(Allocation!$N$3="VOL_CLASS",$M346,$N346)))</f>
        <v/>
      </c>
      <c r="AF346" t="str">
        <f>IF($A346="","",IF(Allocation!$N$3="VOL_EFF",$Q346,IF(Allocation!$N$3="VOL_CLASS",$R346,$S346)))</f>
        <v/>
      </c>
      <c r="AG346" t="str">
        <f>IF($A346="","",IF(Allocation!$N$1="VOL_EFF",$Q346,IF(Allocation!$N$1="VOL_CLASS",$R346,$S346)))</f>
        <v/>
      </c>
      <c r="AH346" t="str">
        <f>IF($A346="","",IF(Allocation!$N$1="VOL_EFF",$T346,IF(Allocation!$N$1="VOL_CLASS",$U346,$V346)))</f>
        <v/>
      </c>
      <c r="AI346" t="str">
        <f t="shared" si="107"/>
        <v/>
      </c>
      <c r="AJ346" t="str">
        <f t="shared" si="108"/>
        <v/>
      </c>
      <c r="AK346" t="str">
        <f t="shared" si="109"/>
        <v/>
      </c>
      <c r="AL346" t="str">
        <f t="shared" si="110"/>
        <v/>
      </c>
      <c r="AM346" t="str">
        <f t="shared" si="111"/>
        <v/>
      </c>
      <c r="AN346" t="str">
        <f t="shared" si="112"/>
        <v/>
      </c>
      <c r="AO346" t="str">
        <f>IF($A346="","",Allocation!CJ346)</f>
        <v/>
      </c>
      <c r="AP346" t="str">
        <f>IF($A346="","",IF(Allocation!$N$2="VOL_EFF",$Q346,IF(Allocation!$N$2="VOL_CLASS",$R346,$S346)))</f>
        <v/>
      </c>
      <c r="AQ346" t="str">
        <f>IF($A346="","",IF(Allocation!$N$2="VOL_EFF",$T346,IF(Allocation!$N$2="VOL_CLASS",$U346,$V346)))</f>
        <v/>
      </c>
      <c r="AR346" t="str">
        <f t="shared" si="113"/>
        <v/>
      </c>
      <c r="AS346" t="str">
        <f>IF($A346="","",$A346&amp;"|"&amp;Allocation!BG346)</f>
        <v/>
      </c>
    </row>
    <row r="347" spans="1:45" x14ac:dyDescent="0.45">
      <c r="A347" t="str">
        <f>IF(Allocation!BI347="","",Allocation!BI347)</f>
        <v/>
      </c>
      <c r="B347" t="str">
        <f>IF(Allocation!BJ347="","",Allocation!BJ347)</f>
        <v/>
      </c>
      <c r="C347" t="str">
        <f>IF(Allocation!BK347="","",Allocation!BK347)</f>
        <v/>
      </c>
      <c r="D347" t="str">
        <f>IF(Allocation!BL347="","",Allocation!BL347)</f>
        <v/>
      </c>
      <c r="E347" t="str">
        <f>IF(Allocation!BM347="","",Allocation!BM347)</f>
        <v/>
      </c>
      <c r="F347" t="str">
        <f>IF(Allocation!BN347="","",Allocation!BN347)</f>
        <v/>
      </c>
      <c r="G347" t="str">
        <f>IF(Allocation!BO347="","",Allocation!BO347)</f>
        <v/>
      </c>
      <c r="H347" t="str">
        <f>IF(Allocation!BP347="","",Allocation!BP347)</f>
        <v/>
      </c>
      <c r="I347" t="str">
        <f>IF(Allocation!BQ347="","",Allocation!BQ347)</f>
        <v/>
      </c>
      <c r="J347" t="str">
        <f>IF(Allocation!CC347="","",Allocation!CC347)</f>
        <v/>
      </c>
      <c r="K347" t="str">
        <f t="shared" si="95"/>
        <v/>
      </c>
      <c r="L347" t="str">
        <f t="shared" si="96"/>
        <v/>
      </c>
      <c r="M347" t="str">
        <f t="shared" si="97"/>
        <v/>
      </c>
      <c r="N347" t="str">
        <f t="shared" si="98"/>
        <v/>
      </c>
      <c r="O347" t="str">
        <f t="shared" si="99"/>
        <v/>
      </c>
      <c r="P347" t="str">
        <f t="shared" si="100"/>
        <v/>
      </c>
      <c r="Q347" t="str">
        <f t="shared" si="101"/>
        <v/>
      </c>
      <c r="R347" t="str">
        <f t="shared" si="102"/>
        <v/>
      </c>
      <c r="S347" t="str">
        <f t="shared" si="103"/>
        <v/>
      </c>
      <c r="T347" t="str">
        <f t="shared" si="104"/>
        <v/>
      </c>
      <c r="U347" t="str">
        <f t="shared" si="105"/>
        <v/>
      </c>
      <c r="V347" t="str">
        <f t="shared" si="106"/>
        <v/>
      </c>
      <c r="W347" t="str">
        <f>IF($A347="","",Allocation!CD347)</f>
        <v/>
      </c>
      <c r="X347" t="str">
        <f>IF($A347="","",Allocation!CE347)</f>
        <v/>
      </c>
      <c r="Y347" t="str">
        <f>IF($A347="","",Allocation!CF347)</f>
        <v/>
      </c>
      <c r="Z347" t="str">
        <f>IF($A347="","",Allocation!CG347)</f>
        <v/>
      </c>
      <c r="AA347" t="str">
        <f>IF($A347="","",Allocation!CH347)</f>
        <v/>
      </c>
      <c r="AB347" t="str">
        <f>IF($A347="","",Allocation!CI347)</f>
        <v/>
      </c>
      <c r="AC347" t="str">
        <f>IF($A347="","",IF(Allocation!$N$4="VOL_EFF",$G347,IF(Allocation!$N$4="VOL_CLASS",$H347,$I347)))</f>
        <v/>
      </c>
      <c r="AD347" t="str">
        <f>IF($A347="","",IF(Allocation!$N$4="VOL_EFF",$L347,IF(Allocation!$N$4="VOL_CLASS",$M347,$N347)))</f>
        <v/>
      </c>
      <c r="AE347" t="str">
        <f>IF($A347="","",IF(Allocation!$N$3="VOL_EFF",$L347,IF(Allocation!$N$3="VOL_CLASS",$M347,$N347)))</f>
        <v/>
      </c>
      <c r="AF347" t="str">
        <f>IF($A347="","",IF(Allocation!$N$3="VOL_EFF",$Q347,IF(Allocation!$N$3="VOL_CLASS",$R347,$S347)))</f>
        <v/>
      </c>
      <c r="AG347" t="str">
        <f>IF($A347="","",IF(Allocation!$N$1="VOL_EFF",$Q347,IF(Allocation!$N$1="VOL_CLASS",$R347,$S347)))</f>
        <v/>
      </c>
      <c r="AH347" t="str">
        <f>IF($A347="","",IF(Allocation!$N$1="VOL_EFF",$T347,IF(Allocation!$N$1="VOL_CLASS",$U347,$V347)))</f>
        <v/>
      </c>
      <c r="AI347" t="str">
        <f t="shared" si="107"/>
        <v/>
      </c>
      <c r="AJ347" t="str">
        <f t="shared" si="108"/>
        <v/>
      </c>
      <c r="AK347" t="str">
        <f t="shared" si="109"/>
        <v/>
      </c>
      <c r="AL347" t="str">
        <f t="shared" si="110"/>
        <v/>
      </c>
      <c r="AM347" t="str">
        <f t="shared" si="111"/>
        <v/>
      </c>
      <c r="AN347" t="str">
        <f t="shared" si="112"/>
        <v/>
      </c>
      <c r="AO347" t="str">
        <f>IF($A347="","",Allocation!CJ347)</f>
        <v/>
      </c>
      <c r="AP347" t="str">
        <f>IF($A347="","",IF(Allocation!$N$2="VOL_EFF",$Q347,IF(Allocation!$N$2="VOL_CLASS",$R347,$S347)))</f>
        <v/>
      </c>
      <c r="AQ347" t="str">
        <f>IF($A347="","",IF(Allocation!$N$2="VOL_EFF",$T347,IF(Allocation!$N$2="VOL_CLASS",$U347,$V347)))</f>
        <v/>
      </c>
      <c r="AR347" t="str">
        <f t="shared" si="113"/>
        <v/>
      </c>
      <c r="AS347" t="str">
        <f>IF($A347="","",$A347&amp;"|"&amp;Allocation!BG347)</f>
        <v/>
      </c>
    </row>
    <row r="348" spans="1:45" x14ac:dyDescent="0.45">
      <c r="A348" t="str">
        <f>IF(Allocation!BI348="","",Allocation!BI348)</f>
        <v/>
      </c>
      <c r="B348" t="str">
        <f>IF(Allocation!BJ348="","",Allocation!BJ348)</f>
        <v/>
      </c>
      <c r="C348" t="str">
        <f>IF(Allocation!BK348="","",Allocation!BK348)</f>
        <v/>
      </c>
      <c r="D348" t="str">
        <f>IF(Allocation!BL348="","",Allocation!BL348)</f>
        <v/>
      </c>
      <c r="E348" t="str">
        <f>IF(Allocation!BM348="","",Allocation!BM348)</f>
        <v/>
      </c>
      <c r="F348" t="str">
        <f>IF(Allocation!BN348="","",Allocation!BN348)</f>
        <v/>
      </c>
      <c r="G348" t="str">
        <f>IF(Allocation!BO348="","",Allocation!BO348)</f>
        <v/>
      </c>
      <c r="H348" t="str">
        <f>IF(Allocation!BP348="","",Allocation!BP348)</f>
        <v/>
      </c>
      <c r="I348" t="str">
        <f>IF(Allocation!BQ348="","",Allocation!BQ348)</f>
        <v/>
      </c>
      <c r="J348" t="str">
        <f>IF(Allocation!CC348="","",Allocation!CC348)</f>
        <v/>
      </c>
      <c r="K348" t="str">
        <f t="shared" si="95"/>
        <v/>
      </c>
      <c r="L348" t="str">
        <f t="shared" si="96"/>
        <v/>
      </c>
      <c r="M348" t="str">
        <f t="shared" si="97"/>
        <v/>
      </c>
      <c r="N348" t="str">
        <f t="shared" si="98"/>
        <v/>
      </c>
      <c r="O348" t="str">
        <f t="shared" si="99"/>
        <v/>
      </c>
      <c r="P348" t="str">
        <f t="shared" si="100"/>
        <v/>
      </c>
      <c r="Q348" t="str">
        <f t="shared" si="101"/>
        <v/>
      </c>
      <c r="R348" t="str">
        <f t="shared" si="102"/>
        <v/>
      </c>
      <c r="S348" t="str">
        <f t="shared" si="103"/>
        <v/>
      </c>
      <c r="T348" t="str">
        <f t="shared" si="104"/>
        <v/>
      </c>
      <c r="U348" t="str">
        <f t="shared" si="105"/>
        <v/>
      </c>
      <c r="V348" t="str">
        <f t="shared" si="106"/>
        <v/>
      </c>
      <c r="W348" t="str">
        <f>IF($A348="","",Allocation!CD348)</f>
        <v/>
      </c>
      <c r="X348" t="str">
        <f>IF($A348="","",Allocation!CE348)</f>
        <v/>
      </c>
      <c r="Y348" t="str">
        <f>IF($A348="","",Allocation!CF348)</f>
        <v/>
      </c>
      <c r="Z348" t="str">
        <f>IF($A348="","",Allocation!CG348)</f>
        <v/>
      </c>
      <c r="AA348" t="str">
        <f>IF($A348="","",Allocation!CH348)</f>
        <v/>
      </c>
      <c r="AB348" t="str">
        <f>IF($A348="","",Allocation!CI348)</f>
        <v/>
      </c>
      <c r="AC348" t="str">
        <f>IF($A348="","",IF(Allocation!$N$4="VOL_EFF",$G348,IF(Allocation!$N$4="VOL_CLASS",$H348,$I348)))</f>
        <v/>
      </c>
      <c r="AD348" t="str">
        <f>IF($A348="","",IF(Allocation!$N$4="VOL_EFF",$L348,IF(Allocation!$N$4="VOL_CLASS",$M348,$N348)))</f>
        <v/>
      </c>
      <c r="AE348" t="str">
        <f>IF($A348="","",IF(Allocation!$N$3="VOL_EFF",$L348,IF(Allocation!$N$3="VOL_CLASS",$M348,$N348)))</f>
        <v/>
      </c>
      <c r="AF348" t="str">
        <f>IF($A348="","",IF(Allocation!$N$3="VOL_EFF",$Q348,IF(Allocation!$N$3="VOL_CLASS",$R348,$S348)))</f>
        <v/>
      </c>
      <c r="AG348" t="str">
        <f>IF($A348="","",IF(Allocation!$N$1="VOL_EFF",$Q348,IF(Allocation!$N$1="VOL_CLASS",$R348,$S348)))</f>
        <v/>
      </c>
      <c r="AH348" t="str">
        <f>IF($A348="","",IF(Allocation!$N$1="VOL_EFF",$T348,IF(Allocation!$N$1="VOL_CLASS",$U348,$V348)))</f>
        <v/>
      </c>
      <c r="AI348" t="str">
        <f t="shared" si="107"/>
        <v/>
      </c>
      <c r="AJ348" t="str">
        <f t="shared" si="108"/>
        <v/>
      </c>
      <c r="AK348" t="str">
        <f t="shared" si="109"/>
        <v/>
      </c>
      <c r="AL348" t="str">
        <f t="shared" si="110"/>
        <v/>
      </c>
      <c r="AM348" t="str">
        <f t="shared" si="111"/>
        <v/>
      </c>
      <c r="AN348" t="str">
        <f t="shared" si="112"/>
        <v/>
      </c>
      <c r="AO348" t="str">
        <f>IF($A348="","",Allocation!CJ348)</f>
        <v/>
      </c>
      <c r="AP348" t="str">
        <f>IF($A348="","",IF(Allocation!$N$2="VOL_EFF",$Q348,IF(Allocation!$N$2="VOL_CLASS",$R348,$S348)))</f>
        <v/>
      </c>
      <c r="AQ348" t="str">
        <f>IF($A348="","",IF(Allocation!$N$2="VOL_EFF",$T348,IF(Allocation!$N$2="VOL_CLASS",$U348,$V348)))</f>
        <v/>
      </c>
      <c r="AR348" t="str">
        <f t="shared" si="113"/>
        <v/>
      </c>
      <c r="AS348" t="str">
        <f>IF($A348="","",$A348&amp;"|"&amp;Allocation!BG348)</f>
        <v/>
      </c>
    </row>
    <row r="349" spans="1:45" x14ac:dyDescent="0.45">
      <c r="A349" t="str">
        <f>IF(Allocation!BI349="","",Allocation!BI349)</f>
        <v/>
      </c>
      <c r="B349" t="str">
        <f>IF(Allocation!BJ349="","",Allocation!BJ349)</f>
        <v/>
      </c>
      <c r="C349" t="str">
        <f>IF(Allocation!BK349="","",Allocation!BK349)</f>
        <v/>
      </c>
      <c r="D349" t="str">
        <f>IF(Allocation!BL349="","",Allocation!BL349)</f>
        <v/>
      </c>
      <c r="E349" t="str">
        <f>IF(Allocation!BM349="","",Allocation!BM349)</f>
        <v/>
      </c>
      <c r="F349" t="str">
        <f>IF(Allocation!BN349="","",Allocation!BN349)</f>
        <v/>
      </c>
      <c r="G349" t="str">
        <f>IF(Allocation!BO349="","",Allocation!BO349)</f>
        <v/>
      </c>
      <c r="H349" t="str">
        <f>IF(Allocation!BP349="","",Allocation!BP349)</f>
        <v/>
      </c>
      <c r="I349" t="str">
        <f>IF(Allocation!BQ349="","",Allocation!BQ349)</f>
        <v/>
      </c>
      <c r="J349" t="str">
        <f>IF(Allocation!CC349="","",Allocation!CC349)</f>
        <v/>
      </c>
      <c r="K349" t="str">
        <f t="shared" si="95"/>
        <v/>
      </c>
      <c r="L349" t="str">
        <f t="shared" si="96"/>
        <v/>
      </c>
      <c r="M349" t="str">
        <f t="shared" si="97"/>
        <v/>
      </c>
      <c r="N349" t="str">
        <f t="shared" si="98"/>
        <v/>
      </c>
      <c r="O349" t="str">
        <f t="shared" si="99"/>
        <v/>
      </c>
      <c r="P349" t="str">
        <f t="shared" si="100"/>
        <v/>
      </c>
      <c r="Q349" t="str">
        <f t="shared" si="101"/>
        <v/>
      </c>
      <c r="R349" t="str">
        <f t="shared" si="102"/>
        <v/>
      </c>
      <c r="S349" t="str">
        <f t="shared" si="103"/>
        <v/>
      </c>
      <c r="T349" t="str">
        <f t="shared" si="104"/>
        <v/>
      </c>
      <c r="U349" t="str">
        <f t="shared" si="105"/>
        <v/>
      </c>
      <c r="V349" t="str">
        <f t="shared" si="106"/>
        <v/>
      </c>
      <c r="W349" t="str">
        <f>IF($A349="","",Allocation!CD349)</f>
        <v/>
      </c>
      <c r="X349" t="str">
        <f>IF($A349="","",Allocation!CE349)</f>
        <v/>
      </c>
      <c r="Y349" t="str">
        <f>IF($A349="","",Allocation!CF349)</f>
        <v/>
      </c>
      <c r="Z349" t="str">
        <f>IF($A349="","",Allocation!CG349)</f>
        <v/>
      </c>
      <c r="AA349" t="str">
        <f>IF($A349="","",Allocation!CH349)</f>
        <v/>
      </c>
      <c r="AB349" t="str">
        <f>IF($A349="","",Allocation!CI349)</f>
        <v/>
      </c>
      <c r="AC349" t="str">
        <f>IF($A349="","",IF(Allocation!$N$4="VOL_EFF",$G349,IF(Allocation!$N$4="VOL_CLASS",$H349,$I349)))</f>
        <v/>
      </c>
      <c r="AD349" t="str">
        <f>IF($A349="","",IF(Allocation!$N$4="VOL_EFF",$L349,IF(Allocation!$N$4="VOL_CLASS",$M349,$N349)))</f>
        <v/>
      </c>
      <c r="AE349" t="str">
        <f>IF($A349="","",IF(Allocation!$N$3="VOL_EFF",$L349,IF(Allocation!$N$3="VOL_CLASS",$M349,$N349)))</f>
        <v/>
      </c>
      <c r="AF349" t="str">
        <f>IF($A349="","",IF(Allocation!$N$3="VOL_EFF",$Q349,IF(Allocation!$N$3="VOL_CLASS",$R349,$S349)))</f>
        <v/>
      </c>
      <c r="AG349" t="str">
        <f>IF($A349="","",IF(Allocation!$N$1="VOL_EFF",$Q349,IF(Allocation!$N$1="VOL_CLASS",$R349,$S349)))</f>
        <v/>
      </c>
      <c r="AH349" t="str">
        <f>IF($A349="","",IF(Allocation!$N$1="VOL_EFF",$T349,IF(Allocation!$N$1="VOL_CLASS",$U349,$V349)))</f>
        <v/>
      </c>
      <c r="AI349" t="str">
        <f t="shared" si="107"/>
        <v/>
      </c>
      <c r="AJ349" t="str">
        <f t="shared" si="108"/>
        <v/>
      </c>
      <c r="AK349" t="str">
        <f t="shared" si="109"/>
        <v/>
      </c>
      <c r="AL349" t="str">
        <f t="shared" si="110"/>
        <v/>
      </c>
      <c r="AM349" t="str">
        <f t="shared" si="111"/>
        <v/>
      </c>
      <c r="AN349" t="str">
        <f t="shared" si="112"/>
        <v/>
      </c>
      <c r="AO349" t="str">
        <f>IF($A349="","",Allocation!CJ349)</f>
        <v/>
      </c>
      <c r="AP349" t="str">
        <f>IF($A349="","",IF(Allocation!$N$2="VOL_EFF",$Q349,IF(Allocation!$N$2="VOL_CLASS",$R349,$S349)))</f>
        <v/>
      </c>
      <c r="AQ349" t="str">
        <f>IF($A349="","",IF(Allocation!$N$2="VOL_EFF",$T349,IF(Allocation!$N$2="VOL_CLASS",$U349,$V349)))</f>
        <v/>
      </c>
      <c r="AR349" t="str">
        <f t="shared" si="113"/>
        <v/>
      </c>
      <c r="AS349" t="str">
        <f>IF($A349="","",$A349&amp;"|"&amp;Allocation!BG349)</f>
        <v/>
      </c>
    </row>
    <row r="350" spans="1:45">
      <c r="A350">
        <f>IF(Allocation!BI350="","",Allocation!BI350)</f>
      </c>
      <c r="B350">
        <f>IF(Allocation!BJ350="","",Allocation!BJ350)</f>
      </c>
      <c r="C350">
        <f>IF(Allocation!BK350="","",Allocation!BK350)</f>
      </c>
      <c r="D350">
        <f>IF(Allocation!BL350="","",Allocation!BL350)</f>
      </c>
      <c r="E350">
        <f>IF(Allocation!BM350="","",Allocation!BM350)</f>
      </c>
      <c r="F350">
        <f>IF(Allocation!BN350="","",Allocation!BN350)</f>
      </c>
      <c r="G350">
        <f>IF(Allocation!BO350="","",Allocation!BO350)</f>
      </c>
      <c r="H350">
        <f>IF(Allocation!BP350="","",Allocation!BP350)</f>
      </c>
      <c r="I350">
        <f>IF(Allocation!BQ350="","",Allocation!BQ350)</f>
      </c>
      <c r="J350">
        <f>IF(Allocation!CC350="","",Allocation!CC350)</f>
      </c>
      <c r="K350">
        <f>IF($A350="","",$H350*IF(AND(LEFT($D350,3)="BAC",$F350="INIT"),600,IF(LEFT($D350,3)="BAC",480,IF(AND(LEFT($D350,3)="MAS",$F350="INIT"),520,IF(LEFT($D350,3)="MAS",420,IF($F350="INIT",1000,700))))))</f>
      </c>
      <c r="L350">
        <f>IF($A350="","",SUMIFS($G$1:$G$349,$AS$1:$AS$349,$AS350,$B$1:$B$349,$B350))</f>
      </c>
      <c r="M350">
        <f>IF($A350="","",SUMIFS($H$1:$H$349,$AS$1:$AS$349,$AS350,$B$1:$B$349,$B350))</f>
      </c>
      <c r="N350">
        <f>IF($A350="","",SUMIFS($I$1:$I$349,$AS$1:$AS$349,$AS350,$B$1:$B$349,$B350))</f>
      </c>
      <c r="O350">
        <f>IF($A350="","",SUMIFS($K$1:$K$349,$AS$1:$AS$349,$AS350,$B$1:$B$349,$B350))</f>
      </c>
      <c r="P350">
        <f>IF($A350="","",SUMIFS($J$1:$J$349,$AS$1:$AS$349,$AS350,$B$1:$B$349,$B350))</f>
      </c>
      <c r="Q350">
        <f>IF($A350="","",SUMIFS($G$1:$G$349,$AS$1:$AS$349,$AS350,$C$1:$C$349,$C350))</f>
      </c>
      <c r="R350">
        <f>IF($A350="","",SUMIFS($H$1:$H$349,$AS$1:$AS$349,$AS350,$C$1:$C$349,$C350))</f>
      </c>
      <c r="S350">
        <f>IF($A350="","",SUMIFS($I$1:$I$349,$AS$1:$AS$349,$AS350,$C$1:$C$349,$C350))</f>
      </c>
      <c r="T350">
        <f>IF($A350="","",SUMIFS($G$1:$G$349,$AS$1:$AS$349,$AS350))</f>
      </c>
      <c r="U350">
        <f>IF($A350="","",SUMIFS($H$1:$H$349,$AS$1:$AS$349,$AS350))</f>
      </c>
      <c r="V350">
        <f>IF($A350="","",SUMIFS($I$1:$I$349,$AS$1:$AS$349,$AS350))</f>
      </c>
      <c r="W350">
        <f>IF($A350="","",Allocation!CD350)</f>
      </c>
      <c r="X350">
        <f>IF($A350="","",Allocation!CE350)</f>
      </c>
      <c r="Y350">
        <f>IF($A350="","",Allocation!CF350)</f>
      </c>
      <c r="Z350">
        <f>IF($A350="","",Allocation!CG350)</f>
      </c>
      <c r="AA350">
        <f>IF($A350="","",Allocation!CH350)</f>
      </c>
      <c r="AB350">
        <f>IF($A350="","",Allocation!CI350)</f>
      </c>
      <c r="AC350">
        <f>IF($A350="","",IF(Allocation!$N$4="VOL_EFF",$G350,IF(Allocation!$N$4="VOL_CLASS",$H350,$I350)))</f>
      </c>
      <c r="AD350">
        <f>IF($A350="","",IF(Allocation!$N$4="VOL_EFF",$L350,IF(Allocation!$N$4="VOL_CLASS",$M350,$N350)))</f>
      </c>
      <c r="AE350">
        <f>IF($A350="","",IF(Allocation!$N$3="VOL_EFF",$L350,IF(Allocation!$N$3="VOL_CLASS",$M350,$N350)))</f>
      </c>
      <c r="AF350">
        <f>IF($A350="","",IF(Allocation!$N$3="VOL_EFF",$Q350,IF(Allocation!$N$3="VOL_CLASS",$R350,$S350)))</f>
      </c>
      <c r="AG350">
        <f>IF($A350="","",IF(Allocation!$N$1="VOL_EFF",$Q350,IF(Allocation!$N$1="VOL_CLASS",$R350,$S350)))</f>
      </c>
      <c r="AH350">
        <f>IF($A350="","",IF(Allocation!$N$1="VOL_EFF",$T350,IF(Allocation!$N$1="VOL_CLASS",$U350,$V350)))</f>
      </c>
      <c r="AI350">
        <f>IF($A350="","",$W350*IFERROR($K350/$O350,0))</f>
      </c>
      <c r="AJ350">
        <f>IF($A350="","",$X350*IFERROR($K350/$O350,0))</f>
      </c>
      <c r="AK350">
        <f>IF($A350="","",$Y350*IFERROR($G350/$L350,0)+$Z350*IFERROR($J350/$P350,0))</f>
      </c>
      <c r="AL350">
        <f>IF($A350="","",$AA350*IFERROR($AC350/$AD350,0))</f>
      </c>
      <c r="AM350">
        <f>IF($A350="","",$AB350*IFERROR($AG350/$AH350,0)*IFERROR($AE350/$AF350,0)*IFERROR($AC350/$AD350,0))</f>
      </c>
      <c r="AN350">
        <f>IF($A350="","",$I350-($AI350+$AJ350+$AK350+$AL350+$AM350+$AR350))</f>
      </c>
      <c r="AO350">
        <f>IF($A350="","",Allocation!CJ350)</f>
      </c>
      <c r="AP350">
        <f>IF($A350="","",IF(Allocation!$N$2="VOL_EFF",$Q350,IF(Allocation!$N$2="VOL_CLASS",$R350,$S350)))</f>
      </c>
      <c r="AQ350">
        <f>IF($A350="","",IF(Allocation!$N$2="VOL_EFF",$T350,IF(Allocation!$N$2="VOL_CLASS",$U350,$V350)))</f>
      </c>
      <c r="AR350">
        <f>IF($A350="","",$AO350*IFERROR($AP350/$AQ350,0)*IFERROR($AE350/$AF350,0)*IFERROR($AC350/$AD350,0))</f>
      </c>
      <c r="AS350">
        <f>IF($A350="","",$A350&amp;"|"&amp;Allocation!BG350)</f>
      </c>
    </row>
    <row r="351" spans="1:45">
      <c r="A351">
        <f>IF(Allocation!BI351="","",Allocation!BI351)</f>
      </c>
      <c r="B351">
        <f>IF(Allocation!BJ351="","",Allocation!BJ351)</f>
      </c>
      <c r="C351">
        <f>IF(Allocation!BK351="","",Allocation!BK351)</f>
      </c>
      <c r="D351">
        <f>IF(Allocation!BL351="","",Allocation!BL351)</f>
      </c>
      <c r="E351">
        <f>IF(Allocation!BM351="","",Allocation!BM351)</f>
      </c>
      <c r="F351">
        <f>IF(Allocation!BN351="","",Allocation!BN351)</f>
      </c>
      <c r="G351">
        <f>IF(Allocation!BO351="","",Allocation!BO351)</f>
      </c>
      <c r="H351">
        <f>IF(Allocation!BP351="","",Allocation!BP351)</f>
      </c>
      <c r="I351">
        <f>IF(Allocation!BQ351="","",Allocation!BQ351)</f>
      </c>
      <c r="J351">
        <f>IF(Allocation!CC351="","",Allocation!CC351)</f>
      </c>
      <c r="K351">
        <f>IF($A351="","",$H351*IF(AND(LEFT($D351,3)="BAC",$F351="INIT"),600,IF(LEFT($D351,3)="BAC",480,IF(AND(LEFT($D351,3)="MAS",$F351="INIT"),520,IF(LEFT($D351,3)="MAS",420,IF($F351="INIT",1000,700))))))</f>
      </c>
      <c r="L351">
        <f>IF($A351="","",SUMIFS($G$1:$G$349,$AS$1:$AS$349,$AS351,$B$1:$B$349,$B351))</f>
      </c>
      <c r="M351">
        <f>IF($A351="","",SUMIFS($H$1:$H$349,$AS$1:$AS$349,$AS351,$B$1:$B$349,$B351))</f>
      </c>
      <c r="N351">
        <f>IF($A351="","",SUMIFS($I$1:$I$349,$AS$1:$AS$349,$AS351,$B$1:$B$349,$B351))</f>
      </c>
      <c r="O351">
        <f>IF($A351="","",SUMIFS($K$1:$K$349,$AS$1:$AS$349,$AS351,$B$1:$B$349,$B351))</f>
      </c>
      <c r="P351">
        <f>IF($A351="","",SUMIFS($J$1:$J$349,$AS$1:$AS$349,$AS351,$B$1:$B$349,$B351))</f>
      </c>
      <c r="Q351">
        <f>IF($A351="","",SUMIFS($G$1:$G$349,$AS$1:$AS$349,$AS351,$C$1:$C$349,$C351))</f>
      </c>
      <c r="R351">
        <f>IF($A351="","",SUMIFS($H$1:$H$349,$AS$1:$AS$349,$AS351,$C$1:$C$349,$C351))</f>
      </c>
      <c r="S351">
        <f>IF($A351="","",SUMIFS($I$1:$I$349,$AS$1:$AS$349,$AS351,$C$1:$C$349,$C351))</f>
      </c>
      <c r="T351">
        <f>IF($A351="","",SUMIFS($G$1:$G$349,$AS$1:$AS$349,$AS351))</f>
      </c>
      <c r="U351">
        <f>IF($A351="","",SUMIFS($H$1:$H$349,$AS$1:$AS$349,$AS351))</f>
      </c>
      <c r="V351">
        <f>IF($A351="","",SUMIFS($I$1:$I$349,$AS$1:$AS$349,$AS351))</f>
      </c>
      <c r="W351">
        <f>IF($A351="","",Allocation!CD351)</f>
      </c>
      <c r="X351">
        <f>IF($A351="","",Allocation!CE351)</f>
      </c>
      <c r="Y351">
        <f>IF($A351="","",Allocation!CF351)</f>
      </c>
      <c r="Z351">
        <f>IF($A351="","",Allocation!CG351)</f>
      </c>
      <c r="AA351">
        <f>IF($A351="","",Allocation!CH351)</f>
      </c>
      <c r="AB351">
        <f>IF($A351="","",Allocation!CI351)</f>
      </c>
      <c r="AC351">
        <f>IF($A351="","",IF(Allocation!$N$4="VOL_EFF",$G351,IF(Allocation!$N$4="VOL_CLASS",$H351,$I351)))</f>
      </c>
      <c r="AD351">
        <f>IF($A351="","",IF(Allocation!$N$4="VOL_EFF",$L351,IF(Allocation!$N$4="VOL_CLASS",$M351,$N351)))</f>
      </c>
      <c r="AE351">
        <f>IF($A351="","",IF(Allocation!$N$3="VOL_EFF",$L351,IF(Allocation!$N$3="VOL_CLASS",$M351,$N351)))</f>
      </c>
      <c r="AF351">
        <f>IF($A351="","",IF(Allocation!$N$3="VOL_EFF",$Q351,IF(Allocation!$N$3="VOL_CLASS",$R351,$S351)))</f>
      </c>
      <c r="AG351">
        <f>IF($A351="","",IF(Allocation!$N$1="VOL_EFF",$Q351,IF(Allocation!$N$1="VOL_CLASS",$R351,$S351)))</f>
      </c>
      <c r="AH351">
        <f>IF($A351="","",IF(Allocation!$N$1="VOL_EFF",$T351,IF(Allocation!$N$1="VOL_CLASS",$U351,$V351)))</f>
      </c>
      <c r="AI351">
        <f>IF($A351="","",$W351*IFERROR($K351/$O351,0))</f>
      </c>
      <c r="AJ351">
        <f>IF($A351="","",$X351*IFERROR($K351/$O351,0))</f>
      </c>
      <c r="AK351">
        <f>IF($A351="","",$Y351*IFERROR($G351/$L351,0)+$Z351*IFERROR($J351/$P351,0))</f>
      </c>
      <c r="AL351">
        <f>IF($A351="","",$AA351*IFERROR($AC351/$AD351,0))</f>
      </c>
      <c r="AM351">
        <f>IF($A351="","",$AB351*IFERROR($AG351/$AH351,0)*IFERROR($AE351/$AF351,0)*IFERROR($AC351/$AD351,0))</f>
      </c>
      <c r="AN351">
        <f>IF($A351="","",$I351-($AI351+$AJ351+$AK351+$AL351+$AM351+$AR351))</f>
      </c>
      <c r="AO351">
        <f>IF($A351="","",Allocation!CJ351)</f>
      </c>
      <c r="AP351">
        <f>IF($A351="","",IF(Allocation!$N$2="VOL_EFF",$Q351,IF(Allocation!$N$2="VOL_CLASS",$R351,$S351)))</f>
      </c>
      <c r="AQ351">
        <f>IF($A351="","",IF(Allocation!$N$2="VOL_EFF",$T351,IF(Allocation!$N$2="VOL_CLASS",$U351,$V351)))</f>
      </c>
      <c r="AR351">
        <f>IF($A351="","",$AO351*IFERROR($AP351/$AQ351,0)*IFERROR($AE351/$AF351,0)*IFERROR($AC351/$AD351,0))</f>
      </c>
      <c r="AS351">
        <f>IF($A351="","",$A351&amp;"|"&amp;Allocation!BG351)</f>
      </c>
    </row>
    <row r="352" spans="1:45">
      <c r="A352">
        <f>IF(Allocation!BI352="","",Allocation!BI352)</f>
      </c>
      <c r="B352">
        <f>IF(Allocation!BJ352="","",Allocation!BJ352)</f>
      </c>
      <c r="C352">
        <f>IF(Allocation!BK352="","",Allocation!BK352)</f>
      </c>
      <c r="D352">
        <f>IF(Allocation!BL352="","",Allocation!BL352)</f>
      </c>
      <c r="E352">
        <f>IF(Allocation!BM352="","",Allocation!BM352)</f>
      </c>
      <c r="F352">
        <f>IF(Allocation!BN352="","",Allocation!BN352)</f>
      </c>
      <c r="G352">
        <f>IF(Allocation!BO352="","",Allocation!BO352)</f>
      </c>
      <c r="H352">
        <f>IF(Allocation!BP352="","",Allocation!BP352)</f>
      </c>
      <c r="I352">
        <f>IF(Allocation!BQ352="","",Allocation!BQ352)</f>
      </c>
      <c r="J352">
        <f>IF(Allocation!CC352="","",Allocation!CC352)</f>
      </c>
      <c r="K352">
        <f>IF($A352="","",$H352*IF(AND(LEFT($D352,3)="BAC",$F352="INIT"),600,IF(LEFT($D352,3)="BAC",480,IF(AND(LEFT($D352,3)="MAS",$F352="INIT"),520,IF(LEFT($D352,3)="MAS",420,IF($F352="INIT",1000,700))))))</f>
      </c>
      <c r="L352">
        <f>IF($A352="","",SUMIFS($G$1:$G$349,$AS$1:$AS$349,$AS352,$B$1:$B$349,$B352))</f>
      </c>
      <c r="M352">
        <f>IF($A352="","",SUMIFS($H$1:$H$349,$AS$1:$AS$349,$AS352,$B$1:$B$349,$B352))</f>
      </c>
      <c r="N352">
        <f>IF($A352="","",SUMIFS($I$1:$I$349,$AS$1:$AS$349,$AS352,$B$1:$B$349,$B352))</f>
      </c>
      <c r="O352">
        <f>IF($A352="","",SUMIFS($K$1:$K$349,$AS$1:$AS$349,$AS352,$B$1:$B$349,$B352))</f>
      </c>
      <c r="P352">
        <f>IF($A352="","",SUMIFS($J$1:$J$349,$AS$1:$AS$349,$AS352,$B$1:$B$349,$B352))</f>
      </c>
      <c r="Q352">
        <f>IF($A352="","",SUMIFS($G$1:$G$349,$AS$1:$AS$349,$AS352,$C$1:$C$349,$C352))</f>
      </c>
      <c r="R352">
        <f>IF($A352="","",SUMIFS($H$1:$H$349,$AS$1:$AS$349,$AS352,$C$1:$C$349,$C352))</f>
      </c>
      <c r="S352">
        <f>IF($A352="","",SUMIFS($I$1:$I$349,$AS$1:$AS$349,$AS352,$C$1:$C$349,$C352))</f>
      </c>
      <c r="T352">
        <f>IF($A352="","",SUMIFS($G$1:$G$349,$AS$1:$AS$349,$AS352))</f>
      </c>
      <c r="U352">
        <f>IF($A352="","",SUMIFS($H$1:$H$349,$AS$1:$AS$349,$AS352))</f>
      </c>
      <c r="V352">
        <f>IF($A352="","",SUMIFS($I$1:$I$349,$AS$1:$AS$349,$AS352))</f>
      </c>
      <c r="W352">
        <f>IF($A352="","",Allocation!CD352)</f>
      </c>
      <c r="X352">
        <f>IF($A352="","",Allocation!CE352)</f>
      </c>
      <c r="Y352">
        <f>IF($A352="","",Allocation!CF352)</f>
      </c>
      <c r="Z352">
        <f>IF($A352="","",Allocation!CG352)</f>
      </c>
      <c r="AA352">
        <f>IF($A352="","",Allocation!CH352)</f>
      </c>
      <c r="AB352">
        <f>IF($A352="","",Allocation!CI352)</f>
      </c>
      <c r="AC352">
        <f>IF($A352="","",IF(Allocation!$N$4="VOL_EFF",$G352,IF(Allocation!$N$4="VOL_CLASS",$H352,$I352)))</f>
      </c>
      <c r="AD352">
        <f>IF($A352="","",IF(Allocation!$N$4="VOL_EFF",$L352,IF(Allocation!$N$4="VOL_CLASS",$M352,$N352)))</f>
      </c>
      <c r="AE352">
        <f>IF($A352="","",IF(Allocation!$N$3="VOL_EFF",$L352,IF(Allocation!$N$3="VOL_CLASS",$M352,$N352)))</f>
      </c>
      <c r="AF352">
        <f>IF($A352="","",IF(Allocation!$N$3="VOL_EFF",$Q352,IF(Allocation!$N$3="VOL_CLASS",$R352,$S352)))</f>
      </c>
      <c r="AG352">
        <f>IF($A352="","",IF(Allocation!$N$1="VOL_EFF",$Q352,IF(Allocation!$N$1="VOL_CLASS",$R352,$S352)))</f>
      </c>
      <c r="AH352">
        <f>IF($A352="","",IF(Allocation!$N$1="VOL_EFF",$T352,IF(Allocation!$N$1="VOL_CLASS",$U352,$V352)))</f>
      </c>
      <c r="AI352">
        <f>IF($A352="","",$W352*IFERROR($K352/$O352,0))</f>
      </c>
      <c r="AJ352">
        <f>IF($A352="","",$X352*IFERROR($K352/$O352,0))</f>
      </c>
      <c r="AK352">
        <f>IF($A352="","",$Y352*IFERROR($G352/$L352,0)+$Z352*IFERROR($J352/$P352,0))</f>
      </c>
      <c r="AL352">
        <f>IF($A352="","",$AA352*IFERROR($AC352/$AD352,0))</f>
      </c>
      <c r="AM352">
        <f>IF($A352="","",$AB352*IFERROR($AG352/$AH352,0)*IFERROR($AE352/$AF352,0)*IFERROR($AC352/$AD352,0))</f>
      </c>
      <c r="AN352">
        <f>IF($A352="","",$I352-($AI352+$AJ352+$AK352+$AL352+$AM352+$AR352))</f>
      </c>
      <c r="AO352">
        <f>IF($A352="","",Allocation!CJ352)</f>
      </c>
      <c r="AP352">
        <f>IF($A352="","",IF(Allocation!$N$2="VOL_EFF",$Q352,IF(Allocation!$N$2="VOL_CLASS",$R352,$S352)))</f>
      </c>
      <c r="AQ352">
        <f>IF($A352="","",IF(Allocation!$N$2="VOL_EFF",$T352,IF(Allocation!$N$2="VOL_CLASS",$U352,$V352)))</f>
      </c>
      <c r="AR352">
        <f>IF($A352="","",$AO352*IFERROR($AP352/$AQ352,0)*IFERROR($AE352/$AF352,0)*IFERROR($AC352/$AD352,0))</f>
      </c>
      <c r="AS352">
        <f>IF($A352="","",$A352&amp;"|"&amp;Allocation!BG352)</f>
      </c>
    </row>
    <row r="353" spans="1:45">
      <c r="A353">
        <f>IF(Allocation!BI353="","",Allocation!BI353)</f>
      </c>
      <c r="B353">
        <f>IF(Allocation!BJ353="","",Allocation!BJ353)</f>
      </c>
      <c r="C353">
        <f>IF(Allocation!BK353="","",Allocation!BK353)</f>
      </c>
      <c r="D353">
        <f>IF(Allocation!BL353="","",Allocation!BL353)</f>
      </c>
      <c r="E353">
        <f>IF(Allocation!BM353="","",Allocation!BM353)</f>
      </c>
      <c r="F353">
        <f>IF(Allocation!BN353="","",Allocation!BN353)</f>
      </c>
      <c r="G353">
        <f>IF(Allocation!BO353="","",Allocation!BO353)</f>
      </c>
      <c r="H353">
        <f>IF(Allocation!BP353="","",Allocation!BP353)</f>
      </c>
      <c r="I353">
        <f>IF(Allocation!BQ353="","",Allocation!BQ353)</f>
      </c>
      <c r="J353">
        <f>IF(Allocation!CC353="","",Allocation!CC353)</f>
      </c>
      <c r="K353">
        <f>IF($A353="","",$H353*IF(AND(LEFT($D353,3)="BAC",$F353="INIT"),600,IF(LEFT($D353,3)="BAC",480,IF(AND(LEFT($D353,3)="MAS",$F353="INIT"),520,IF(LEFT($D353,3)="MAS",420,IF($F353="INIT",1000,700))))))</f>
      </c>
      <c r="L353">
        <f>IF($A353="","",SUMIFS($G$1:$G$349,$AS$1:$AS$349,$AS353,$B$1:$B$349,$B353))</f>
      </c>
      <c r="M353">
        <f>IF($A353="","",SUMIFS($H$1:$H$349,$AS$1:$AS$349,$AS353,$B$1:$B$349,$B353))</f>
      </c>
      <c r="N353">
        <f>IF($A353="","",SUMIFS($I$1:$I$349,$AS$1:$AS$349,$AS353,$B$1:$B$349,$B353))</f>
      </c>
      <c r="O353">
        <f>IF($A353="","",SUMIFS($K$1:$K$349,$AS$1:$AS$349,$AS353,$B$1:$B$349,$B353))</f>
      </c>
      <c r="P353">
        <f>IF($A353="","",SUMIFS($J$1:$J$349,$AS$1:$AS$349,$AS353,$B$1:$B$349,$B353))</f>
      </c>
      <c r="Q353">
        <f>IF($A353="","",SUMIFS($G$1:$G$349,$AS$1:$AS$349,$AS353,$C$1:$C$349,$C353))</f>
      </c>
      <c r="R353">
        <f>IF($A353="","",SUMIFS($H$1:$H$349,$AS$1:$AS$349,$AS353,$C$1:$C$349,$C353))</f>
      </c>
      <c r="S353">
        <f>IF($A353="","",SUMIFS($I$1:$I$349,$AS$1:$AS$349,$AS353,$C$1:$C$349,$C353))</f>
      </c>
      <c r="T353">
        <f>IF($A353="","",SUMIFS($G$1:$G$349,$AS$1:$AS$349,$AS353))</f>
      </c>
      <c r="U353">
        <f>IF($A353="","",SUMIFS($H$1:$H$349,$AS$1:$AS$349,$AS353))</f>
      </c>
      <c r="V353">
        <f>IF($A353="","",SUMIFS($I$1:$I$349,$AS$1:$AS$349,$AS353))</f>
      </c>
      <c r="W353">
        <f>IF($A353="","",Allocation!CD353)</f>
      </c>
      <c r="X353">
        <f>IF($A353="","",Allocation!CE353)</f>
      </c>
      <c r="Y353">
        <f>IF($A353="","",Allocation!CF353)</f>
      </c>
      <c r="Z353">
        <f>IF($A353="","",Allocation!CG353)</f>
      </c>
      <c r="AA353">
        <f>IF($A353="","",Allocation!CH353)</f>
      </c>
      <c r="AB353">
        <f>IF($A353="","",Allocation!CI353)</f>
      </c>
      <c r="AC353">
        <f>IF($A353="","",IF(Allocation!$N$4="VOL_EFF",$G353,IF(Allocation!$N$4="VOL_CLASS",$H353,$I353)))</f>
      </c>
      <c r="AD353">
        <f>IF($A353="","",IF(Allocation!$N$4="VOL_EFF",$L353,IF(Allocation!$N$4="VOL_CLASS",$M353,$N353)))</f>
      </c>
      <c r="AE353">
        <f>IF($A353="","",IF(Allocation!$N$3="VOL_EFF",$L353,IF(Allocation!$N$3="VOL_CLASS",$M353,$N353)))</f>
      </c>
      <c r="AF353">
        <f>IF($A353="","",IF(Allocation!$N$3="VOL_EFF",$Q353,IF(Allocation!$N$3="VOL_CLASS",$R353,$S353)))</f>
      </c>
      <c r="AG353">
        <f>IF($A353="","",IF(Allocation!$N$1="VOL_EFF",$Q353,IF(Allocation!$N$1="VOL_CLASS",$R353,$S353)))</f>
      </c>
      <c r="AH353">
        <f>IF($A353="","",IF(Allocation!$N$1="VOL_EFF",$T353,IF(Allocation!$N$1="VOL_CLASS",$U353,$V353)))</f>
      </c>
      <c r="AI353">
        <f>IF($A353="","",$W353*IFERROR($K353/$O353,0))</f>
      </c>
      <c r="AJ353">
        <f>IF($A353="","",$X353*IFERROR($K353/$O353,0))</f>
      </c>
      <c r="AK353">
        <f>IF($A353="","",$Y353*IFERROR($G353/$L353,0)+$Z353*IFERROR($J353/$P353,0))</f>
      </c>
      <c r="AL353">
        <f>IF($A353="","",$AA353*IFERROR($AC353/$AD353,0))</f>
      </c>
      <c r="AM353">
        <f>IF($A353="","",$AB353*IFERROR($AG353/$AH353,0)*IFERROR($AE353/$AF353,0)*IFERROR($AC353/$AD353,0))</f>
      </c>
      <c r="AN353">
        <f>IF($A353="","",$I353-($AI353+$AJ353+$AK353+$AL353+$AM353+$AR353))</f>
      </c>
      <c r="AO353">
        <f>IF($A353="","",Allocation!CJ353)</f>
      </c>
      <c r="AP353">
        <f>IF($A353="","",IF(Allocation!$N$2="VOL_EFF",$Q353,IF(Allocation!$N$2="VOL_CLASS",$R353,$S353)))</f>
      </c>
      <c r="AQ353">
        <f>IF($A353="","",IF(Allocation!$N$2="VOL_EFF",$T353,IF(Allocation!$N$2="VOL_CLASS",$U353,$V353)))</f>
      </c>
      <c r="AR353">
        <f>IF($A353="","",$AO353*IFERROR($AP353/$AQ353,0)*IFERROR($AE353/$AF353,0)*IFERROR($AC353/$AD353,0))</f>
      </c>
      <c r="AS353">
        <f>IF($A353="","",$A353&amp;"|"&amp;Allocation!BG353)</f>
      </c>
    </row>
    <row r="354" spans="1:45">
      <c r="A354">
        <f>IF(Allocation!BI354="","",Allocation!BI354)</f>
      </c>
      <c r="B354">
        <f>IF(Allocation!BJ354="","",Allocation!BJ354)</f>
      </c>
      <c r="C354">
        <f>IF(Allocation!BK354="","",Allocation!BK354)</f>
      </c>
      <c r="D354">
        <f>IF(Allocation!BL354="","",Allocation!BL354)</f>
      </c>
      <c r="E354">
        <f>IF(Allocation!BM354="","",Allocation!BM354)</f>
      </c>
      <c r="F354">
        <f>IF(Allocation!BN354="","",Allocation!BN354)</f>
      </c>
      <c r="G354">
        <f>IF(Allocation!BO354="","",Allocation!BO354)</f>
      </c>
      <c r="H354">
        <f>IF(Allocation!BP354="","",Allocation!BP354)</f>
      </c>
      <c r="I354">
        <f>IF(Allocation!BQ354="","",Allocation!BQ354)</f>
      </c>
      <c r="J354">
        <f>IF(Allocation!CC354="","",Allocation!CC354)</f>
      </c>
      <c r="K354">
        <f>IF($A354="","",$H354*IF(AND(LEFT($D354,3)="BAC",$F354="INIT"),600,IF(LEFT($D354,3)="BAC",480,IF(AND(LEFT($D354,3)="MAS",$F354="INIT"),520,IF(LEFT($D354,3)="MAS",420,IF($F354="INIT",1000,700))))))</f>
      </c>
      <c r="L354">
        <f>IF($A354="","",SUMIFS($G$1:$G$349,$AS$1:$AS$349,$AS354,$B$1:$B$349,$B354))</f>
      </c>
      <c r="M354">
        <f>IF($A354="","",SUMIFS($H$1:$H$349,$AS$1:$AS$349,$AS354,$B$1:$B$349,$B354))</f>
      </c>
      <c r="N354">
        <f>IF($A354="","",SUMIFS($I$1:$I$349,$AS$1:$AS$349,$AS354,$B$1:$B$349,$B354))</f>
      </c>
      <c r="O354">
        <f>IF($A354="","",SUMIFS($K$1:$K$349,$AS$1:$AS$349,$AS354,$B$1:$B$349,$B354))</f>
      </c>
      <c r="P354">
        <f>IF($A354="","",SUMIFS($J$1:$J$349,$AS$1:$AS$349,$AS354,$B$1:$B$349,$B354))</f>
      </c>
      <c r="Q354">
        <f>IF($A354="","",SUMIFS($G$1:$G$349,$AS$1:$AS$349,$AS354,$C$1:$C$349,$C354))</f>
      </c>
      <c r="R354">
        <f>IF($A354="","",SUMIFS($H$1:$H$349,$AS$1:$AS$349,$AS354,$C$1:$C$349,$C354))</f>
      </c>
      <c r="S354">
        <f>IF($A354="","",SUMIFS($I$1:$I$349,$AS$1:$AS$349,$AS354,$C$1:$C$349,$C354))</f>
      </c>
      <c r="T354">
        <f>IF($A354="","",SUMIFS($G$1:$G$349,$AS$1:$AS$349,$AS354))</f>
      </c>
      <c r="U354">
        <f>IF($A354="","",SUMIFS($H$1:$H$349,$AS$1:$AS$349,$AS354))</f>
      </c>
      <c r="V354">
        <f>IF($A354="","",SUMIFS($I$1:$I$349,$AS$1:$AS$349,$AS354))</f>
      </c>
      <c r="W354">
        <f>IF($A354="","",Allocation!CD354)</f>
      </c>
      <c r="X354">
        <f>IF($A354="","",Allocation!CE354)</f>
      </c>
      <c r="Y354">
        <f>IF($A354="","",Allocation!CF354)</f>
      </c>
      <c r="Z354">
        <f>IF($A354="","",Allocation!CG354)</f>
      </c>
      <c r="AA354">
        <f>IF($A354="","",Allocation!CH354)</f>
      </c>
      <c r="AB354">
        <f>IF($A354="","",Allocation!CI354)</f>
      </c>
      <c r="AC354">
        <f>IF($A354="","",IF(Allocation!$N$4="VOL_EFF",$G354,IF(Allocation!$N$4="VOL_CLASS",$H354,$I354)))</f>
      </c>
      <c r="AD354">
        <f>IF($A354="","",IF(Allocation!$N$4="VOL_EFF",$L354,IF(Allocation!$N$4="VOL_CLASS",$M354,$N354)))</f>
      </c>
      <c r="AE354">
        <f>IF($A354="","",IF(Allocation!$N$3="VOL_EFF",$L354,IF(Allocation!$N$3="VOL_CLASS",$M354,$N354)))</f>
      </c>
      <c r="AF354">
        <f>IF($A354="","",IF(Allocation!$N$3="VOL_EFF",$Q354,IF(Allocation!$N$3="VOL_CLASS",$R354,$S354)))</f>
      </c>
      <c r="AG354">
        <f>IF($A354="","",IF(Allocation!$N$1="VOL_EFF",$Q354,IF(Allocation!$N$1="VOL_CLASS",$R354,$S354)))</f>
      </c>
      <c r="AH354">
        <f>IF($A354="","",IF(Allocation!$N$1="VOL_EFF",$T354,IF(Allocation!$N$1="VOL_CLASS",$U354,$V354)))</f>
      </c>
      <c r="AI354">
        <f>IF($A354="","",$W354*IFERROR($K354/$O354,0))</f>
      </c>
      <c r="AJ354">
        <f>IF($A354="","",$X354*IFERROR($K354/$O354,0))</f>
      </c>
      <c r="AK354">
        <f>IF($A354="","",$Y354*IFERROR($G354/$L354,0)+$Z354*IFERROR($J354/$P354,0))</f>
      </c>
      <c r="AL354">
        <f>IF($A354="","",$AA354*IFERROR($AC354/$AD354,0))</f>
      </c>
      <c r="AM354">
        <f>IF($A354="","",$AB354*IFERROR($AG354/$AH354,0)*IFERROR($AE354/$AF354,0)*IFERROR($AC354/$AD354,0))</f>
      </c>
      <c r="AN354">
        <f>IF($A354="","",$I354-($AI354+$AJ354+$AK354+$AL354+$AM354+$AR354))</f>
      </c>
      <c r="AO354">
        <f>IF($A354="","",Allocation!CJ354)</f>
      </c>
      <c r="AP354">
        <f>IF($A354="","",IF(Allocation!$N$2="VOL_EFF",$Q354,IF(Allocation!$N$2="VOL_CLASS",$R354,$S354)))</f>
      </c>
      <c r="AQ354">
        <f>IF($A354="","",IF(Allocation!$N$2="VOL_EFF",$T354,IF(Allocation!$N$2="VOL_CLASS",$U354,$V354)))</f>
      </c>
      <c r="AR354">
        <f>IF($A354="","",$AO354*IFERROR($AP354/$AQ354,0)*IFERROR($AE354/$AF354,0)*IFERROR($AC354/$AD354,0))</f>
      </c>
      <c r="AS354">
        <f>IF($A354="","",$A354&amp;"|"&amp;Allocation!BG354)</f>
      </c>
    </row>
    <row r="355" spans="1:45">
      <c r="A355">
        <f>IF(Allocation!BI355="","",Allocation!BI355)</f>
      </c>
      <c r="B355">
        <f>IF(Allocation!BJ355="","",Allocation!BJ355)</f>
      </c>
      <c r="C355">
        <f>IF(Allocation!BK355="","",Allocation!BK355)</f>
      </c>
      <c r="D355">
        <f>IF(Allocation!BL355="","",Allocation!BL355)</f>
      </c>
      <c r="E355">
        <f>IF(Allocation!BM355="","",Allocation!BM355)</f>
      </c>
      <c r="F355">
        <f>IF(Allocation!BN355="","",Allocation!BN355)</f>
      </c>
      <c r="G355">
        <f>IF(Allocation!BO355="","",Allocation!BO355)</f>
      </c>
      <c r="H355">
        <f>IF(Allocation!BP355="","",Allocation!BP355)</f>
      </c>
      <c r="I355">
        <f>IF(Allocation!BQ355="","",Allocation!BQ355)</f>
      </c>
      <c r="J355">
        <f>IF(Allocation!CC355="","",Allocation!CC355)</f>
      </c>
      <c r="K355">
        <f>IF($A355="","",$H355*IF(AND(LEFT($D355,3)="BAC",$F355="INIT"),600,IF(LEFT($D355,3)="BAC",480,IF(AND(LEFT($D355,3)="MAS",$F355="INIT"),520,IF(LEFT($D355,3)="MAS",420,IF($F355="INIT",1000,700))))))</f>
      </c>
      <c r="L355">
        <f>IF($A355="","",SUMIFS($G$1:$G$349,$AS$1:$AS$349,$AS355,$B$1:$B$349,$B355))</f>
      </c>
      <c r="M355">
        <f>IF($A355="","",SUMIFS($H$1:$H$349,$AS$1:$AS$349,$AS355,$B$1:$B$349,$B355))</f>
      </c>
      <c r="N355">
        <f>IF($A355="","",SUMIFS($I$1:$I$349,$AS$1:$AS$349,$AS355,$B$1:$B$349,$B355))</f>
      </c>
      <c r="O355">
        <f>IF($A355="","",SUMIFS($K$1:$K$349,$AS$1:$AS$349,$AS355,$B$1:$B$349,$B355))</f>
      </c>
      <c r="P355">
        <f>IF($A355="","",SUMIFS($J$1:$J$349,$AS$1:$AS$349,$AS355,$B$1:$B$349,$B355))</f>
      </c>
      <c r="Q355">
        <f>IF($A355="","",SUMIFS($G$1:$G$349,$AS$1:$AS$349,$AS355,$C$1:$C$349,$C355))</f>
      </c>
      <c r="R355">
        <f>IF($A355="","",SUMIFS($H$1:$H$349,$AS$1:$AS$349,$AS355,$C$1:$C$349,$C355))</f>
      </c>
      <c r="S355">
        <f>IF($A355="","",SUMIFS($I$1:$I$349,$AS$1:$AS$349,$AS355,$C$1:$C$349,$C355))</f>
      </c>
      <c r="T355">
        <f>IF($A355="","",SUMIFS($G$1:$G$349,$AS$1:$AS$349,$AS355))</f>
      </c>
      <c r="U355">
        <f>IF($A355="","",SUMIFS($H$1:$H$349,$AS$1:$AS$349,$AS355))</f>
      </c>
      <c r="V355">
        <f>IF($A355="","",SUMIFS($I$1:$I$349,$AS$1:$AS$349,$AS355))</f>
      </c>
      <c r="W355">
        <f>IF($A355="","",Allocation!CD355)</f>
      </c>
      <c r="X355">
        <f>IF($A355="","",Allocation!CE355)</f>
      </c>
      <c r="Y355">
        <f>IF($A355="","",Allocation!CF355)</f>
      </c>
      <c r="Z355">
        <f>IF($A355="","",Allocation!CG355)</f>
      </c>
      <c r="AA355">
        <f>IF($A355="","",Allocation!CH355)</f>
      </c>
      <c r="AB355">
        <f>IF($A355="","",Allocation!CI355)</f>
      </c>
      <c r="AC355">
        <f>IF($A355="","",IF(Allocation!$N$4="VOL_EFF",$G355,IF(Allocation!$N$4="VOL_CLASS",$H355,$I355)))</f>
      </c>
      <c r="AD355">
        <f>IF($A355="","",IF(Allocation!$N$4="VOL_EFF",$L355,IF(Allocation!$N$4="VOL_CLASS",$M355,$N355)))</f>
      </c>
      <c r="AE355">
        <f>IF($A355="","",IF(Allocation!$N$3="VOL_EFF",$L355,IF(Allocation!$N$3="VOL_CLASS",$M355,$N355)))</f>
      </c>
      <c r="AF355">
        <f>IF($A355="","",IF(Allocation!$N$3="VOL_EFF",$Q355,IF(Allocation!$N$3="VOL_CLASS",$R355,$S355)))</f>
      </c>
      <c r="AG355">
        <f>IF($A355="","",IF(Allocation!$N$1="VOL_EFF",$Q355,IF(Allocation!$N$1="VOL_CLASS",$R355,$S355)))</f>
      </c>
      <c r="AH355">
        <f>IF($A355="","",IF(Allocation!$N$1="VOL_EFF",$T355,IF(Allocation!$N$1="VOL_CLASS",$U355,$V355)))</f>
      </c>
      <c r="AI355">
        <f>IF($A355="","",$W355*IFERROR($K355/$O355,0))</f>
      </c>
      <c r="AJ355">
        <f>IF($A355="","",$X355*IFERROR($K355/$O355,0))</f>
      </c>
      <c r="AK355">
        <f>IF($A355="","",$Y355*IFERROR($G355/$L355,0)+$Z355*IFERROR($J355/$P355,0))</f>
      </c>
      <c r="AL355">
        <f>IF($A355="","",$AA355*IFERROR($AC355/$AD355,0))</f>
      </c>
      <c r="AM355">
        <f>IF($A355="","",$AB355*IFERROR($AG355/$AH355,0)*IFERROR($AE355/$AF355,0)*IFERROR($AC355/$AD355,0))</f>
      </c>
      <c r="AN355">
        <f>IF($A355="","",$I355-($AI355+$AJ355+$AK355+$AL355+$AM355+$AR355))</f>
      </c>
      <c r="AO355">
        <f>IF($A355="","",Allocation!CJ355)</f>
      </c>
      <c r="AP355">
        <f>IF($A355="","",IF(Allocation!$N$2="VOL_EFF",$Q355,IF(Allocation!$N$2="VOL_CLASS",$R355,$S355)))</f>
      </c>
      <c r="AQ355">
        <f>IF($A355="","",IF(Allocation!$N$2="VOL_EFF",$T355,IF(Allocation!$N$2="VOL_CLASS",$U355,$V355)))</f>
      </c>
      <c r="AR355">
        <f>IF($A355="","",$AO355*IFERROR($AP355/$AQ355,0)*IFERROR($AE355/$AF355,0)*IFERROR($AC355/$AD355,0))</f>
      </c>
      <c r="AS355">
        <f>IF($A355="","",$A355&amp;"|"&amp;Allocation!BG355)</f>
      </c>
    </row>
    <row r="356" spans="1:45">
      <c r="A356">
        <f>IF(Allocation!BI356="","",Allocation!BI356)</f>
      </c>
      <c r="B356">
        <f>IF(Allocation!BJ356="","",Allocation!BJ356)</f>
      </c>
      <c r="C356">
        <f>IF(Allocation!BK356="","",Allocation!BK356)</f>
      </c>
      <c r="D356">
        <f>IF(Allocation!BL356="","",Allocation!BL356)</f>
      </c>
      <c r="E356">
        <f>IF(Allocation!BM356="","",Allocation!BM356)</f>
      </c>
      <c r="F356">
        <f>IF(Allocation!BN356="","",Allocation!BN356)</f>
      </c>
      <c r="G356">
        <f>IF(Allocation!BO356="","",Allocation!BO356)</f>
      </c>
      <c r="H356">
        <f>IF(Allocation!BP356="","",Allocation!BP356)</f>
      </c>
      <c r="I356">
        <f>IF(Allocation!BQ356="","",Allocation!BQ356)</f>
      </c>
      <c r="J356">
        <f>IF(Allocation!CC356="","",Allocation!CC356)</f>
      </c>
      <c r="K356">
        <f>IF($A356="","",$H356*IF(AND(LEFT($D356,3)="BAC",$F356="INIT"),600,IF(LEFT($D356,3)="BAC",480,IF(AND(LEFT($D356,3)="MAS",$F356="INIT"),520,IF(LEFT($D356,3)="MAS",420,IF($F356="INIT",1000,700))))))</f>
      </c>
      <c r="L356">
        <f>IF($A356="","",SUMIFS($G$1:$G$349,$AS$1:$AS$349,$AS356,$B$1:$B$349,$B356))</f>
      </c>
      <c r="M356">
        <f>IF($A356="","",SUMIFS($H$1:$H$349,$AS$1:$AS$349,$AS356,$B$1:$B$349,$B356))</f>
      </c>
      <c r="N356">
        <f>IF($A356="","",SUMIFS($I$1:$I$349,$AS$1:$AS$349,$AS356,$B$1:$B$349,$B356))</f>
      </c>
      <c r="O356">
        <f>IF($A356="","",SUMIFS($K$1:$K$349,$AS$1:$AS$349,$AS356,$B$1:$B$349,$B356))</f>
      </c>
      <c r="P356">
        <f>IF($A356="","",SUMIFS($J$1:$J$349,$AS$1:$AS$349,$AS356,$B$1:$B$349,$B356))</f>
      </c>
      <c r="Q356">
        <f>IF($A356="","",SUMIFS($G$1:$G$349,$AS$1:$AS$349,$AS356,$C$1:$C$349,$C356))</f>
      </c>
      <c r="R356">
        <f>IF($A356="","",SUMIFS($H$1:$H$349,$AS$1:$AS$349,$AS356,$C$1:$C$349,$C356))</f>
      </c>
      <c r="S356">
        <f>IF($A356="","",SUMIFS($I$1:$I$349,$AS$1:$AS$349,$AS356,$C$1:$C$349,$C356))</f>
      </c>
      <c r="T356">
        <f>IF($A356="","",SUMIFS($G$1:$G$349,$AS$1:$AS$349,$AS356))</f>
      </c>
      <c r="U356">
        <f>IF($A356="","",SUMIFS($H$1:$H$349,$AS$1:$AS$349,$AS356))</f>
      </c>
      <c r="V356">
        <f>IF($A356="","",SUMIFS($I$1:$I$349,$AS$1:$AS$349,$AS356))</f>
      </c>
      <c r="W356">
        <f>IF($A356="","",Allocation!CD356)</f>
      </c>
      <c r="X356">
        <f>IF($A356="","",Allocation!CE356)</f>
      </c>
      <c r="Y356">
        <f>IF($A356="","",Allocation!CF356)</f>
      </c>
      <c r="Z356">
        <f>IF($A356="","",Allocation!CG356)</f>
      </c>
      <c r="AA356">
        <f>IF($A356="","",Allocation!CH356)</f>
      </c>
      <c r="AB356">
        <f>IF($A356="","",Allocation!CI356)</f>
      </c>
      <c r="AC356">
        <f>IF($A356="","",IF(Allocation!$N$4="VOL_EFF",$G356,IF(Allocation!$N$4="VOL_CLASS",$H356,$I356)))</f>
      </c>
      <c r="AD356">
        <f>IF($A356="","",IF(Allocation!$N$4="VOL_EFF",$L356,IF(Allocation!$N$4="VOL_CLASS",$M356,$N356)))</f>
      </c>
      <c r="AE356">
        <f>IF($A356="","",IF(Allocation!$N$3="VOL_EFF",$L356,IF(Allocation!$N$3="VOL_CLASS",$M356,$N356)))</f>
      </c>
      <c r="AF356">
        <f>IF($A356="","",IF(Allocation!$N$3="VOL_EFF",$Q356,IF(Allocation!$N$3="VOL_CLASS",$R356,$S356)))</f>
      </c>
      <c r="AG356">
        <f>IF($A356="","",IF(Allocation!$N$1="VOL_EFF",$Q356,IF(Allocation!$N$1="VOL_CLASS",$R356,$S356)))</f>
      </c>
      <c r="AH356">
        <f>IF($A356="","",IF(Allocation!$N$1="VOL_EFF",$T356,IF(Allocation!$N$1="VOL_CLASS",$U356,$V356)))</f>
      </c>
      <c r="AI356">
        <f>IF($A356="","",$W356*IFERROR($K356/$O356,0))</f>
      </c>
      <c r="AJ356">
        <f>IF($A356="","",$X356*IFERROR($K356/$O356,0))</f>
      </c>
      <c r="AK356">
        <f>IF($A356="","",$Y356*IFERROR($G356/$L356,0)+$Z356*IFERROR($J356/$P356,0))</f>
      </c>
      <c r="AL356">
        <f>IF($A356="","",$AA356*IFERROR($AC356/$AD356,0))</f>
      </c>
      <c r="AM356">
        <f>IF($A356="","",$AB356*IFERROR($AG356/$AH356,0)*IFERROR($AE356/$AF356,0)*IFERROR($AC356/$AD356,0))</f>
      </c>
      <c r="AN356">
        <f>IF($A356="","",$I356-($AI356+$AJ356+$AK356+$AL356+$AM356+$AR356))</f>
      </c>
      <c r="AO356">
        <f>IF($A356="","",Allocation!CJ356)</f>
      </c>
      <c r="AP356">
        <f>IF($A356="","",IF(Allocation!$N$2="VOL_EFF",$Q356,IF(Allocation!$N$2="VOL_CLASS",$R356,$S356)))</f>
      </c>
      <c r="AQ356">
        <f>IF($A356="","",IF(Allocation!$N$2="VOL_EFF",$T356,IF(Allocation!$N$2="VOL_CLASS",$U356,$V356)))</f>
      </c>
      <c r="AR356">
        <f>IF($A356="","",$AO356*IFERROR($AP356/$AQ356,0)*IFERROR($AE356/$AF356,0)*IFERROR($AC356/$AD356,0))</f>
      </c>
      <c r="AS356">
        <f>IF($A356="","",$A356&amp;"|"&amp;Allocation!BG356)</f>
      </c>
    </row>
    <row r="357" spans="1:45">
      <c r="A357">
        <f>IF(Allocation!BI357="","",Allocation!BI357)</f>
      </c>
      <c r="B357">
        <f>IF(Allocation!BJ357="","",Allocation!BJ357)</f>
      </c>
      <c r="C357">
        <f>IF(Allocation!BK357="","",Allocation!BK357)</f>
      </c>
      <c r="D357">
        <f>IF(Allocation!BL357="","",Allocation!BL357)</f>
      </c>
      <c r="E357">
        <f>IF(Allocation!BM357="","",Allocation!BM357)</f>
      </c>
      <c r="F357">
        <f>IF(Allocation!BN357="","",Allocation!BN357)</f>
      </c>
      <c r="G357">
        <f>IF(Allocation!BO357="","",Allocation!BO357)</f>
      </c>
      <c r="H357">
        <f>IF(Allocation!BP357="","",Allocation!BP357)</f>
      </c>
      <c r="I357">
        <f>IF(Allocation!BQ357="","",Allocation!BQ357)</f>
      </c>
      <c r="J357">
        <f>IF(Allocation!CC357="","",Allocation!CC357)</f>
      </c>
      <c r="K357">
        <f>IF($A357="","",$H357*IF(AND(LEFT($D357,3)="BAC",$F357="INIT"),600,IF(LEFT($D357,3)="BAC",480,IF(AND(LEFT($D357,3)="MAS",$F357="INIT"),520,IF(LEFT($D357,3)="MAS",420,IF($F357="INIT",1000,700))))))</f>
      </c>
      <c r="L357">
        <f>IF($A357="","",SUMIFS($G$1:$G$349,$AS$1:$AS$349,$AS357,$B$1:$B$349,$B357))</f>
      </c>
      <c r="M357">
        <f>IF($A357="","",SUMIFS($H$1:$H$349,$AS$1:$AS$349,$AS357,$B$1:$B$349,$B357))</f>
      </c>
      <c r="N357">
        <f>IF($A357="","",SUMIFS($I$1:$I$349,$AS$1:$AS$349,$AS357,$B$1:$B$349,$B357))</f>
      </c>
      <c r="O357">
        <f>IF($A357="","",SUMIFS($K$1:$K$349,$AS$1:$AS$349,$AS357,$B$1:$B$349,$B357))</f>
      </c>
      <c r="P357">
        <f>IF($A357="","",SUMIFS($J$1:$J$349,$AS$1:$AS$349,$AS357,$B$1:$B$349,$B357))</f>
      </c>
      <c r="Q357">
        <f>IF($A357="","",SUMIFS($G$1:$G$349,$AS$1:$AS$349,$AS357,$C$1:$C$349,$C357))</f>
      </c>
      <c r="R357">
        <f>IF($A357="","",SUMIFS($H$1:$H$349,$AS$1:$AS$349,$AS357,$C$1:$C$349,$C357))</f>
      </c>
      <c r="S357">
        <f>IF($A357="","",SUMIFS($I$1:$I$349,$AS$1:$AS$349,$AS357,$C$1:$C$349,$C357))</f>
      </c>
      <c r="T357">
        <f>IF($A357="","",SUMIFS($G$1:$G$349,$AS$1:$AS$349,$AS357))</f>
      </c>
      <c r="U357">
        <f>IF($A357="","",SUMIFS($H$1:$H$349,$AS$1:$AS$349,$AS357))</f>
      </c>
      <c r="V357">
        <f>IF($A357="","",SUMIFS($I$1:$I$349,$AS$1:$AS$349,$AS357))</f>
      </c>
      <c r="W357">
        <f>IF($A357="","",Allocation!CD357)</f>
      </c>
      <c r="X357">
        <f>IF($A357="","",Allocation!CE357)</f>
      </c>
      <c r="Y357">
        <f>IF($A357="","",Allocation!CF357)</f>
      </c>
      <c r="Z357">
        <f>IF($A357="","",Allocation!CG357)</f>
      </c>
      <c r="AA357">
        <f>IF($A357="","",Allocation!CH357)</f>
      </c>
      <c r="AB357">
        <f>IF($A357="","",Allocation!CI357)</f>
      </c>
      <c r="AC357">
        <f>IF($A357="","",IF(Allocation!$N$4="VOL_EFF",$G357,IF(Allocation!$N$4="VOL_CLASS",$H357,$I357)))</f>
      </c>
      <c r="AD357">
        <f>IF($A357="","",IF(Allocation!$N$4="VOL_EFF",$L357,IF(Allocation!$N$4="VOL_CLASS",$M357,$N357)))</f>
      </c>
      <c r="AE357">
        <f>IF($A357="","",IF(Allocation!$N$3="VOL_EFF",$L357,IF(Allocation!$N$3="VOL_CLASS",$M357,$N357)))</f>
      </c>
      <c r="AF357">
        <f>IF($A357="","",IF(Allocation!$N$3="VOL_EFF",$Q357,IF(Allocation!$N$3="VOL_CLASS",$R357,$S357)))</f>
      </c>
      <c r="AG357">
        <f>IF($A357="","",IF(Allocation!$N$1="VOL_EFF",$Q357,IF(Allocation!$N$1="VOL_CLASS",$R357,$S357)))</f>
      </c>
      <c r="AH357">
        <f>IF($A357="","",IF(Allocation!$N$1="VOL_EFF",$T357,IF(Allocation!$N$1="VOL_CLASS",$U357,$V357)))</f>
      </c>
      <c r="AI357">
        <f>IF($A357="","",$W357*IFERROR($K357/$O357,0))</f>
      </c>
      <c r="AJ357">
        <f>IF($A357="","",$X357*IFERROR($K357/$O357,0))</f>
      </c>
      <c r="AK357">
        <f>IF($A357="","",$Y357*IFERROR($G357/$L357,0)+$Z357*IFERROR($J357/$P357,0))</f>
      </c>
      <c r="AL357">
        <f>IF($A357="","",$AA357*IFERROR($AC357/$AD357,0))</f>
      </c>
      <c r="AM357">
        <f>IF($A357="","",$AB357*IFERROR($AG357/$AH357,0)*IFERROR($AE357/$AF357,0)*IFERROR($AC357/$AD357,0))</f>
      </c>
      <c r="AN357">
        <f>IF($A357="","",$I357-($AI357+$AJ357+$AK357+$AL357+$AM357+$AR357))</f>
      </c>
      <c r="AO357">
        <f>IF($A357="","",Allocation!CJ357)</f>
      </c>
      <c r="AP357">
        <f>IF($A357="","",IF(Allocation!$N$2="VOL_EFF",$Q357,IF(Allocation!$N$2="VOL_CLASS",$R357,$S357)))</f>
      </c>
      <c r="AQ357">
        <f>IF($A357="","",IF(Allocation!$N$2="VOL_EFF",$T357,IF(Allocation!$N$2="VOL_CLASS",$U357,$V357)))</f>
      </c>
      <c r="AR357">
        <f>IF($A357="","",$AO357*IFERROR($AP357/$AQ357,0)*IFERROR($AE357/$AF357,0)*IFERROR($AC357/$AD357,0))</f>
      </c>
      <c r="AS357">
        <f>IF($A357="","",$A357&amp;"|"&amp;Allocation!BG357)</f>
      </c>
    </row>
    <row r="358" spans="1:45">
      <c r="A358">
        <f>IF(Allocation!BI358="","",Allocation!BI358)</f>
      </c>
      <c r="B358">
        <f>IF(Allocation!BJ358="","",Allocation!BJ358)</f>
      </c>
      <c r="C358">
        <f>IF(Allocation!BK358="","",Allocation!BK358)</f>
      </c>
      <c r="D358">
        <f>IF(Allocation!BL358="","",Allocation!BL358)</f>
      </c>
      <c r="E358">
        <f>IF(Allocation!BM358="","",Allocation!BM358)</f>
      </c>
      <c r="F358">
        <f>IF(Allocation!BN358="","",Allocation!BN358)</f>
      </c>
      <c r="G358">
        <f>IF(Allocation!BO358="","",Allocation!BO358)</f>
      </c>
      <c r="H358">
        <f>IF(Allocation!BP358="","",Allocation!BP358)</f>
      </c>
      <c r="I358">
        <f>IF(Allocation!BQ358="","",Allocation!BQ358)</f>
      </c>
      <c r="J358">
        <f>IF(Allocation!CC358="","",Allocation!CC358)</f>
      </c>
      <c r="K358">
        <f>IF($A358="","",$H358*IF(AND(LEFT($D358,3)="BAC",$F358="INIT"),600,IF(LEFT($D358,3)="BAC",480,IF(AND(LEFT($D358,3)="MAS",$F358="INIT"),520,IF(LEFT($D358,3)="MAS",420,IF($F358="INIT",1000,700))))))</f>
      </c>
      <c r="L358">
        <f>IF($A358="","",SUMIFS($G$1:$G$349,$AS$1:$AS$349,$AS358,$B$1:$B$349,$B358))</f>
      </c>
      <c r="M358">
        <f>IF($A358="","",SUMIFS($H$1:$H$349,$AS$1:$AS$349,$AS358,$B$1:$B$349,$B358))</f>
      </c>
      <c r="N358">
        <f>IF($A358="","",SUMIFS($I$1:$I$349,$AS$1:$AS$349,$AS358,$B$1:$B$349,$B358))</f>
      </c>
      <c r="O358">
        <f>IF($A358="","",SUMIFS($K$1:$K$349,$AS$1:$AS$349,$AS358,$B$1:$B$349,$B358))</f>
      </c>
      <c r="P358">
        <f>IF($A358="","",SUMIFS($J$1:$J$349,$AS$1:$AS$349,$AS358,$B$1:$B$349,$B358))</f>
      </c>
      <c r="Q358">
        <f>IF($A358="","",SUMIFS($G$1:$G$349,$AS$1:$AS$349,$AS358,$C$1:$C$349,$C358))</f>
      </c>
      <c r="R358">
        <f>IF($A358="","",SUMIFS($H$1:$H$349,$AS$1:$AS$349,$AS358,$C$1:$C$349,$C358))</f>
      </c>
      <c r="S358">
        <f>IF($A358="","",SUMIFS($I$1:$I$349,$AS$1:$AS$349,$AS358,$C$1:$C$349,$C358))</f>
      </c>
      <c r="T358">
        <f>IF($A358="","",SUMIFS($G$1:$G$349,$AS$1:$AS$349,$AS358))</f>
      </c>
      <c r="U358">
        <f>IF($A358="","",SUMIFS($H$1:$H$349,$AS$1:$AS$349,$AS358))</f>
      </c>
      <c r="V358">
        <f>IF($A358="","",SUMIFS($I$1:$I$349,$AS$1:$AS$349,$AS358))</f>
      </c>
      <c r="W358">
        <f>IF($A358="","",Allocation!CD358)</f>
      </c>
      <c r="X358">
        <f>IF($A358="","",Allocation!CE358)</f>
      </c>
      <c r="Y358">
        <f>IF($A358="","",Allocation!CF358)</f>
      </c>
      <c r="Z358">
        <f>IF($A358="","",Allocation!CG358)</f>
      </c>
      <c r="AA358">
        <f>IF($A358="","",Allocation!CH358)</f>
      </c>
      <c r="AB358">
        <f>IF($A358="","",Allocation!CI358)</f>
      </c>
      <c r="AC358">
        <f>IF($A358="","",IF(Allocation!$N$4="VOL_EFF",$G358,IF(Allocation!$N$4="VOL_CLASS",$H358,$I358)))</f>
      </c>
      <c r="AD358">
        <f>IF($A358="","",IF(Allocation!$N$4="VOL_EFF",$L358,IF(Allocation!$N$4="VOL_CLASS",$M358,$N358)))</f>
      </c>
      <c r="AE358">
        <f>IF($A358="","",IF(Allocation!$N$3="VOL_EFF",$L358,IF(Allocation!$N$3="VOL_CLASS",$M358,$N358)))</f>
      </c>
      <c r="AF358">
        <f>IF($A358="","",IF(Allocation!$N$3="VOL_EFF",$Q358,IF(Allocation!$N$3="VOL_CLASS",$R358,$S358)))</f>
      </c>
      <c r="AG358">
        <f>IF($A358="","",IF(Allocation!$N$1="VOL_EFF",$Q358,IF(Allocation!$N$1="VOL_CLASS",$R358,$S358)))</f>
      </c>
      <c r="AH358">
        <f>IF($A358="","",IF(Allocation!$N$1="VOL_EFF",$T358,IF(Allocation!$N$1="VOL_CLASS",$U358,$V358)))</f>
      </c>
      <c r="AI358">
        <f>IF($A358="","",$W358*IFERROR($K358/$O358,0))</f>
      </c>
      <c r="AJ358">
        <f>IF($A358="","",$X358*IFERROR($K358/$O358,0))</f>
      </c>
      <c r="AK358">
        <f>IF($A358="","",$Y358*IFERROR($G358/$L358,0)+$Z358*IFERROR($J358/$P358,0))</f>
      </c>
      <c r="AL358">
        <f>IF($A358="","",$AA358*IFERROR($AC358/$AD358,0))</f>
      </c>
      <c r="AM358">
        <f>IF($A358="","",$AB358*IFERROR($AG358/$AH358,0)*IFERROR($AE358/$AF358,0)*IFERROR($AC358/$AD358,0))</f>
      </c>
      <c r="AN358">
        <f>IF($A358="","",$I358-($AI358+$AJ358+$AK358+$AL358+$AM358+$AR358))</f>
      </c>
      <c r="AO358">
        <f>IF($A358="","",Allocation!CJ358)</f>
      </c>
      <c r="AP358">
        <f>IF($A358="","",IF(Allocation!$N$2="VOL_EFF",$Q358,IF(Allocation!$N$2="VOL_CLASS",$R358,$S358)))</f>
      </c>
      <c r="AQ358">
        <f>IF($A358="","",IF(Allocation!$N$2="VOL_EFF",$T358,IF(Allocation!$N$2="VOL_CLASS",$U358,$V358)))</f>
      </c>
      <c r="AR358">
        <f>IF($A358="","",$AO358*IFERROR($AP358/$AQ358,0)*IFERROR($AE358/$AF358,0)*IFERROR($AC358/$AD358,0))</f>
      </c>
      <c r="AS358">
        <f>IF($A358="","",$A358&amp;"|"&amp;Allocation!BG358)</f>
      </c>
    </row>
    <row r="359" spans="1:45">
      <c r="A359">
        <f>IF(Allocation!BI359="","",Allocation!BI359)</f>
      </c>
      <c r="B359">
        <f>IF(Allocation!BJ359="","",Allocation!BJ359)</f>
      </c>
      <c r="C359">
        <f>IF(Allocation!BK359="","",Allocation!BK359)</f>
      </c>
      <c r="D359">
        <f>IF(Allocation!BL359="","",Allocation!BL359)</f>
      </c>
      <c r="E359">
        <f>IF(Allocation!BM359="","",Allocation!BM359)</f>
      </c>
      <c r="F359">
        <f>IF(Allocation!BN359="","",Allocation!BN359)</f>
      </c>
      <c r="G359">
        <f>IF(Allocation!BO359="","",Allocation!BO359)</f>
      </c>
      <c r="H359">
        <f>IF(Allocation!BP359="","",Allocation!BP359)</f>
      </c>
      <c r="I359">
        <f>IF(Allocation!BQ359="","",Allocation!BQ359)</f>
      </c>
      <c r="J359">
        <f>IF(Allocation!CC359="","",Allocation!CC359)</f>
      </c>
      <c r="K359">
        <f>IF($A359="","",$H359*IF(AND(LEFT($D359,3)="BAC",$F359="INIT"),600,IF(LEFT($D359,3)="BAC",480,IF(AND(LEFT($D359,3)="MAS",$F359="INIT"),520,IF(LEFT($D359,3)="MAS",420,IF($F359="INIT",1000,700))))))</f>
      </c>
      <c r="L359">
        <f>IF($A359="","",SUMIFS($G$1:$G$349,$AS$1:$AS$349,$AS359,$B$1:$B$349,$B359))</f>
      </c>
      <c r="M359">
        <f>IF($A359="","",SUMIFS($H$1:$H$349,$AS$1:$AS$349,$AS359,$B$1:$B$349,$B359))</f>
      </c>
      <c r="N359">
        <f>IF($A359="","",SUMIFS($I$1:$I$349,$AS$1:$AS$349,$AS359,$B$1:$B$349,$B359))</f>
      </c>
      <c r="O359">
        <f>IF($A359="","",SUMIFS($K$1:$K$349,$AS$1:$AS$349,$AS359,$B$1:$B$349,$B359))</f>
      </c>
      <c r="P359">
        <f>IF($A359="","",SUMIFS($J$1:$J$349,$AS$1:$AS$349,$AS359,$B$1:$B$349,$B359))</f>
      </c>
      <c r="Q359">
        <f>IF($A359="","",SUMIFS($G$1:$G$349,$AS$1:$AS$349,$AS359,$C$1:$C$349,$C359))</f>
      </c>
      <c r="R359">
        <f>IF($A359="","",SUMIFS($H$1:$H$349,$AS$1:$AS$349,$AS359,$C$1:$C$349,$C359))</f>
      </c>
      <c r="S359">
        <f>IF($A359="","",SUMIFS($I$1:$I$349,$AS$1:$AS$349,$AS359,$C$1:$C$349,$C359))</f>
      </c>
      <c r="T359">
        <f>IF($A359="","",SUMIFS($G$1:$G$349,$AS$1:$AS$349,$AS359))</f>
      </c>
      <c r="U359">
        <f>IF($A359="","",SUMIFS($H$1:$H$349,$AS$1:$AS$349,$AS359))</f>
      </c>
      <c r="V359">
        <f>IF($A359="","",SUMIFS($I$1:$I$349,$AS$1:$AS$349,$AS359))</f>
      </c>
      <c r="W359">
        <f>IF($A359="","",Allocation!CD359)</f>
      </c>
      <c r="X359">
        <f>IF($A359="","",Allocation!CE359)</f>
      </c>
      <c r="Y359">
        <f>IF($A359="","",Allocation!CF359)</f>
      </c>
      <c r="Z359">
        <f>IF($A359="","",Allocation!CG359)</f>
      </c>
      <c r="AA359">
        <f>IF($A359="","",Allocation!CH359)</f>
      </c>
      <c r="AB359">
        <f>IF($A359="","",Allocation!CI359)</f>
      </c>
      <c r="AC359">
        <f>IF($A359="","",IF(Allocation!$N$4="VOL_EFF",$G359,IF(Allocation!$N$4="VOL_CLASS",$H359,$I359)))</f>
      </c>
      <c r="AD359">
        <f>IF($A359="","",IF(Allocation!$N$4="VOL_EFF",$L359,IF(Allocation!$N$4="VOL_CLASS",$M359,$N359)))</f>
      </c>
      <c r="AE359">
        <f>IF($A359="","",IF(Allocation!$N$3="VOL_EFF",$L359,IF(Allocation!$N$3="VOL_CLASS",$M359,$N359)))</f>
      </c>
      <c r="AF359">
        <f>IF($A359="","",IF(Allocation!$N$3="VOL_EFF",$Q359,IF(Allocation!$N$3="VOL_CLASS",$R359,$S359)))</f>
      </c>
      <c r="AG359">
        <f>IF($A359="","",IF(Allocation!$N$1="VOL_EFF",$Q359,IF(Allocation!$N$1="VOL_CLASS",$R359,$S359)))</f>
      </c>
      <c r="AH359">
        <f>IF($A359="","",IF(Allocation!$N$1="VOL_EFF",$T359,IF(Allocation!$N$1="VOL_CLASS",$U359,$V359)))</f>
      </c>
      <c r="AI359">
        <f>IF($A359="","",$W359*IFERROR($K359/$O359,0))</f>
      </c>
      <c r="AJ359">
        <f>IF($A359="","",$X359*IFERROR($K359/$O359,0))</f>
      </c>
      <c r="AK359">
        <f>IF($A359="","",$Y359*IFERROR($G359/$L359,0)+$Z359*IFERROR($J359/$P359,0))</f>
      </c>
      <c r="AL359">
        <f>IF($A359="","",$AA359*IFERROR($AC359/$AD359,0))</f>
      </c>
      <c r="AM359">
        <f>IF($A359="","",$AB359*IFERROR($AG359/$AH359,0)*IFERROR($AE359/$AF359,0)*IFERROR($AC359/$AD359,0))</f>
      </c>
      <c r="AN359">
        <f>IF($A359="","",$I359-($AI359+$AJ359+$AK359+$AL359+$AM359+$AR359))</f>
      </c>
      <c r="AO359">
        <f>IF($A359="","",Allocation!CJ359)</f>
      </c>
      <c r="AP359">
        <f>IF($A359="","",IF(Allocation!$N$2="VOL_EFF",$Q359,IF(Allocation!$N$2="VOL_CLASS",$R359,$S359)))</f>
      </c>
      <c r="AQ359">
        <f>IF($A359="","",IF(Allocation!$N$2="VOL_EFF",$T359,IF(Allocation!$N$2="VOL_CLASS",$U359,$V359)))</f>
      </c>
      <c r="AR359">
        <f>IF($A359="","",$AO359*IFERROR($AP359/$AQ359,0)*IFERROR($AE359/$AF359,0)*IFERROR($AC359/$AD359,0))</f>
      </c>
      <c r="AS359">
        <f>IF($A359="","",$A359&amp;"|"&amp;Allocation!BG359)</f>
      </c>
    </row>
    <row r="360" spans="1:45">
      <c r="A360">
        <f>IF(Allocation!BI360="","",Allocation!BI360)</f>
      </c>
      <c r="B360">
        <f>IF(Allocation!BJ360="","",Allocation!BJ360)</f>
      </c>
      <c r="C360">
        <f>IF(Allocation!BK360="","",Allocation!BK360)</f>
      </c>
      <c r="D360">
        <f>IF(Allocation!BL360="","",Allocation!BL360)</f>
      </c>
      <c r="E360">
        <f>IF(Allocation!BM360="","",Allocation!BM360)</f>
      </c>
      <c r="F360">
        <f>IF(Allocation!BN360="","",Allocation!BN360)</f>
      </c>
      <c r="G360">
        <f>IF(Allocation!BO360="","",Allocation!BO360)</f>
      </c>
      <c r="H360">
        <f>IF(Allocation!BP360="","",Allocation!BP360)</f>
      </c>
      <c r="I360">
        <f>IF(Allocation!BQ360="","",Allocation!BQ360)</f>
      </c>
      <c r="J360">
        <f>IF(Allocation!CC360="","",Allocation!CC360)</f>
      </c>
      <c r="K360">
        <f>IF($A360="","",$H360*IF(AND(LEFT($D360,3)="BAC",$F360="INIT"),600,IF(LEFT($D360,3)="BAC",480,IF(AND(LEFT($D360,3)="MAS",$F360="INIT"),520,IF(LEFT($D360,3)="MAS",420,IF($F360="INIT",1000,700))))))</f>
      </c>
      <c r="L360">
        <f>IF($A360="","",SUMIFS($G$1:$G$349,$AS$1:$AS$349,$AS360,$B$1:$B$349,$B360))</f>
      </c>
      <c r="M360">
        <f>IF($A360="","",SUMIFS($H$1:$H$349,$AS$1:$AS$349,$AS360,$B$1:$B$349,$B360))</f>
      </c>
      <c r="N360">
        <f>IF($A360="","",SUMIFS($I$1:$I$349,$AS$1:$AS$349,$AS360,$B$1:$B$349,$B360))</f>
      </c>
      <c r="O360">
        <f>IF($A360="","",SUMIFS($K$1:$K$349,$AS$1:$AS$349,$AS360,$B$1:$B$349,$B360))</f>
      </c>
      <c r="P360">
        <f>IF($A360="","",SUMIFS($J$1:$J$349,$AS$1:$AS$349,$AS360,$B$1:$B$349,$B360))</f>
      </c>
      <c r="Q360">
        <f>IF($A360="","",SUMIFS($G$1:$G$349,$AS$1:$AS$349,$AS360,$C$1:$C$349,$C360))</f>
      </c>
      <c r="R360">
        <f>IF($A360="","",SUMIFS($H$1:$H$349,$AS$1:$AS$349,$AS360,$C$1:$C$349,$C360))</f>
      </c>
      <c r="S360">
        <f>IF($A360="","",SUMIFS($I$1:$I$349,$AS$1:$AS$349,$AS360,$C$1:$C$349,$C360))</f>
      </c>
      <c r="T360">
        <f>IF($A360="","",SUMIFS($G$1:$G$349,$AS$1:$AS$349,$AS360))</f>
      </c>
      <c r="U360">
        <f>IF($A360="","",SUMIFS($H$1:$H$349,$AS$1:$AS$349,$AS360))</f>
      </c>
      <c r="V360">
        <f>IF($A360="","",SUMIFS($I$1:$I$349,$AS$1:$AS$349,$AS360))</f>
      </c>
      <c r="W360">
        <f>IF($A360="","",Allocation!CD360)</f>
      </c>
      <c r="X360">
        <f>IF($A360="","",Allocation!CE360)</f>
      </c>
      <c r="Y360">
        <f>IF($A360="","",Allocation!CF360)</f>
      </c>
      <c r="Z360">
        <f>IF($A360="","",Allocation!CG360)</f>
      </c>
      <c r="AA360">
        <f>IF($A360="","",Allocation!CH360)</f>
      </c>
      <c r="AB360">
        <f>IF($A360="","",Allocation!CI360)</f>
      </c>
      <c r="AC360">
        <f>IF($A360="","",IF(Allocation!$N$4="VOL_EFF",$G360,IF(Allocation!$N$4="VOL_CLASS",$H360,$I360)))</f>
      </c>
      <c r="AD360">
        <f>IF($A360="","",IF(Allocation!$N$4="VOL_EFF",$L360,IF(Allocation!$N$4="VOL_CLASS",$M360,$N360)))</f>
      </c>
      <c r="AE360">
        <f>IF($A360="","",IF(Allocation!$N$3="VOL_EFF",$L360,IF(Allocation!$N$3="VOL_CLASS",$M360,$N360)))</f>
      </c>
      <c r="AF360">
        <f>IF($A360="","",IF(Allocation!$N$3="VOL_EFF",$Q360,IF(Allocation!$N$3="VOL_CLASS",$R360,$S360)))</f>
      </c>
      <c r="AG360">
        <f>IF($A360="","",IF(Allocation!$N$1="VOL_EFF",$Q360,IF(Allocation!$N$1="VOL_CLASS",$R360,$S360)))</f>
      </c>
      <c r="AH360">
        <f>IF($A360="","",IF(Allocation!$N$1="VOL_EFF",$T360,IF(Allocation!$N$1="VOL_CLASS",$U360,$V360)))</f>
      </c>
      <c r="AI360">
        <f>IF($A360="","",$W360*IFERROR($K360/$O360,0))</f>
      </c>
      <c r="AJ360">
        <f>IF($A360="","",$X360*IFERROR($K360/$O360,0))</f>
      </c>
      <c r="AK360">
        <f>IF($A360="","",$Y360*IFERROR($G360/$L360,0)+$Z360*IFERROR($J360/$P360,0))</f>
      </c>
      <c r="AL360">
        <f>IF($A360="","",$AA360*IFERROR($AC360/$AD360,0))</f>
      </c>
      <c r="AM360">
        <f>IF($A360="","",$AB360*IFERROR($AG360/$AH360,0)*IFERROR($AE360/$AF360,0)*IFERROR($AC360/$AD360,0))</f>
      </c>
      <c r="AN360">
        <f>IF($A360="","",$I360-($AI360+$AJ360+$AK360+$AL360+$AM360+$AR360))</f>
      </c>
      <c r="AO360">
        <f>IF($A360="","",Allocation!CJ360)</f>
      </c>
      <c r="AP360">
        <f>IF($A360="","",IF(Allocation!$N$2="VOL_EFF",$Q360,IF(Allocation!$N$2="VOL_CLASS",$R360,$S360)))</f>
      </c>
      <c r="AQ360">
        <f>IF($A360="","",IF(Allocation!$N$2="VOL_EFF",$T360,IF(Allocation!$N$2="VOL_CLASS",$U360,$V360)))</f>
      </c>
      <c r="AR360">
        <f>IF($A360="","",$AO360*IFERROR($AP360/$AQ360,0)*IFERROR($AE360/$AF360,0)*IFERROR($AC360/$AD360,0))</f>
      </c>
      <c r="AS360">
        <f>IF($A360="","",$A360&amp;"|"&amp;Allocation!BG360)</f>
      </c>
    </row>
    <row r="361" spans="1:45">
      <c r="A361">
        <f>IF(Allocation!BI361="","",Allocation!BI361)</f>
      </c>
      <c r="B361">
        <f>IF(Allocation!BJ361="","",Allocation!BJ361)</f>
      </c>
      <c r="C361">
        <f>IF(Allocation!BK361="","",Allocation!BK361)</f>
      </c>
      <c r="D361">
        <f>IF(Allocation!BL361="","",Allocation!BL361)</f>
      </c>
      <c r="E361">
        <f>IF(Allocation!BM361="","",Allocation!BM361)</f>
      </c>
      <c r="F361">
        <f>IF(Allocation!BN361="","",Allocation!BN361)</f>
      </c>
      <c r="G361">
        <f>IF(Allocation!BO361="","",Allocation!BO361)</f>
      </c>
      <c r="H361">
        <f>IF(Allocation!BP361="","",Allocation!BP361)</f>
      </c>
      <c r="I361">
        <f>IF(Allocation!BQ361="","",Allocation!BQ361)</f>
      </c>
      <c r="J361">
        <f>IF(Allocation!CC361="","",Allocation!CC361)</f>
      </c>
      <c r="K361">
        <f>IF($A361="","",$H361*IF(AND(LEFT($D361,3)="BAC",$F361="INIT"),600,IF(LEFT($D361,3)="BAC",480,IF(AND(LEFT($D361,3)="MAS",$F361="INIT"),520,IF(LEFT($D361,3)="MAS",420,IF($F361="INIT",1000,700))))))</f>
      </c>
      <c r="L361">
        <f>IF($A361="","",SUMIFS($G$1:$G$349,$AS$1:$AS$349,$AS361,$B$1:$B$349,$B361))</f>
      </c>
      <c r="M361">
        <f>IF($A361="","",SUMIFS($H$1:$H$349,$AS$1:$AS$349,$AS361,$B$1:$B$349,$B361))</f>
      </c>
      <c r="N361">
        <f>IF($A361="","",SUMIFS($I$1:$I$349,$AS$1:$AS$349,$AS361,$B$1:$B$349,$B361))</f>
      </c>
      <c r="O361">
        <f>IF($A361="","",SUMIFS($K$1:$K$349,$AS$1:$AS$349,$AS361,$B$1:$B$349,$B361))</f>
      </c>
      <c r="P361">
        <f>IF($A361="","",SUMIFS($J$1:$J$349,$AS$1:$AS$349,$AS361,$B$1:$B$349,$B361))</f>
      </c>
      <c r="Q361">
        <f>IF($A361="","",SUMIFS($G$1:$G$349,$AS$1:$AS$349,$AS361,$C$1:$C$349,$C361))</f>
      </c>
      <c r="R361">
        <f>IF($A361="","",SUMIFS($H$1:$H$349,$AS$1:$AS$349,$AS361,$C$1:$C$349,$C361))</f>
      </c>
      <c r="S361">
        <f>IF($A361="","",SUMIFS($I$1:$I$349,$AS$1:$AS$349,$AS361,$C$1:$C$349,$C361))</f>
      </c>
      <c r="T361">
        <f>IF($A361="","",SUMIFS($G$1:$G$349,$AS$1:$AS$349,$AS361))</f>
      </c>
      <c r="U361">
        <f>IF($A361="","",SUMIFS($H$1:$H$349,$AS$1:$AS$349,$AS361))</f>
      </c>
      <c r="V361">
        <f>IF($A361="","",SUMIFS($I$1:$I$349,$AS$1:$AS$349,$AS361))</f>
      </c>
      <c r="W361">
        <f>IF($A361="","",Allocation!CD361)</f>
      </c>
      <c r="X361">
        <f>IF($A361="","",Allocation!CE361)</f>
      </c>
      <c r="Y361">
        <f>IF($A361="","",Allocation!CF361)</f>
      </c>
      <c r="Z361">
        <f>IF($A361="","",Allocation!CG361)</f>
      </c>
      <c r="AA361">
        <f>IF($A361="","",Allocation!CH361)</f>
      </c>
      <c r="AB361">
        <f>IF($A361="","",Allocation!CI361)</f>
      </c>
      <c r="AC361">
        <f>IF($A361="","",IF(Allocation!$N$4="VOL_EFF",$G361,IF(Allocation!$N$4="VOL_CLASS",$H361,$I361)))</f>
      </c>
      <c r="AD361">
        <f>IF($A361="","",IF(Allocation!$N$4="VOL_EFF",$L361,IF(Allocation!$N$4="VOL_CLASS",$M361,$N361)))</f>
      </c>
      <c r="AE361">
        <f>IF($A361="","",IF(Allocation!$N$3="VOL_EFF",$L361,IF(Allocation!$N$3="VOL_CLASS",$M361,$N361)))</f>
      </c>
      <c r="AF361">
        <f>IF($A361="","",IF(Allocation!$N$3="VOL_EFF",$Q361,IF(Allocation!$N$3="VOL_CLASS",$R361,$S361)))</f>
      </c>
      <c r="AG361">
        <f>IF($A361="","",IF(Allocation!$N$1="VOL_EFF",$Q361,IF(Allocation!$N$1="VOL_CLASS",$R361,$S361)))</f>
      </c>
      <c r="AH361">
        <f>IF($A361="","",IF(Allocation!$N$1="VOL_EFF",$T361,IF(Allocation!$N$1="VOL_CLASS",$U361,$V361)))</f>
      </c>
      <c r="AI361">
        <f>IF($A361="","",$W361*IFERROR($K361/$O361,0))</f>
      </c>
      <c r="AJ361">
        <f>IF($A361="","",$X361*IFERROR($K361/$O361,0))</f>
      </c>
      <c r="AK361">
        <f>IF($A361="","",$Y361*IFERROR($G361/$L361,0)+$Z361*IFERROR($J361/$P361,0))</f>
      </c>
      <c r="AL361">
        <f>IF($A361="","",$AA361*IFERROR($AC361/$AD361,0))</f>
      </c>
      <c r="AM361">
        <f>IF($A361="","",$AB361*IFERROR($AG361/$AH361,0)*IFERROR($AE361/$AF361,0)*IFERROR($AC361/$AD361,0))</f>
      </c>
      <c r="AN361">
        <f>IF($A361="","",$I361-($AI361+$AJ361+$AK361+$AL361+$AM361+$AR361))</f>
      </c>
      <c r="AO361">
        <f>IF($A361="","",Allocation!CJ361)</f>
      </c>
      <c r="AP361">
        <f>IF($A361="","",IF(Allocation!$N$2="VOL_EFF",$Q361,IF(Allocation!$N$2="VOL_CLASS",$R361,$S361)))</f>
      </c>
      <c r="AQ361">
        <f>IF($A361="","",IF(Allocation!$N$2="VOL_EFF",$T361,IF(Allocation!$N$2="VOL_CLASS",$U361,$V361)))</f>
      </c>
      <c r="AR361">
        <f>IF($A361="","",$AO361*IFERROR($AP361/$AQ361,0)*IFERROR($AE361/$AF361,0)*IFERROR($AC361/$AD361,0))</f>
      </c>
      <c r="AS361">
        <f>IF($A361="","",$A361&amp;"|"&amp;Allocation!BG361)</f>
      </c>
    </row>
    <row r="362" spans="1:45">
      <c r="A362">
        <f>IF(Allocation!BI362="","",Allocation!BI362)</f>
      </c>
      <c r="B362">
        <f>IF(Allocation!BJ362="","",Allocation!BJ362)</f>
      </c>
      <c r="C362">
        <f>IF(Allocation!BK362="","",Allocation!BK362)</f>
      </c>
      <c r="D362">
        <f>IF(Allocation!BL362="","",Allocation!BL362)</f>
      </c>
      <c r="E362">
        <f>IF(Allocation!BM362="","",Allocation!BM362)</f>
      </c>
      <c r="F362">
        <f>IF(Allocation!BN362="","",Allocation!BN362)</f>
      </c>
      <c r="G362">
        <f>IF(Allocation!BO362="","",Allocation!BO362)</f>
      </c>
      <c r="H362">
        <f>IF(Allocation!BP362="","",Allocation!BP362)</f>
      </c>
      <c r="I362">
        <f>IF(Allocation!BQ362="","",Allocation!BQ362)</f>
      </c>
      <c r="J362">
        <f>IF(Allocation!CC362="","",Allocation!CC362)</f>
      </c>
      <c r="K362">
        <f>IF($A362="","",$H362*IF(AND(LEFT($D362,3)="BAC",$F362="INIT"),600,IF(LEFT($D362,3)="BAC",480,IF(AND(LEFT($D362,3)="MAS",$F362="INIT"),520,IF(LEFT($D362,3)="MAS",420,IF($F362="INIT",1000,700))))))</f>
      </c>
      <c r="L362">
        <f>IF($A362="","",SUMIFS($G$1:$G$349,$AS$1:$AS$349,$AS362,$B$1:$B$349,$B362))</f>
      </c>
      <c r="M362">
        <f>IF($A362="","",SUMIFS($H$1:$H$349,$AS$1:$AS$349,$AS362,$B$1:$B$349,$B362))</f>
      </c>
      <c r="N362">
        <f>IF($A362="","",SUMIFS($I$1:$I$349,$AS$1:$AS$349,$AS362,$B$1:$B$349,$B362))</f>
      </c>
      <c r="O362">
        <f>IF($A362="","",SUMIFS($K$1:$K$349,$AS$1:$AS$349,$AS362,$B$1:$B$349,$B362))</f>
      </c>
      <c r="P362">
        <f>IF($A362="","",SUMIFS($J$1:$J$349,$AS$1:$AS$349,$AS362,$B$1:$B$349,$B362))</f>
      </c>
      <c r="Q362">
        <f>IF($A362="","",SUMIFS($G$1:$G$349,$AS$1:$AS$349,$AS362,$C$1:$C$349,$C362))</f>
      </c>
      <c r="R362">
        <f>IF($A362="","",SUMIFS($H$1:$H$349,$AS$1:$AS$349,$AS362,$C$1:$C$349,$C362))</f>
      </c>
      <c r="S362">
        <f>IF($A362="","",SUMIFS($I$1:$I$349,$AS$1:$AS$349,$AS362,$C$1:$C$349,$C362))</f>
      </c>
      <c r="T362">
        <f>IF($A362="","",SUMIFS($G$1:$G$349,$AS$1:$AS$349,$AS362))</f>
      </c>
      <c r="U362">
        <f>IF($A362="","",SUMIFS($H$1:$H$349,$AS$1:$AS$349,$AS362))</f>
      </c>
      <c r="V362">
        <f>IF($A362="","",SUMIFS($I$1:$I$349,$AS$1:$AS$349,$AS362))</f>
      </c>
      <c r="W362">
        <f>IF($A362="","",Allocation!CD362)</f>
      </c>
      <c r="X362">
        <f>IF($A362="","",Allocation!CE362)</f>
      </c>
      <c r="Y362">
        <f>IF($A362="","",Allocation!CF362)</f>
      </c>
      <c r="Z362">
        <f>IF($A362="","",Allocation!CG362)</f>
      </c>
      <c r="AA362">
        <f>IF($A362="","",Allocation!CH362)</f>
      </c>
      <c r="AB362">
        <f>IF($A362="","",Allocation!CI362)</f>
      </c>
      <c r="AC362">
        <f>IF($A362="","",IF(Allocation!$N$4="VOL_EFF",$G362,IF(Allocation!$N$4="VOL_CLASS",$H362,$I362)))</f>
      </c>
      <c r="AD362">
        <f>IF($A362="","",IF(Allocation!$N$4="VOL_EFF",$L362,IF(Allocation!$N$4="VOL_CLASS",$M362,$N362)))</f>
      </c>
      <c r="AE362">
        <f>IF($A362="","",IF(Allocation!$N$3="VOL_EFF",$L362,IF(Allocation!$N$3="VOL_CLASS",$M362,$N362)))</f>
      </c>
      <c r="AF362">
        <f>IF($A362="","",IF(Allocation!$N$3="VOL_EFF",$Q362,IF(Allocation!$N$3="VOL_CLASS",$R362,$S362)))</f>
      </c>
      <c r="AG362">
        <f>IF($A362="","",IF(Allocation!$N$1="VOL_EFF",$Q362,IF(Allocation!$N$1="VOL_CLASS",$R362,$S362)))</f>
      </c>
      <c r="AH362">
        <f>IF($A362="","",IF(Allocation!$N$1="VOL_EFF",$T362,IF(Allocation!$N$1="VOL_CLASS",$U362,$V362)))</f>
      </c>
      <c r="AI362">
        <f>IF($A362="","",$W362*IFERROR($K362/$O362,0))</f>
      </c>
      <c r="AJ362">
        <f>IF($A362="","",$X362*IFERROR($K362/$O362,0))</f>
      </c>
      <c r="AK362">
        <f>IF($A362="","",$Y362*IFERROR($G362/$L362,0)+$Z362*IFERROR($J362/$P362,0))</f>
      </c>
      <c r="AL362">
        <f>IF($A362="","",$AA362*IFERROR($AC362/$AD362,0))</f>
      </c>
      <c r="AM362">
        <f>IF($A362="","",$AB362*IFERROR($AG362/$AH362,0)*IFERROR($AE362/$AF362,0)*IFERROR($AC362/$AD362,0))</f>
      </c>
      <c r="AN362">
        <f>IF($A362="","",$I362-($AI362+$AJ362+$AK362+$AL362+$AM362+$AR362))</f>
      </c>
      <c r="AO362">
        <f>IF($A362="","",Allocation!CJ362)</f>
      </c>
      <c r="AP362">
        <f>IF($A362="","",IF(Allocation!$N$2="VOL_EFF",$Q362,IF(Allocation!$N$2="VOL_CLASS",$R362,$S362)))</f>
      </c>
      <c r="AQ362">
        <f>IF($A362="","",IF(Allocation!$N$2="VOL_EFF",$T362,IF(Allocation!$N$2="VOL_CLASS",$U362,$V362)))</f>
      </c>
      <c r="AR362">
        <f>IF($A362="","",$AO362*IFERROR($AP362/$AQ362,0)*IFERROR($AE362/$AF362,0)*IFERROR($AC362/$AD362,0))</f>
      </c>
      <c r="AS362">
        <f>IF($A362="","",$A362&amp;"|"&amp;Allocation!BG362)</f>
      </c>
    </row>
    <row r="363" spans="1:45">
      <c r="A363">
        <f>IF(Allocation!BI363="","",Allocation!BI363)</f>
      </c>
      <c r="B363">
        <f>IF(Allocation!BJ363="","",Allocation!BJ363)</f>
      </c>
      <c r="C363">
        <f>IF(Allocation!BK363="","",Allocation!BK363)</f>
      </c>
      <c r="D363">
        <f>IF(Allocation!BL363="","",Allocation!BL363)</f>
      </c>
      <c r="E363">
        <f>IF(Allocation!BM363="","",Allocation!BM363)</f>
      </c>
      <c r="F363">
        <f>IF(Allocation!BN363="","",Allocation!BN363)</f>
      </c>
      <c r="G363">
        <f>IF(Allocation!BO363="","",Allocation!BO363)</f>
      </c>
      <c r="H363">
        <f>IF(Allocation!BP363="","",Allocation!BP363)</f>
      </c>
      <c r="I363">
        <f>IF(Allocation!BQ363="","",Allocation!BQ363)</f>
      </c>
      <c r="J363">
        <f>IF(Allocation!CC363="","",Allocation!CC363)</f>
      </c>
      <c r="K363">
        <f>IF($A363="","",$H363*IF(AND(LEFT($D363,3)="BAC",$F363="INIT"),600,IF(LEFT($D363,3)="BAC",480,IF(AND(LEFT($D363,3)="MAS",$F363="INIT"),520,IF(LEFT($D363,3)="MAS",420,IF($F363="INIT",1000,700))))))</f>
      </c>
      <c r="L363">
        <f>IF($A363="","",SUMIFS($G$1:$G$349,$AS$1:$AS$349,$AS363,$B$1:$B$349,$B363))</f>
      </c>
      <c r="M363">
        <f>IF($A363="","",SUMIFS($H$1:$H$349,$AS$1:$AS$349,$AS363,$B$1:$B$349,$B363))</f>
      </c>
      <c r="N363">
        <f>IF($A363="","",SUMIFS($I$1:$I$349,$AS$1:$AS$349,$AS363,$B$1:$B$349,$B363))</f>
      </c>
      <c r="O363">
        <f>IF($A363="","",SUMIFS($K$1:$K$349,$AS$1:$AS$349,$AS363,$B$1:$B$349,$B363))</f>
      </c>
      <c r="P363">
        <f>IF($A363="","",SUMIFS($J$1:$J$349,$AS$1:$AS$349,$AS363,$B$1:$B$349,$B363))</f>
      </c>
      <c r="Q363">
        <f>IF($A363="","",SUMIFS($G$1:$G$349,$AS$1:$AS$349,$AS363,$C$1:$C$349,$C363))</f>
      </c>
      <c r="R363">
        <f>IF($A363="","",SUMIFS($H$1:$H$349,$AS$1:$AS$349,$AS363,$C$1:$C$349,$C363))</f>
      </c>
      <c r="S363">
        <f>IF($A363="","",SUMIFS($I$1:$I$349,$AS$1:$AS$349,$AS363,$C$1:$C$349,$C363))</f>
      </c>
      <c r="T363">
        <f>IF($A363="","",SUMIFS($G$1:$G$349,$AS$1:$AS$349,$AS363))</f>
      </c>
      <c r="U363">
        <f>IF($A363="","",SUMIFS($H$1:$H$349,$AS$1:$AS$349,$AS363))</f>
      </c>
      <c r="V363">
        <f>IF($A363="","",SUMIFS($I$1:$I$349,$AS$1:$AS$349,$AS363))</f>
      </c>
      <c r="W363">
        <f>IF($A363="","",Allocation!CD363)</f>
      </c>
      <c r="X363">
        <f>IF($A363="","",Allocation!CE363)</f>
      </c>
      <c r="Y363">
        <f>IF($A363="","",Allocation!CF363)</f>
      </c>
      <c r="Z363">
        <f>IF($A363="","",Allocation!CG363)</f>
      </c>
      <c r="AA363">
        <f>IF($A363="","",Allocation!CH363)</f>
      </c>
      <c r="AB363">
        <f>IF($A363="","",Allocation!CI363)</f>
      </c>
      <c r="AC363">
        <f>IF($A363="","",IF(Allocation!$N$4="VOL_EFF",$G363,IF(Allocation!$N$4="VOL_CLASS",$H363,$I363)))</f>
      </c>
      <c r="AD363">
        <f>IF($A363="","",IF(Allocation!$N$4="VOL_EFF",$L363,IF(Allocation!$N$4="VOL_CLASS",$M363,$N363)))</f>
      </c>
      <c r="AE363">
        <f>IF($A363="","",IF(Allocation!$N$3="VOL_EFF",$L363,IF(Allocation!$N$3="VOL_CLASS",$M363,$N363)))</f>
      </c>
      <c r="AF363">
        <f>IF($A363="","",IF(Allocation!$N$3="VOL_EFF",$Q363,IF(Allocation!$N$3="VOL_CLASS",$R363,$S363)))</f>
      </c>
      <c r="AG363">
        <f>IF($A363="","",IF(Allocation!$N$1="VOL_EFF",$Q363,IF(Allocation!$N$1="VOL_CLASS",$R363,$S363)))</f>
      </c>
      <c r="AH363">
        <f>IF($A363="","",IF(Allocation!$N$1="VOL_EFF",$T363,IF(Allocation!$N$1="VOL_CLASS",$U363,$V363)))</f>
      </c>
      <c r="AI363">
        <f>IF($A363="","",$W363*IFERROR($K363/$O363,0))</f>
      </c>
      <c r="AJ363">
        <f>IF($A363="","",$X363*IFERROR($K363/$O363,0))</f>
      </c>
      <c r="AK363">
        <f>IF($A363="","",$Y363*IFERROR($G363/$L363,0)+$Z363*IFERROR($J363/$P363,0))</f>
      </c>
      <c r="AL363">
        <f>IF($A363="","",$AA363*IFERROR($AC363/$AD363,0))</f>
      </c>
      <c r="AM363">
        <f>IF($A363="","",$AB363*IFERROR($AG363/$AH363,0)*IFERROR($AE363/$AF363,0)*IFERROR($AC363/$AD363,0))</f>
      </c>
      <c r="AN363">
        <f>IF($A363="","",$I363-($AI363+$AJ363+$AK363+$AL363+$AM363+$AR363))</f>
      </c>
      <c r="AO363">
        <f>IF($A363="","",Allocation!CJ363)</f>
      </c>
      <c r="AP363">
        <f>IF($A363="","",IF(Allocation!$N$2="VOL_EFF",$Q363,IF(Allocation!$N$2="VOL_CLASS",$R363,$S363)))</f>
      </c>
      <c r="AQ363">
        <f>IF($A363="","",IF(Allocation!$N$2="VOL_EFF",$T363,IF(Allocation!$N$2="VOL_CLASS",$U363,$V363)))</f>
      </c>
      <c r="AR363">
        <f>IF($A363="","",$AO363*IFERROR($AP363/$AQ363,0)*IFERROR($AE363/$AF363,0)*IFERROR($AC363/$AD363,0))</f>
      </c>
      <c r="AS363">
        <f>IF($A363="","",$A363&amp;"|"&amp;Allocation!BG363)</f>
      </c>
    </row>
    <row r="364" spans="1:45">
      <c r="A364">
        <f>IF(Allocation!BI364="","",Allocation!BI364)</f>
      </c>
      <c r="B364">
        <f>IF(Allocation!BJ364="","",Allocation!BJ364)</f>
      </c>
      <c r="C364">
        <f>IF(Allocation!BK364="","",Allocation!BK364)</f>
      </c>
      <c r="D364">
        <f>IF(Allocation!BL364="","",Allocation!BL364)</f>
      </c>
      <c r="E364">
        <f>IF(Allocation!BM364="","",Allocation!BM364)</f>
      </c>
      <c r="F364">
        <f>IF(Allocation!BN364="","",Allocation!BN364)</f>
      </c>
      <c r="G364">
        <f>IF(Allocation!BO364="","",Allocation!BO364)</f>
      </c>
      <c r="H364">
        <f>IF(Allocation!BP364="","",Allocation!BP364)</f>
      </c>
      <c r="I364">
        <f>IF(Allocation!BQ364="","",Allocation!BQ364)</f>
      </c>
      <c r="J364">
        <f>IF(Allocation!CC364="","",Allocation!CC364)</f>
      </c>
      <c r="K364">
        <f>IF($A364="","",$H364*IF(AND(LEFT($D364,3)="BAC",$F364="INIT"),600,IF(LEFT($D364,3)="BAC",480,IF(AND(LEFT($D364,3)="MAS",$F364="INIT"),520,IF(LEFT($D364,3)="MAS",420,IF($F364="INIT",1000,700))))))</f>
      </c>
      <c r="L364">
        <f>IF($A364="","",SUMIFS($G$1:$G$349,$AS$1:$AS$349,$AS364,$B$1:$B$349,$B364))</f>
      </c>
      <c r="M364">
        <f>IF($A364="","",SUMIFS($H$1:$H$349,$AS$1:$AS$349,$AS364,$B$1:$B$349,$B364))</f>
      </c>
      <c r="N364">
        <f>IF($A364="","",SUMIFS($I$1:$I$349,$AS$1:$AS$349,$AS364,$B$1:$B$349,$B364))</f>
      </c>
      <c r="O364">
        <f>IF($A364="","",SUMIFS($K$1:$K$349,$AS$1:$AS$349,$AS364,$B$1:$B$349,$B364))</f>
      </c>
      <c r="P364">
        <f>IF($A364="","",SUMIFS($J$1:$J$349,$AS$1:$AS$349,$AS364,$B$1:$B$349,$B364))</f>
      </c>
      <c r="Q364">
        <f>IF($A364="","",SUMIFS($G$1:$G$349,$AS$1:$AS$349,$AS364,$C$1:$C$349,$C364))</f>
      </c>
      <c r="R364">
        <f>IF($A364="","",SUMIFS($H$1:$H$349,$AS$1:$AS$349,$AS364,$C$1:$C$349,$C364))</f>
      </c>
      <c r="S364">
        <f>IF($A364="","",SUMIFS($I$1:$I$349,$AS$1:$AS$349,$AS364,$C$1:$C$349,$C364))</f>
      </c>
      <c r="T364">
        <f>IF($A364="","",SUMIFS($G$1:$G$349,$AS$1:$AS$349,$AS364))</f>
      </c>
      <c r="U364">
        <f>IF($A364="","",SUMIFS($H$1:$H$349,$AS$1:$AS$349,$AS364))</f>
      </c>
      <c r="V364">
        <f>IF($A364="","",SUMIFS($I$1:$I$349,$AS$1:$AS$349,$AS364))</f>
      </c>
      <c r="W364">
        <f>IF($A364="","",Allocation!CD364)</f>
      </c>
      <c r="X364">
        <f>IF($A364="","",Allocation!CE364)</f>
      </c>
      <c r="Y364">
        <f>IF($A364="","",Allocation!CF364)</f>
      </c>
      <c r="Z364">
        <f>IF($A364="","",Allocation!CG364)</f>
      </c>
      <c r="AA364">
        <f>IF($A364="","",Allocation!CH364)</f>
      </c>
      <c r="AB364">
        <f>IF($A364="","",Allocation!CI364)</f>
      </c>
      <c r="AC364">
        <f>IF($A364="","",IF(Allocation!$N$4="VOL_EFF",$G364,IF(Allocation!$N$4="VOL_CLASS",$H364,$I364)))</f>
      </c>
      <c r="AD364">
        <f>IF($A364="","",IF(Allocation!$N$4="VOL_EFF",$L364,IF(Allocation!$N$4="VOL_CLASS",$M364,$N364)))</f>
      </c>
      <c r="AE364">
        <f>IF($A364="","",IF(Allocation!$N$3="VOL_EFF",$L364,IF(Allocation!$N$3="VOL_CLASS",$M364,$N364)))</f>
      </c>
      <c r="AF364">
        <f>IF($A364="","",IF(Allocation!$N$3="VOL_EFF",$Q364,IF(Allocation!$N$3="VOL_CLASS",$R364,$S364)))</f>
      </c>
      <c r="AG364">
        <f>IF($A364="","",IF(Allocation!$N$1="VOL_EFF",$Q364,IF(Allocation!$N$1="VOL_CLASS",$R364,$S364)))</f>
      </c>
      <c r="AH364">
        <f>IF($A364="","",IF(Allocation!$N$1="VOL_EFF",$T364,IF(Allocation!$N$1="VOL_CLASS",$U364,$V364)))</f>
      </c>
      <c r="AI364">
        <f>IF($A364="","",$W364*IFERROR($K364/$O364,0))</f>
      </c>
      <c r="AJ364">
        <f>IF($A364="","",$X364*IFERROR($K364/$O364,0))</f>
      </c>
      <c r="AK364">
        <f>IF($A364="","",$Y364*IFERROR($G364/$L364,0)+$Z364*IFERROR($J364/$P364,0))</f>
      </c>
      <c r="AL364">
        <f>IF($A364="","",$AA364*IFERROR($AC364/$AD364,0))</f>
      </c>
      <c r="AM364">
        <f>IF($A364="","",$AB364*IFERROR($AG364/$AH364,0)*IFERROR($AE364/$AF364,0)*IFERROR($AC364/$AD364,0))</f>
      </c>
      <c r="AN364">
        <f>IF($A364="","",$I364-($AI364+$AJ364+$AK364+$AL364+$AM364+$AR364))</f>
      </c>
      <c r="AO364">
        <f>IF($A364="","",Allocation!CJ364)</f>
      </c>
      <c r="AP364">
        <f>IF($A364="","",IF(Allocation!$N$2="VOL_EFF",$Q364,IF(Allocation!$N$2="VOL_CLASS",$R364,$S364)))</f>
      </c>
      <c r="AQ364">
        <f>IF($A364="","",IF(Allocation!$N$2="VOL_EFF",$T364,IF(Allocation!$N$2="VOL_CLASS",$U364,$V364)))</f>
      </c>
      <c r="AR364">
        <f>IF($A364="","",$AO364*IFERROR($AP364/$AQ364,0)*IFERROR($AE364/$AF364,0)*IFERROR($AC364/$AD364,0))</f>
      </c>
      <c r="AS364">
        <f>IF($A364="","",$A364&amp;"|"&amp;Allocation!BG364)</f>
      </c>
    </row>
    <row r="365" spans="1:45">
      <c r="A365">
        <f>IF(Allocation!BI365="","",Allocation!BI365)</f>
      </c>
      <c r="B365">
        <f>IF(Allocation!BJ365="","",Allocation!BJ365)</f>
      </c>
      <c r="C365">
        <f>IF(Allocation!BK365="","",Allocation!BK365)</f>
      </c>
      <c r="D365">
        <f>IF(Allocation!BL365="","",Allocation!BL365)</f>
      </c>
      <c r="E365">
        <f>IF(Allocation!BM365="","",Allocation!BM365)</f>
      </c>
      <c r="F365">
        <f>IF(Allocation!BN365="","",Allocation!BN365)</f>
      </c>
      <c r="G365">
        <f>IF(Allocation!BO365="","",Allocation!BO365)</f>
      </c>
      <c r="H365">
        <f>IF(Allocation!BP365="","",Allocation!BP365)</f>
      </c>
      <c r="I365">
        <f>IF(Allocation!BQ365="","",Allocation!BQ365)</f>
      </c>
      <c r="J365">
        <f>IF(Allocation!CC365="","",Allocation!CC365)</f>
      </c>
      <c r="K365">
        <f>IF($A365="","",$H365*IF(AND(LEFT($D365,3)="BAC",$F365="INIT"),600,IF(LEFT($D365,3)="BAC",480,IF(AND(LEFT($D365,3)="MAS",$F365="INIT"),520,IF(LEFT($D365,3)="MAS",420,IF($F365="INIT",1000,700))))))</f>
      </c>
      <c r="L365">
        <f>IF($A365="","",SUMIFS($G$1:$G$349,$AS$1:$AS$349,$AS365,$B$1:$B$349,$B365))</f>
      </c>
      <c r="M365">
        <f>IF($A365="","",SUMIFS($H$1:$H$349,$AS$1:$AS$349,$AS365,$B$1:$B$349,$B365))</f>
      </c>
      <c r="N365">
        <f>IF($A365="","",SUMIFS($I$1:$I$349,$AS$1:$AS$349,$AS365,$B$1:$B$349,$B365))</f>
      </c>
      <c r="O365">
        <f>IF($A365="","",SUMIFS($K$1:$K$349,$AS$1:$AS$349,$AS365,$B$1:$B$349,$B365))</f>
      </c>
      <c r="P365">
        <f>IF($A365="","",SUMIFS($J$1:$J$349,$AS$1:$AS$349,$AS365,$B$1:$B$349,$B365))</f>
      </c>
      <c r="Q365">
        <f>IF($A365="","",SUMIFS($G$1:$G$349,$AS$1:$AS$349,$AS365,$C$1:$C$349,$C365))</f>
      </c>
      <c r="R365">
        <f>IF($A365="","",SUMIFS($H$1:$H$349,$AS$1:$AS$349,$AS365,$C$1:$C$349,$C365))</f>
      </c>
      <c r="S365">
        <f>IF($A365="","",SUMIFS($I$1:$I$349,$AS$1:$AS$349,$AS365,$C$1:$C$349,$C365))</f>
      </c>
      <c r="T365">
        <f>IF($A365="","",SUMIFS($G$1:$G$349,$AS$1:$AS$349,$AS365))</f>
      </c>
      <c r="U365">
        <f>IF($A365="","",SUMIFS($H$1:$H$349,$AS$1:$AS$349,$AS365))</f>
      </c>
      <c r="V365">
        <f>IF($A365="","",SUMIFS($I$1:$I$349,$AS$1:$AS$349,$AS365))</f>
      </c>
      <c r="W365">
        <f>IF($A365="","",Allocation!CD365)</f>
      </c>
      <c r="X365">
        <f>IF($A365="","",Allocation!CE365)</f>
      </c>
      <c r="Y365">
        <f>IF($A365="","",Allocation!CF365)</f>
      </c>
      <c r="Z365">
        <f>IF($A365="","",Allocation!CG365)</f>
      </c>
      <c r="AA365">
        <f>IF($A365="","",Allocation!CH365)</f>
      </c>
      <c r="AB365">
        <f>IF($A365="","",Allocation!CI365)</f>
      </c>
      <c r="AC365">
        <f>IF($A365="","",IF(Allocation!$N$4="VOL_EFF",$G365,IF(Allocation!$N$4="VOL_CLASS",$H365,$I365)))</f>
      </c>
      <c r="AD365">
        <f>IF($A365="","",IF(Allocation!$N$4="VOL_EFF",$L365,IF(Allocation!$N$4="VOL_CLASS",$M365,$N365)))</f>
      </c>
      <c r="AE365">
        <f>IF($A365="","",IF(Allocation!$N$3="VOL_EFF",$L365,IF(Allocation!$N$3="VOL_CLASS",$M365,$N365)))</f>
      </c>
      <c r="AF365">
        <f>IF($A365="","",IF(Allocation!$N$3="VOL_EFF",$Q365,IF(Allocation!$N$3="VOL_CLASS",$R365,$S365)))</f>
      </c>
      <c r="AG365">
        <f>IF($A365="","",IF(Allocation!$N$1="VOL_EFF",$Q365,IF(Allocation!$N$1="VOL_CLASS",$R365,$S365)))</f>
      </c>
      <c r="AH365">
        <f>IF($A365="","",IF(Allocation!$N$1="VOL_EFF",$T365,IF(Allocation!$N$1="VOL_CLASS",$U365,$V365)))</f>
      </c>
      <c r="AI365">
        <f>IF($A365="","",$W365*IFERROR($K365/$O365,0))</f>
      </c>
      <c r="AJ365">
        <f>IF($A365="","",$X365*IFERROR($K365/$O365,0))</f>
      </c>
      <c r="AK365">
        <f>IF($A365="","",$Y365*IFERROR($G365/$L365,0)+$Z365*IFERROR($J365/$P365,0))</f>
      </c>
      <c r="AL365">
        <f>IF($A365="","",$AA365*IFERROR($AC365/$AD365,0))</f>
      </c>
      <c r="AM365">
        <f>IF($A365="","",$AB365*IFERROR($AG365/$AH365,0)*IFERROR($AE365/$AF365,0)*IFERROR($AC365/$AD365,0))</f>
      </c>
      <c r="AN365">
        <f>IF($A365="","",$I365-($AI365+$AJ365+$AK365+$AL365+$AM365+$AR365))</f>
      </c>
      <c r="AO365">
        <f>IF($A365="","",Allocation!CJ365)</f>
      </c>
      <c r="AP365">
        <f>IF($A365="","",IF(Allocation!$N$2="VOL_EFF",$Q365,IF(Allocation!$N$2="VOL_CLASS",$R365,$S365)))</f>
      </c>
      <c r="AQ365">
        <f>IF($A365="","",IF(Allocation!$N$2="VOL_EFF",$T365,IF(Allocation!$N$2="VOL_CLASS",$U365,$V365)))</f>
      </c>
      <c r="AR365">
        <f>IF($A365="","",$AO365*IFERROR($AP365/$AQ365,0)*IFERROR($AE365/$AF365,0)*IFERROR($AC365/$AD365,0))</f>
      </c>
      <c r="AS365">
        <f>IF($A365="","",$A365&amp;"|"&amp;Allocation!BG365)</f>
      </c>
    </row>
    <row r="366" spans="1:45">
      <c r="A366">
        <f>IF(Allocation!BI366="","",Allocation!BI366)</f>
      </c>
      <c r="B366">
        <f>IF(Allocation!BJ366="","",Allocation!BJ366)</f>
      </c>
      <c r="C366">
        <f>IF(Allocation!BK366="","",Allocation!BK366)</f>
      </c>
      <c r="D366">
        <f>IF(Allocation!BL366="","",Allocation!BL366)</f>
      </c>
      <c r="E366">
        <f>IF(Allocation!BM366="","",Allocation!BM366)</f>
      </c>
      <c r="F366">
        <f>IF(Allocation!BN366="","",Allocation!BN366)</f>
      </c>
      <c r="G366">
        <f>IF(Allocation!BO366="","",Allocation!BO366)</f>
      </c>
      <c r="H366">
        <f>IF(Allocation!BP366="","",Allocation!BP366)</f>
      </c>
      <c r="I366">
        <f>IF(Allocation!BQ366="","",Allocation!BQ366)</f>
      </c>
      <c r="J366">
        <f>IF(Allocation!CC366="","",Allocation!CC366)</f>
      </c>
      <c r="K366">
        <f>IF($A366="","",$H366*IF(AND(LEFT($D366,3)="BAC",$F366="INIT"),600,IF(LEFT($D366,3)="BAC",480,IF(AND(LEFT($D366,3)="MAS",$F366="INIT"),520,IF(LEFT($D366,3)="MAS",420,IF($F366="INIT",1000,700))))))</f>
      </c>
      <c r="L366">
        <f>IF($A366="","",SUMIFS($G$1:$G$349,$AS$1:$AS$349,$AS366,$B$1:$B$349,$B366))</f>
      </c>
      <c r="M366">
        <f>IF($A366="","",SUMIFS($H$1:$H$349,$AS$1:$AS$349,$AS366,$B$1:$B$349,$B366))</f>
      </c>
      <c r="N366">
        <f>IF($A366="","",SUMIFS($I$1:$I$349,$AS$1:$AS$349,$AS366,$B$1:$B$349,$B366))</f>
      </c>
      <c r="O366">
        <f>IF($A366="","",SUMIFS($K$1:$K$349,$AS$1:$AS$349,$AS366,$B$1:$B$349,$B366))</f>
      </c>
      <c r="P366">
        <f>IF($A366="","",SUMIFS($J$1:$J$349,$AS$1:$AS$349,$AS366,$B$1:$B$349,$B366))</f>
      </c>
      <c r="Q366">
        <f>IF($A366="","",SUMIFS($G$1:$G$349,$AS$1:$AS$349,$AS366,$C$1:$C$349,$C366))</f>
      </c>
      <c r="R366">
        <f>IF($A366="","",SUMIFS($H$1:$H$349,$AS$1:$AS$349,$AS366,$C$1:$C$349,$C366))</f>
      </c>
      <c r="S366">
        <f>IF($A366="","",SUMIFS($I$1:$I$349,$AS$1:$AS$349,$AS366,$C$1:$C$349,$C366))</f>
      </c>
      <c r="T366">
        <f>IF($A366="","",SUMIFS($G$1:$G$349,$AS$1:$AS$349,$AS366))</f>
      </c>
      <c r="U366">
        <f>IF($A366="","",SUMIFS($H$1:$H$349,$AS$1:$AS$349,$AS366))</f>
      </c>
      <c r="V366">
        <f>IF($A366="","",SUMIFS($I$1:$I$349,$AS$1:$AS$349,$AS366))</f>
      </c>
      <c r="W366">
        <f>IF($A366="","",Allocation!CD366)</f>
      </c>
      <c r="X366">
        <f>IF($A366="","",Allocation!CE366)</f>
      </c>
      <c r="Y366">
        <f>IF($A366="","",Allocation!CF366)</f>
      </c>
      <c r="Z366">
        <f>IF($A366="","",Allocation!CG366)</f>
      </c>
      <c r="AA366">
        <f>IF($A366="","",Allocation!CH366)</f>
      </c>
      <c r="AB366">
        <f>IF($A366="","",Allocation!CI366)</f>
      </c>
      <c r="AC366">
        <f>IF($A366="","",IF(Allocation!$N$4="VOL_EFF",$G366,IF(Allocation!$N$4="VOL_CLASS",$H366,$I366)))</f>
      </c>
      <c r="AD366">
        <f>IF($A366="","",IF(Allocation!$N$4="VOL_EFF",$L366,IF(Allocation!$N$4="VOL_CLASS",$M366,$N366)))</f>
      </c>
      <c r="AE366">
        <f>IF($A366="","",IF(Allocation!$N$3="VOL_EFF",$L366,IF(Allocation!$N$3="VOL_CLASS",$M366,$N366)))</f>
      </c>
      <c r="AF366">
        <f>IF($A366="","",IF(Allocation!$N$3="VOL_EFF",$Q366,IF(Allocation!$N$3="VOL_CLASS",$R366,$S366)))</f>
      </c>
      <c r="AG366">
        <f>IF($A366="","",IF(Allocation!$N$1="VOL_EFF",$Q366,IF(Allocation!$N$1="VOL_CLASS",$R366,$S366)))</f>
      </c>
      <c r="AH366">
        <f>IF($A366="","",IF(Allocation!$N$1="VOL_EFF",$T366,IF(Allocation!$N$1="VOL_CLASS",$U366,$V366)))</f>
      </c>
      <c r="AI366">
        <f>IF($A366="","",$W366*IFERROR($K366/$O366,0))</f>
      </c>
      <c r="AJ366">
        <f>IF($A366="","",$X366*IFERROR($K366/$O366,0))</f>
      </c>
      <c r="AK366">
        <f>IF($A366="","",$Y366*IFERROR($G366/$L366,0)+$Z366*IFERROR($J366/$P366,0))</f>
      </c>
      <c r="AL366">
        <f>IF($A366="","",$AA366*IFERROR($AC366/$AD366,0))</f>
      </c>
      <c r="AM366">
        <f>IF($A366="","",$AB366*IFERROR($AG366/$AH366,0)*IFERROR($AE366/$AF366,0)*IFERROR($AC366/$AD366,0))</f>
      </c>
      <c r="AN366">
        <f>IF($A366="","",$I366-($AI366+$AJ366+$AK366+$AL366+$AM366+$AR366))</f>
      </c>
      <c r="AO366">
        <f>IF($A366="","",Allocation!CJ366)</f>
      </c>
      <c r="AP366">
        <f>IF($A366="","",IF(Allocation!$N$2="VOL_EFF",$Q366,IF(Allocation!$N$2="VOL_CLASS",$R366,$S366)))</f>
      </c>
      <c r="AQ366">
        <f>IF($A366="","",IF(Allocation!$N$2="VOL_EFF",$T366,IF(Allocation!$N$2="VOL_CLASS",$U366,$V366)))</f>
      </c>
      <c r="AR366">
        <f>IF($A366="","",$AO366*IFERROR($AP366/$AQ366,0)*IFERROR($AE366/$AF366,0)*IFERROR($AC366/$AD366,0))</f>
      </c>
      <c r="AS366">
        <f>IF($A366="","",$A366&amp;"|"&amp;Allocation!BG366)</f>
      </c>
    </row>
    <row r="367" spans="1:45">
      <c r="A367">
        <f>IF(Allocation!BI367="","",Allocation!BI367)</f>
      </c>
      <c r="B367">
        <f>IF(Allocation!BJ367="","",Allocation!BJ367)</f>
      </c>
      <c r="C367">
        <f>IF(Allocation!BK367="","",Allocation!BK367)</f>
      </c>
      <c r="D367">
        <f>IF(Allocation!BL367="","",Allocation!BL367)</f>
      </c>
      <c r="E367">
        <f>IF(Allocation!BM367="","",Allocation!BM367)</f>
      </c>
      <c r="F367">
        <f>IF(Allocation!BN367="","",Allocation!BN367)</f>
      </c>
      <c r="G367">
        <f>IF(Allocation!BO367="","",Allocation!BO367)</f>
      </c>
      <c r="H367">
        <f>IF(Allocation!BP367="","",Allocation!BP367)</f>
      </c>
      <c r="I367">
        <f>IF(Allocation!BQ367="","",Allocation!BQ367)</f>
      </c>
      <c r="J367">
        <f>IF(Allocation!CC367="","",Allocation!CC367)</f>
      </c>
      <c r="K367">
        <f>IF($A367="","",$H367*IF(AND(LEFT($D367,3)="BAC",$F367="INIT"),600,IF(LEFT($D367,3)="BAC",480,IF(AND(LEFT($D367,3)="MAS",$F367="INIT"),520,IF(LEFT($D367,3)="MAS",420,IF($F367="INIT",1000,700))))))</f>
      </c>
      <c r="L367">
        <f>IF($A367="","",SUMIFS($G$1:$G$349,$AS$1:$AS$349,$AS367,$B$1:$B$349,$B367))</f>
      </c>
      <c r="M367">
        <f>IF($A367="","",SUMIFS($H$1:$H$349,$AS$1:$AS$349,$AS367,$B$1:$B$349,$B367))</f>
      </c>
      <c r="N367">
        <f>IF($A367="","",SUMIFS($I$1:$I$349,$AS$1:$AS$349,$AS367,$B$1:$B$349,$B367))</f>
      </c>
      <c r="O367">
        <f>IF($A367="","",SUMIFS($K$1:$K$349,$AS$1:$AS$349,$AS367,$B$1:$B$349,$B367))</f>
      </c>
      <c r="P367">
        <f>IF($A367="","",SUMIFS($J$1:$J$349,$AS$1:$AS$349,$AS367,$B$1:$B$349,$B367))</f>
      </c>
      <c r="Q367">
        <f>IF($A367="","",SUMIFS($G$1:$G$349,$AS$1:$AS$349,$AS367,$C$1:$C$349,$C367))</f>
      </c>
      <c r="R367">
        <f>IF($A367="","",SUMIFS($H$1:$H$349,$AS$1:$AS$349,$AS367,$C$1:$C$349,$C367))</f>
      </c>
      <c r="S367">
        <f>IF($A367="","",SUMIFS($I$1:$I$349,$AS$1:$AS$349,$AS367,$C$1:$C$349,$C367))</f>
      </c>
      <c r="T367">
        <f>IF($A367="","",SUMIFS($G$1:$G$349,$AS$1:$AS$349,$AS367))</f>
      </c>
      <c r="U367">
        <f>IF($A367="","",SUMIFS($H$1:$H$349,$AS$1:$AS$349,$AS367))</f>
      </c>
      <c r="V367">
        <f>IF($A367="","",SUMIFS($I$1:$I$349,$AS$1:$AS$349,$AS367))</f>
      </c>
      <c r="W367">
        <f>IF($A367="","",Allocation!CD367)</f>
      </c>
      <c r="X367">
        <f>IF($A367="","",Allocation!CE367)</f>
      </c>
      <c r="Y367">
        <f>IF($A367="","",Allocation!CF367)</f>
      </c>
      <c r="Z367">
        <f>IF($A367="","",Allocation!CG367)</f>
      </c>
      <c r="AA367">
        <f>IF($A367="","",Allocation!CH367)</f>
      </c>
      <c r="AB367">
        <f>IF($A367="","",Allocation!CI367)</f>
      </c>
      <c r="AC367">
        <f>IF($A367="","",IF(Allocation!$N$4="VOL_EFF",$G367,IF(Allocation!$N$4="VOL_CLASS",$H367,$I367)))</f>
      </c>
      <c r="AD367">
        <f>IF($A367="","",IF(Allocation!$N$4="VOL_EFF",$L367,IF(Allocation!$N$4="VOL_CLASS",$M367,$N367)))</f>
      </c>
      <c r="AE367">
        <f>IF($A367="","",IF(Allocation!$N$3="VOL_EFF",$L367,IF(Allocation!$N$3="VOL_CLASS",$M367,$N367)))</f>
      </c>
      <c r="AF367">
        <f>IF($A367="","",IF(Allocation!$N$3="VOL_EFF",$Q367,IF(Allocation!$N$3="VOL_CLASS",$R367,$S367)))</f>
      </c>
      <c r="AG367">
        <f>IF($A367="","",IF(Allocation!$N$1="VOL_EFF",$Q367,IF(Allocation!$N$1="VOL_CLASS",$R367,$S367)))</f>
      </c>
      <c r="AH367">
        <f>IF($A367="","",IF(Allocation!$N$1="VOL_EFF",$T367,IF(Allocation!$N$1="VOL_CLASS",$U367,$V367)))</f>
      </c>
      <c r="AI367">
        <f>IF($A367="","",$W367*IFERROR($K367/$O367,0))</f>
      </c>
      <c r="AJ367">
        <f>IF($A367="","",$X367*IFERROR($K367/$O367,0))</f>
      </c>
      <c r="AK367">
        <f>IF($A367="","",$Y367*IFERROR($G367/$L367,0)+$Z367*IFERROR($J367/$P367,0))</f>
      </c>
      <c r="AL367">
        <f>IF($A367="","",$AA367*IFERROR($AC367/$AD367,0))</f>
      </c>
      <c r="AM367">
        <f>IF($A367="","",$AB367*IFERROR($AG367/$AH367,0)*IFERROR($AE367/$AF367,0)*IFERROR($AC367/$AD367,0))</f>
      </c>
      <c r="AN367">
        <f>IF($A367="","",$I367-($AI367+$AJ367+$AK367+$AL367+$AM367+$AR367))</f>
      </c>
      <c r="AO367">
        <f>IF($A367="","",Allocation!CJ367)</f>
      </c>
      <c r="AP367">
        <f>IF($A367="","",IF(Allocation!$N$2="VOL_EFF",$Q367,IF(Allocation!$N$2="VOL_CLASS",$R367,$S367)))</f>
      </c>
      <c r="AQ367">
        <f>IF($A367="","",IF(Allocation!$N$2="VOL_EFF",$T367,IF(Allocation!$N$2="VOL_CLASS",$U367,$V367)))</f>
      </c>
      <c r="AR367">
        <f>IF($A367="","",$AO367*IFERROR($AP367/$AQ367,0)*IFERROR($AE367/$AF367,0)*IFERROR($AC367/$AD367,0))</f>
      </c>
      <c r="AS367">
        <f>IF($A367="","",$A367&amp;"|"&amp;Allocation!BG367)</f>
      </c>
    </row>
    <row r="368" spans="1:45">
      <c r="A368">
        <f>IF(Allocation!BI368="","",Allocation!BI368)</f>
      </c>
      <c r="B368">
        <f>IF(Allocation!BJ368="","",Allocation!BJ368)</f>
      </c>
      <c r="C368">
        <f>IF(Allocation!BK368="","",Allocation!BK368)</f>
      </c>
      <c r="D368">
        <f>IF(Allocation!BL368="","",Allocation!BL368)</f>
      </c>
      <c r="E368">
        <f>IF(Allocation!BM368="","",Allocation!BM368)</f>
      </c>
      <c r="F368">
        <f>IF(Allocation!BN368="","",Allocation!BN368)</f>
      </c>
      <c r="G368">
        <f>IF(Allocation!BO368="","",Allocation!BO368)</f>
      </c>
      <c r="H368">
        <f>IF(Allocation!BP368="","",Allocation!BP368)</f>
      </c>
      <c r="I368">
        <f>IF(Allocation!BQ368="","",Allocation!BQ368)</f>
      </c>
      <c r="J368">
        <f>IF(Allocation!CC368="","",Allocation!CC368)</f>
      </c>
      <c r="K368">
        <f>IF($A368="","",$H368*IF(AND(LEFT($D368,3)="BAC",$F368="INIT"),600,IF(LEFT($D368,3)="BAC",480,IF(AND(LEFT($D368,3)="MAS",$F368="INIT"),520,IF(LEFT($D368,3)="MAS",420,IF($F368="INIT",1000,700))))))</f>
      </c>
      <c r="L368">
        <f>IF($A368="","",SUMIFS($G$1:$G$349,$AS$1:$AS$349,$AS368,$B$1:$B$349,$B368))</f>
      </c>
      <c r="M368">
        <f>IF($A368="","",SUMIFS($H$1:$H$349,$AS$1:$AS$349,$AS368,$B$1:$B$349,$B368))</f>
      </c>
      <c r="N368">
        <f>IF($A368="","",SUMIFS($I$1:$I$349,$AS$1:$AS$349,$AS368,$B$1:$B$349,$B368))</f>
      </c>
      <c r="O368">
        <f>IF($A368="","",SUMIFS($K$1:$K$349,$AS$1:$AS$349,$AS368,$B$1:$B$349,$B368))</f>
      </c>
      <c r="P368">
        <f>IF($A368="","",SUMIFS($J$1:$J$349,$AS$1:$AS$349,$AS368,$B$1:$B$349,$B368))</f>
      </c>
      <c r="Q368">
        <f>IF($A368="","",SUMIFS($G$1:$G$349,$AS$1:$AS$349,$AS368,$C$1:$C$349,$C368))</f>
      </c>
      <c r="R368">
        <f>IF($A368="","",SUMIFS($H$1:$H$349,$AS$1:$AS$349,$AS368,$C$1:$C$349,$C368))</f>
      </c>
      <c r="S368">
        <f>IF($A368="","",SUMIFS($I$1:$I$349,$AS$1:$AS$349,$AS368,$C$1:$C$349,$C368))</f>
      </c>
      <c r="T368">
        <f>IF($A368="","",SUMIFS($G$1:$G$349,$AS$1:$AS$349,$AS368))</f>
      </c>
      <c r="U368">
        <f>IF($A368="","",SUMIFS($H$1:$H$349,$AS$1:$AS$349,$AS368))</f>
      </c>
      <c r="V368">
        <f>IF($A368="","",SUMIFS($I$1:$I$349,$AS$1:$AS$349,$AS368))</f>
      </c>
      <c r="W368">
        <f>IF($A368="","",Allocation!CD368)</f>
      </c>
      <c r="X368">
        <f>IF($A368="","",Allocation!CE368)</f>
      </c>
      <c r="Y368">
        <f>IF($A368="","",Allocation!CF368)</f>
      </c>
      <c r="Z368">
        <f>IF($A368="","",Allocation!CG368)</f>
      </c>
      <c r="AA368">
        <f>IF($A368="","",Allocation!CH368)</f>
      </c>
      <c r="AB368">
        <f>IF($A368="","",Allocation!CI368)</f>
      </c>
      <c r="AC368">
        <f>IF($A368="","",IF(Allocation!$N$4="VOL_EFF",$G368,IF(Allocation!$N$4="VOL_CLASS",$H368,$I368)))</f>
      </c>
      <c r="AD368">
        <f>IF($A368="","",IF(Allocation!$N$4="VOL_EFF",$L368,IF(Allocation!$N$4="VOL_CLASS",$M368,$N368)))</f>
      </c>
      <c r="AE368">
        <f>IF($A368="","",IF(Allocation!$N$3="VOL_EFF",$L368,IF(Allocation!$N$3="VOL_CLASS",$M368,$N368)))</f>
      </c>
      <c r="AF368">
        <f>IF($A368="","",IF(Allocation!$N$3="VOL_EFF",$Q368,IF(Allocation!$N$3="VOL_CLASS",$R368,$S368)))</f>
      </c>
      <c r="AG368">
        <f>IF($A368="","",IF(Allocation!$N$1="VOL_EFF",$Q368,IF(Allocation!$N$1="VOL_CLASS",$R368,$S368)))</f>
      </c>
      <c r="AH368">
        <f>IF($A368="","",IF(Allocation!$N$1="VOL_EFF",$T368,IF(Allocation!$N$1="VOL_CLASS",$U368,$V368)))</f>
      </c>
      <c r="AI368">
        <f>IF($A368="","",$W368*IFERROR($K368/$O368,0))</f>
      </c>
      <c r="AJ368">
        <f>IF($A368="","",$X368*IFERROR($K368/$O368,0))</f>
      </c>
      <c r="AK368">
        <f>IF($A368="","",$Y368*IFERROR($G368/$L368,0)+$Z368*IFERROR($J368/$P368,0))</f>
      </c>
      <c r="AL368">
        <f>IF($A368="","",$AA368*IFERROR($AC368/$AD368,0))</f>
      </c>
      <c r="AM368">
        <f>IF($A368="","",$AB368*IFERROR($AG368/$AH368,0)*IFERROR($AE368/$AF368,0)*IFERROR($AC368/$AD368,0))</f>
      </c>
      <c r="AN368">
        <f>IF($A368="","",$I368-($AI368+$AJ368+$AK368+$AL368+$AM368+$AR368))</f>
      </c>
      <c r="AO368">
        <f>IF($A368="","",Allocation!CJ368)</f>
      </c>
      <c r="AP368">
        <f>IF($A368="","",IF(Allocation!$N$2="VOL_EFF",$Q368,IF(Allocation!$N$2="VOL_CLASS",$R368,$S368)))</f>
      </c>
      <c r="AQ368">
        <f>IF($A368="","",IF(Allocation!$N$2="VOL_EFF",$T368,IF(Allocation!$N$2="VOL_CLASS",$U368,$V368)))</f>
      </c>
      <c r="AR368">
        <f>IF($A368="","",$AO368*IFERROR($AP368/$AQ368,0)*IFERROR($AE368/$AF368,0)*IFERROR($AC368/$AD368,0))</f>
      </c>
      <c r="AS368">
        <f>IF($A368="","",$A368&amp;"|"&amp;Allocation!BG368)</f>
      </c>
    </row>
    <row r="369" spans="1:45">
      <c r="A369">
        <f>IF(Allocation!BI369="","",Allocation!BI369)</f>
      </c>
      <c r="B369">
        <f>IF(Allocation!BJ369="","",Allocation!BJ369)</f>
      </c>
      <c r="C369">
        <f>IF(Allocation!BK369="","",Allocation!BK369)</f>
      </c>
      <c r="D369">
        <f>IF(Allocation!BL369="","",Allocation!BL369)</f>
      </c>
      <c r="E369">
        <f>IF(Allocation!BM369="","",Allocation!BM369)</f>
      </c>
      <c r="F369">
        <f>IF(Allocation!BN369="","",Allocation!BN369)</f>
      </c>
      <c r="G369">
        <f>IF(Allocation!BO369="","",Allocation!BO369)</f>
      </c>
      <c r="H369">
        <f>IF(Allocation!BP369="","",Allocation!BP369)</f>
      </c>
      <c r="I369">
        <f>IF(Allocation!BQ369="","",Allocation!BQ369)</f>
      </c>
      <c r="J369">
        <f>IF(Allocation!CC369="","",Allocation!CC369)</f>
      </c>
      <c r="K369">
        <f>IF($A369="","",$H369*IF(AND(LEFT($D369,3)="BAC",$F369="INIT"),600,IF(LEFT($D369,3)="BAC",480,IF(AND(LEFT($D369,3)="MAS",$F369="INIT"),520,IF(LEFT($D369,3)="MAS",420,IF($F369="INIT",1000,700))))))</f>
      </c>
      <c r="L369">
        <f>IF($A369="","",SUMIFS($G$1:$G$349,$AS$1:$AS$349,$AS369,$B$1:$B$349,$B369))</f>
      </c>
      <c r="M369">
        <f>IF($A369="","",SUMIFS($H$1:$H$349,$AS$1:$AS$349,$AS369,$B$1:$B$349,$B369))</f>
      </c>
      <c r="N369">
        <f>IF($A369="","",SUMIFS($I$1:$I$349,$AS$1:$AS$349,$AS369,$B$1:$B$349,$B369))</f>
      </c>
      <c r="O369">
        <f>IF($A369="","",SUMIFS($K$1:$K$349,$AS$1:$AS$349,$AS369,$B$1:$B$349,$B369))</f>
      </c>
      <c r="P369">
        <f>IF($A369="","",SUMIFS($J$1:$J$349,$AS$1:$AS$349,$AS369,$B$1:$B$349,$B369))</f>
      </c>
      <c r="Q369">
        <f>IF($A369="","",SUMIFS($G$1:$G$349,$AS$1:$AS$349,$AS369,$C$1:$C$349,$C369))</f>
      </c>
      <c r="R369">
        <f>IF($A369="","",SUMIFS($H$1:$H$349,$AS$1:$AS$349,$AS369,$C$1:$C$349,$C369))</f>
      </c>
      <c r="S369">
        <f>IF($A369="","",SUMIFS($I$1:$I$349,$AS$1:$AS$349,$AS369,$C$1:$C$349,$C369))</f>
      </c>
      <c r="T369">
        <f>IF($A369="","",SUMIFS($G$1:$G$349,$AS$1:$AS$349,$AS369))</f>
      </c>
      <c r="U369">
        <f>IF($A369="","",SUMIFS($H$1:$H$349,$AS$1:$AS$349,$AS369))</f>
      </c>
      <c r="V369">
        <f>IF($A369="","",SUMIFS($I$1:$I$349,$AS$1:$AS$349,$AS369))</f>
      </c>
      <c r="W369">
        <f>IF($A369="","",Allocation!CD369)</f>
      </c>
      <c r="X369">
        <f>IF($A369="","",Allocation!CE369)</f>
      </c>
      <c r="Y369">
        <f>IF($A369="","",Allocation!CF369)</f>
      </c>
      <c r="Z369">
        <f>IF($A369="","",Allocation!CG369)</f>
      </c>
      <c r="AA369">
        <f>IF($A369="","",Allocation!CH369)</f>
      </c>
      <c r="AB369">
        <f>IF($A369="","",Allocation!CI369)</f>
      </c>
      <c r="AC369">
        <f>IF($A369="","",IF(Allocation!$N$4="VOL_EFF",$G369,IF(Allocation!$N$4="VOL_CLASS",$H369,$I369)))</f>
      </c>
      <c r="AD369">
        <f>IF($A369="","",IF(Allocation!$N$4="VOL_EFF",$L369,IF(Allocation!$N$4="VOL_CLASS",$M369,$N369)))</f>
      </c>
      <c r="AE369">
        <f>IF($A369="","",IF(Allocation!$N$3="VOL_EFF",$L369,IF(Allocation!$N$3="VOL_CLASS",$M369,$N369)))</f>
      </c>
      <c r="AF369">
        <f>IF($A369="","",IF(Allocation!$N$3="VOL_EFF",$Q369,IF(Allocation!$N$3="VOL_CLASS",$R369,$S369)))</f>
      </c>
      <c r="AG369">
        <f>IF($A369="","",IF(Allocation!$N$1="VOL_EFF",$Q369,IF(Allocation!$N$1="VOL_CLASS",$R369,$S369)))</f>
      </c>
      <c r="AH369">
        <f>IF($A369="","",IF(Allocation!$N$1="VOL_EFF",$T369,IF(Allocation!$N$1="VOL_CLASS",$U369,$V369)))</f>
      </c>
      <c r="AI369">
        <f>IF($A369="","",$W369*IFERROR($K369/$O369,0))</f>
      </c>
      <c r="AJ369">
        <f>IF($A369="","",$X369*IFERROR($K369/$O369,0))</f>
      </c>
      <c r="AK369">
        <f>IF($A369="","",$Y369*IFERROR($G369/$L369,0)+$Z369*IFERROR($J369/$P369,0))</f>
      </c>
      <c r="AL369">
        <f>IF($A369="","",$AA369*IFERROR($AC369/$AD369,0))</f>
      </c>
      <c r="AM369">
        <f>IF($A369="","",$AB369*IFERROR($AG369/$AH369,0)*IFERROR($AE369/$AF369,0)*IFERROR($AC369/$AD369,0))</f>
      </c>
      <c r="AN369">
        <f>IF($A369="","",$I369-($AI369+$AJ369+$AK369+$AL369+$AM369+$AR369))</f>
      </c>
      <c r="AO369">
        <f>IF($A369="","",Allocation!CJ369)</f>
      </c>
      <c r="AP369">
        <f>IF($A369="","",IF(Allocation!$N$2="VOL_EFF",$Q369,IF(Allocation!$N$2="VOL_CLASS",$R369,$S369)))</f>
      </c>
      <c r="AQ369">
        <f>IF($A369="","",IF(Allocation!$N$2="VOL_EFF",$T369,IF(Allocation!$N$2="VOL_CLASS",$U369,$V369)))</f>
      </c>
      <c r="AR369">
        <f>IF($A369="","",$AO369*IFERROR($AP369/$AQ369,0)*IFERROR($AE369/$AF369,0)*IFERROR($AC369/$AD369,0))</f>
      </c>
      <c r="AS369">
        <f>IF($A369="","",$A369&amp;"|"&amp;Allocation!BG369)</f>
      </c>
    </row>
    <row r="370" spans="1:45">
      <c r="A370">
        <f>IF(Allocation!BI370="","",Allocation!BI370)</f>
      </c>
      <c r="B370">
        <f>IF(Allocation!BJ370="","",Allocation!BJ370)</f>
      </c>
      <c r="C370">
        <f>IF(Allocation!BK370="","",Allocation!BK370)</f>
      </c>
      <c r="D370">
        <f>IF(Allocation!BL370="","",Allocation!BL370)</f>
      </c>
      <c r="E370">
        <f>IF(Allocation!BM370="","",Allocation!BM370)</f>
      </c>
      <c r="F370">
        <f>IF(Allocation!BN370="","",Allocation!BN370)</f>
      </c>
      <c r="G370">
        <f>IF(Allocation!BO370="","",Allocation!BO370)</f>
      </c>
      <c r="H370">
        <f>IF(Allocation!BP370="","",Allocation!BP370)</f>
      </c>
      <c r="I370">
        <f>IF(Allocation!BQ370="","",Allocation!BQ370)</f>
      </c>
      <c r="J370">
        <f>IF(Allocation!CC370="","",Allocation!CC370)</f>
      </c>
      <c r="K370">
        <f>IF($A370="","",$H370*IF(AND(LEFT($D370,3)="BAC",$F370="INIT"),600,IF(LEFT($D370,3)="BAC",480,IF(AND(LEFT($D370,3)="MAS",$F370="INIT"),520,IF(LEFT($D370,3)="MAS",420,IF($F370="INIT",1000,700))))))</f>
      </c>
      <c r="L370">
        <f>IF($A370="","",SUMIFS($G$1:$G$349,$AS$1:$AS$349,$AS370,$B$1:$B$349,$B370))</f>
      </c>
      <c r="M370">
        <f>IF($A370="","",SUMIFS($H$1:$H$349,$AS$1:$AS$349,$AS370,$B$1:$B$349,$B370))</f>
      </c>
      <c r="N370">
        <f>IF($A370="","",SUMIFS($I$1:$I$349,$AS$1:$AS$349,$AS370,$B$1:$B$349,$B370))</f>
      </c>
      <c r="O370">
        <f>IF($A370="","",SUMIFS($K$1:$K$349,$AS$1:$AS$349,$AS370,$B$1:$B$349,$B370))</f>
      </c>
      <c r="P370">
        <f>IF($A370="","",SUMIFS($J$1:$J$349,$AS$1:$AS$349,$AS370,$B$1:$B$349,$B370))</f>
      </c>
      <c r="Q370">
        <f>IF($A370="","",SUMIFS($G$1:$G$349,$AS$1:$AS$349,$AS370,$C$1:$C$349,$C370))</f>
      </c>
      <c r="R370">
        <f>IF($A370="","",SUMIFS($H$1:$H$349,$AS$1:$AS$349,$AS370,$C$1:$C$349,$C370))</f>
      </c>
      <c r="S370">
        <f>IF($A370="","",SUMIFS($I$1:$I$349,$AS$1:$AS$349,$AS370,$C$1:$C$349,$C370))</f>
      </c>
      <c r="T370">
        <f>IF($A370="","",SUMIFS($G$1:$G$349,$AS$1:$AS$349,$AS370))</f>
      </c>
      <c r="U370">
        <f>IF($A370="","",SUMIFS($H$1:$H$349,$AS$1:$AS$349,$AS370))</f>
      </c>
      <c r="V370">
        <f>IF($A370="","",SUMIFS($I$1:$I$349,$AS$1:$AS$349,$AS370))</f>
      </c>
      <c r="W370">
        <f>IF($A370="","",Allocation!CD370)</f>
      </c>
      <c r="X370">
        <f>IF($A370="","",Allocation!CE370)</f>
      </c>
      <c r="Y370">
        <f>IF($A370="","",Allocation!CF370)</f>
      </c>
      <c r="Z370">
        <f>IF($A370="","",Allocation!CG370)</f>
      </c>
      <c r="AA370">
        <f>IF($A370="","",Allocation!CH370)</f>
      </c>
      <c r="AB370">
        <f>IF($A370="","",Allocation!CI370)</f>
      </c>
      <c r="AC370">
        <f>IF($A370="","",IF(Allocation!$N$4="VOL_EFF",$G370,IF(Allocation!$N$4="VOL_CLASS",$H370,$I370)))</f>
      </c>
      <c r="AD370">
        <f>IF($A370="","",IF(Allocation!$N$4="VOL_EFF",$L370,IF(Allocation!$N$4="VOL_CLASS",$M370,$N370)))</f>
      </c>
      <c r="AE370">
        <f>IF($A370="","",IF(Allocation!$N$3="VOL_EFF",$L370,IF(Allocation!$N$3="VOL_CLASS",$M370,$N370)))</f>
      </c>
      <c r="AF370">
        <f>IF($A370="","",IF(Allocation!$N$3="VOL_EFF",$Q370,IF(Allocation!$N$3="VOL_CLASS",$R370,$S370)))</f>
      </c>
      <c r="AG370">
        <f>IF($A370="","",IF(Allocation!$N$1="VOL_EFF",$Q370,IF(Allocation!$N$1="VOL_CLASS",$R370,$S370)))</f>
      </c>
      <c r="AH370">
        <f>IF($A370="","",IF(Allocation!$N$1="VOL_EFF",$T370,IF(Allocation!$N$1="VOL_CLASS",$U370,$V370)))</f>
      </c>
      <c r="AI370">
        <f>IF($A370="","",$W370*IFERROR($K370/$O370,0))</f>
      </c>
      <c r="AJ370">
        <f>IF($A370="","",$X370*IFERROR($K370/$O370,0))</f>
      </c>
      <c r="AK370">
        <f>IF($A370="","",$Y370*IFERROR($G370/$L370,0)+$Z370*IFERROR($J370/$P370,0))</f>
      </c>
      <c r="AL370">
        <f>IF($A370="","",$AA370*IFERROR($AC370/$AD370,0))</f>
      </c>
      <c r="AM370">
        <f>IF($A370="","",$AB370*IFERROR($AG370/$AH370,0)*IFERROR($AE370/$AF370,0)*IFERROR($AC370/$AD370,0))</f>
      </c>
      <c r="AN370">
        <f>IF($A370="","",$I370-($AI370+$AJ370+$AK370+$AL370+$AM370+$AR370))</f>
      </c>
      <c r="AO370">
        <f>IF($A370="","",Allocation!CJ370)</f>
      </c>
      <c r="AP370">
        <f>IF($A370="","",IF(Allocation!$N$2="VOL_EFF",$Q370,IF(Allocation!$N$2="VOL_CLASS",$R370,$S370)))</f>
      </c>
      <c r="AQ370">
        <f>IF($A370="","",IF(Allocation!$N$2="VOL_EFF",$T370,IF(Allocation!$N$2="VOL_CLASS",$U370,$V370)))</f>
      </c>
      <c r="AR370">
        <f>IF($A370="","",$AO370*IFERROR($AP370/$AQ370,0)*IFERROR($AE370/$AF370,0)*IFERROR($AC370/$AD370,0))</f>
      </c>
      <c r="AS370">
        <f>IF($A370="","",$A370&amp;"|"&amp;Allocation!BG370)</f>
      </c>
    </row>
    <row r="371" spans="1:45">
      <c r="A371">
        <f>IF(Allocation!BI371="","",Allocation!BI371)</f>
      </c>
      <c r="B371">
        <f>IF(Allocation!BJ371="","",Allocation!BJ371)</f>
      </c>
      <c r="C371">
        <f>IF(Allocation!BK371="","",Allocation!BK371)</f>
      </c>
      <c r="D371">
        <f>IF(Allocation!BL371="","",Allocation!BL371)</f>
      </c>
      <c r="E371">
        <f>IF(Allocation!BM371="","",Allocation!BM371)</f>
      </c>
      <c r="F371">
        <f>IF(Allocation!BN371="","",Allocation!BN371)</f>
      </c>
      <c r="G371">
        <f>IF(Allocation!BO371="","",Allocation!BO371)</f>
      </c>
      <c r="H371">
        <f>IF(Allocation!BP371="","",Allocation!BP371)</f>
      </c>
      <c r="I371">
        <f>IF(Allocation!BQ371="","",Allocation!BQ371)</f>
      </c>
      <c r="J371">
        <f>IF(Allocation!CC371="","",Allocation!CC371)</f>
      </c>
      <c r="K371">
        <f>IF($A371="","",$H371*IF(AND(LEFT($D371,3)="BAC",$F371="INIT"),600,IF(LEFT($D371,3)="BAC",480,IF(AND(LEFT($D371,3)="MAS",$F371="INIT"),520,IF(LEFT($D371,3)="MAS",420,IF($F371="INIT",1000,700))))))</f>
      </c>
      <c r="L371">
        <f>IF($A371="","",SUMIFS($G$1:$G$349,$AS$1:$AS$349,$AS371,$B$1:$B$349,$B371))</f>
      </c>
      <c r="M371">
        <f>IF($A371="","",SUMIFS($H$1:$H$349,$AS$1:$AS$349,$AS371,$B$1:$B$349,$B371))</f>
      </c>
      <c r="N371">
        <f>IF($A371="","",SUMIFS($I$1:$I$349,$AS$1:$AS$349,$AS371,$B$1:$B$349,$B371))</f>
      </c>
      <c r="O371">
        <f>IF($A371="","",SUMIFS($K$1:$K$349,$AS$1:$AS$349,$AS371,$B$1:$B$349,$B371))</f>
      </c>
      <c r="P371">
        <f>IF($A371="","",SUMIFS($J$1:$J$349,$AS$1:$AS$349,$AS371,$B$1:$B$349,$B371))</f>
      </c>
      <c r="Q371">
        <f>IF($A371="","",SUMIFS($G$1:$G$349,$AS$1:$AS$349,$AS371,$C$1:$C$349,$C371))</f>
      </c>
      <c r="R371">
        <f>IF($A371="","",SUMIFS($H$1:$H$349,$AS$1:$AS$349,$AS371,$C$1:$C$349,$C371))</f>
      </c>
      <c r="S371">
        <f>IF($A371="","",SUMIFS($I$1:$I$349,$AS$1:$AS$349,$AS371,$C$1:$C$349,$C371))</f>
      </c>
      <c r="T371">
        <f>IF($A371="","",SUMIFS($G$1:$G$349,$AS$1:$AS$349,$AS371))</f>
      </c>
      <c r="U371">
        <f>IF($A371="","",SUMIFS($H$1:$H$349,$AS$1:$AS$349,$AS371))</f>
      </c>
      <c r="V371">
        <f>IF($A371="","",SUMIFS($I$1:$I$349,$AS$1:$AS$349,$AS371))</f>
      </c>
      <c r="W371">
        <f>IF($A371="","",Allocation!CD371)</f>
      </c>
      <c r="X371">
        <f>IF($A371="","",Allocation!CE371)</f>
      </c>
      <c r="Y371">
        <f>IF($A371="","",Allocation!CF371)</f>
      </c>
      <c r="Z371">
        <f>IF($A371="","",Allocation!CG371)</f>
      </c>
      <c r="AA371">
        <f>IF($A371="","",Allocation!CH371)</f>
      </c>
      <c r="AB371">
        <f>IF($A371="","",Allocation!CI371)</f>
      </c>
      <c r="AC371">
        <f>IF($A371="","",IF(Allocation!$N$4="VOL_EFF",$G371,IF(Allocation!$N$4="VOL_CLASS",$H371,$I371)))</f>
      </c>
      <c r="AD371">
        <f>IF($A371="","",IF(Allocation!$N$4="VOL_EFF",$L371,IF(Allocation!$N$4="VOL_CLASS",$M371,$N371)))</f>
      </c>
      <c r="AE371">
        <f>IF($A371="","",IF(Allocation!$N$3="VOL_EFF",$L371,IF(Allocation!$N$3="VOL_CLASS",$M371,$N371)))</f>
      </c>
      <c r="AF371">
        <f>IF($A371="","",IF(Allocation!$N$3="VOL_EFF",$Q371,IF(Allocation!$N$3="VOL_CLASS",$R371,$S371)))</f>
      </c>
      <c r="AG371">
        <f>IF($A371="","",IF(Allocation!$N$1="VOL_EFF",$Q371,IF(Allocation!$N$1="VOL_CLASS",$R371,$S371)))</f>
      </c>
      <c r="AH371">
        <f>IF($A371="","",IF(Allocation!$N$1="VOL_EFF",$T371,IF(Allocation!$N$1="VOL_CLASS",$U371,$V371)))</f>
      </c>
      <c r="AI371">
        <f>IF($A371="","",$W371*IFERROR($K371/$O371,0))</f>
      </c>
      <c r="AJ371">
        <f>IF($A371="","",$X371*IFERROR($K371/$O371,0))</f>
      </c>
      <c r="AK371">
        <f>IF($A371="","",$Y371*IFERROR($G371/$L371,0)+$Z371*IFERROR($J371/$P371,0))</f>
      </c>
      <c r="AL371">
        <f>IF($A371="","",$AA371*IFERROR($AC371/$AD371,0))</f>
      </c>
      <c r="AM371">
        <f>IF($A371="","",$AB371*IFERROR($AG371/$AH371,0)*IFERROR($AE371/$AF371,0)*IFERROR($AC371/$AD371,0))</f>
      </c>
      <c r="AN371">
        <f>IF($A371="","",$I371-($AI371+$AJ371+$AK371+$AL371+$AM371+$AR371))</f>
      </c>
      <c r="AO371">
        <f>IF($A371="","",Allocation!CJ371)</f>
      </c>
      <c r="AP371">
        <f>IF($A371="","",IF(Allocation!$N$2="VOL_EFF",$Q371,IF(Allocation!$N$2="VOL_CLASS",$R371,$S371)))</f>
      </c>
      <c r="AQ371">
        <f>IF($A371="","",IF(Allocation!$N$2="VOL_EFF",$T371,IF(Allocation!$N$2="VOL_CLASS",$U371,$V371)))</f>
      </c>
      <c r="AR371">
        <f>IF($A371="","",$AO371*IFERROR($AP371/$AQ371,0)*IFERROR($AE371/$AF371,0)*IFERROR($AC371/$AD371,0))</f>
      </c>
      <c r="AS371">
        <f>IF($A371="","",$A371&amp;"|"&amp;Allocation!BG371)</f>
      </c>
    </row>
    <row r="372" spans="1:45">
      <c r="A372">
        <f>IF(Allocation!BI372="","",Allocation!BI372)</f>
      </c>
      <c r="B372">
        <f>IF(Allocation!BJ372="","",Allocation!BJ372)</f>
      </c>
      <c r="C372">
        <f>IF(Allocation!BK372="","",Allocation!BK372)</f>
      </c>
      <c r="D372">
        <f>IF(Allocation!BL372="","",Allocation!BL372)</f>
      </c>
      <c r="E372">
        <f>IF(Allocation!BM372="","",Allocation!BM372)</f>
      </c>
      <c r="F372">
        <f>IF(Allocation!BN372="","",Allocation!BN372)</f>
      </c>
      <c r="G372">
        <f>IF(Allocation!BO372="","",Allocation!BO372)</f>
      </c>
      <c r="H372">
        <f>IF(Allocation!BP372="","",Allocation!BP372)</f>
      </c>
      <c r="I372">
        <f>IF(Allocation!BQ372="","",Allocation!BQ372)</f>
      </c>
      <c r="J372">
        <f>IF(Allocation!CC372="","",Allocation!CC372)</f>
      </c>
      <c r="K372">
        <f>IF($A372="","",$H372*IF(AND(LEFT($D372,3)="BAC",$F372="INIT"),600,IF(LEFT($D372,3)="BAC",480,IF(AND(LEFT($D372,3)="MAS",$F372="INIT"),520,IF(LEFT($D372,3)="MAS",420,IF($F372="INIT",1000,700))))))</f>
      </c>
      <c r="L372">
        <f>IF($A372="","",SUMIFS($G$1:$G$349,$AS$1:$AS$349,$AS372,$B$1:$B$349,$B372))</f>
      </c>
      <c r="M372">
        <f>IF($A372="","",SUMIFS($H$1:$H$349,$AS$1:$AS$349,$AS372,$B$1:$B$349,$B372))</f>
      </c>
      <c r="N372">
        <f>IF($A372="","",SUMIFS($I$1:$I$349,$AS$1:$AS$349,$AS372,$B$1:$B$349,$B372))</f>
      </c>
      <c r="O372">
        <f>IF($A372="","",SUMIFS($K$1:$K$349,$AS$1:$AS$349,$AS372,$B$1:$B$349,$B372))</f>
      </c>
      <c r="P372">
        <f>IF($A372="","",SUMIFS($J$1:$J$349,$AS$1:$AS$349,$AS372,$B$1:$B$349,$B372))</f>
      </c>
      <c r="Q372">
        <f>IF($A372="","",SUMIFS($G$1:$G$349,$AS$1:$AS$349,$AS372,$C$1:$C$349,$C372))</f>
      </c>
      <c r="R372">
        <f>IF($A372="","",SUMIFS($H$1:$H$349,$AS$1:$AS$349,$AS372,$C$1:$C$349,$C372))</f>
      </c>
      <c r="S372">
        <f>IF($A372="","",SUMIFS($I$1:$I$349,$AS$1:$AS$349,$AS372,$C$1:$C$349,$C372))</f>
      </c>
      <c r="T372">
        <f>IF($A372="","",SUMIFS($G$1:$G$349,$AS$1:$AS$349,$AS372))</f>
      </c>
      <c r="U372">
        <f>IF($A372="","",SUMIFS($H$1:$H$349,$AS$1:$AS$349,$AS372))</f>
      </c>
      <c r="V372">
        <f>IF($A372="","",SUMIFS($I$1:$I$349,$AS$1:$AS$349,$AS372))</f>
      </c>
      <c r="W372">
        <f>IF($A372="","",Allocation!CD372)</f>
      </c>
      <c r="X372">
        <f>IF($A372="","",Allocation!CE372)</f>
      </c>
      <c r="Y372">
        <f>IF($A372="","",Allocation!CF372)</f>
      </c>
      <c r="Z372">
        <f>IF($A372="","",Allocation!CG372)</f>
      </c>
      <c r="AA372">
        <f>IF($A372="","",Allocation!CH372)</f>
      </c>
      <c r="AB372">
        <f>IF($A372="","",Allocation!CI372)</f>
      </c>
      <c r="AC372">
        <f>IF($A372="","",IF(Allocation!$N$4="VOL_EFF",$G372,IF(Allocation!$N$4="VOL_CLASS",$H372,$I372)))</f>
      </c>
      <c r="AD372">
        <f>IF($A372="","",IF(Allocation!$N$4="VOL_EFF",$L372,IF(Allocation!$N$4="VOL_CLASS",$M372,$N372)))</f>
      </c>
      <c r="AE372">
        <f>IF($A372="","",IF(Allocation!$N$3="VOL_EFF",$L372,IF(Allocation!$N$3="VOL_CLASS",$M372,$N372)))</f>
      </c>
      <c r="AF372">
        <f>IF($A372="","",IF(Allocation!$N$3="VOL_EFF",$Q372,IF(Allocation!$N$3="VOL_CLASS",$R372,$S372)))</f>
      </c>
      <c r="AG372">
        <f>IF($A372="","",IF(Allocation!$N$1="VOL_EFF",$Q372,IF(Allocation!$N$1="VOL_CLASS",$R372,$S372)))</f>
      </c>
      <c r="AH372">
        <f>IF($A372="","",IF(Allocation!$N$1="VOL_EFF",$T372,IF(Allocation!$N$1="VOL_CLASS",$U372,$V372)))</f>
      </c>
      <c r="AI372">
        <f>IF($A372="","",$W372*IFERROR($K372/$O372,0))</f>
      </c>
      <c r="AJ372">
        <f>IF($A372="","",$X372*IFERROR($K372/$O372,0))</f>
      </c>
      <c r="AK372">
        <f>IF($A372="","",$Y372*IFERROR($G372/$L372,0)+$Z372*IFERROR($J372/$P372,0))</f>
      </c>
      <c r="AL372">
        <f>IF($A372="","",$AA372*IFERROR($AC372/$AD372,0))</f>
      </c>
      <c r="AM372">
        <f>IF($A372="","",$AB372*IFERROR($AG372/$AH372,0)*IFERROR($AE372/$AF372,0)*IFERROR($AC372/$AD372,0))</f>
      </c>
      <c r="AN372">
        <f>IF($A372="","",$I372-($AI372+$AJ372+$AK372+$AL372+$AM372+$AR372))</f>
      </c>
      <c r="AO372">
        <f>IF($A372="","",Allocation!CJ372)</f>
      </c>
      <c r="AP372">
        <f>IF($A372="","",IF(Allocation!$N$2="VOL_EFF",$Q372,IF(Allocation!$N$2="VOL_CLASS",$R372,$S372)))</f>
      </c>
      <c r="AQ372">
        <f>IF($A372="","",IF(Allocation!$N$2="VOL_EFF",$T372,IF(Allocation!$N$2="VOL_CLASS",$U372,$V372)))</f>
      </c>
      <c r="AR372">
        <f>IF($A372="","",$AO372*IFERROR($AP372/$AQ372,0)*IFERROR($AE372/$AF372,0)*IFERROR($AC372/$AD372,0))</f>
      </c>
      <c r="AS372">
        <f>IF($A372="","",$A372&amp;"|"&amp;Allocation!BG372)</f>
      </c>
    </row>
    <row r="373" spans="1:45">
      <c r="A373">
        <f>IF(Allocation!BI373="","",Allocation!BI373)</f>
      </c>
      <c r="B373">
        <f>IF(Allocation!BJ373="","",Allocation!BJ373)</f>
      </c>
      <c r="C373">
        <f>IF(Allocation!BK373="","",Allocation!BK373)</f>
      </c>
      <c r="D373">
        <f>IF(Allocation!BL373="","",Allocation!BL373)</f>
      </c>
      <c r="E373">
        <f>IF(Allocation!BM373="","",Allocation!BM373)</f>
      </c>
      <c r="F373">
        <f>IF(Allocation!BN373="","",Allocation!BN373)</f>
      </c>
      <c r="G373">
        <f>IF(Allocation!BO373="","",Allocation!BO373)</f>
      </c>
      <c r="H373">
        <f>IF(Allocation!BP373="","",Allocation!BP373)</f>
      </c>
      <c r="I373">
        <f>IF(Allocation!BQ373="","",Allocation!BQ373)</f>
      </c>
      <c r="J373">
        <f>IF(Allocation!CC373="","",Allocation!CC373)</f>
      </c>
      <c r="K373">
        <f>IF($A373="","",$H373*IF(AND(LEFT($D373,3)="BAC",$F373="INIT"),600,IF(LEFT($D373,3)="BAC",480,IF(AND(LEFT($D373,3)="MAS",$F373="INIT"),520,IF(LEFT($D373,3)="MAS",420,IF($F373="INIT",1000,700))))))</f>
      </c>
      <c r="L373">
        <f>IF($A373="","",SUMIFS($G$1:$G$349,$AS$1:$AS$349,$AS373,$B$1:$B$349,$B373))</f>
      </c>
      <c r="M373">
        <f>IF($A373="","",SUMIFS($H$1:$H$349,$AS$1:$AS$349,$AS373,$B$1:$B$349,$B373))</f>
      </c>
      <c r="N373">
        <f>IF($A373="","",SUMIFS($I$1:$I$349,$AS$1:$AS$349,$AS373,$B$1:$B$349,$B373))</f>
      </c>
      <c r="O373">
        <f>IF($A373="","",SUMIFS($K$1:$K$349,$AS$1:$AS$349,$AS373,$B$1:$B$349,$B373))</f>
      </c>
      <c r="P373">
        <f>IF($A373="","",SUMIFS($J$1:$J$349,$AS$1:$AS$349,$AS373,$B$1:$B$349,$B373))</f>
      </c>
      <c r="Q373">
        <f>IF($A373="","",SUMIFS($G$1:$G$349,$AS$1:$AS$349,$AS373,$C$1:$C$349,$C373))</f>
      </c>
      <c r="R373">
        <f>IF($A373="","",SUMIFS($H$1:$H$349,$AS$1:$AS$349,$AS373,$C$1:$C$349,$C373))</f>
      </c>
      <c r="S373">
        <f>IF($A373="","",SUMIFS($I$1:$I$349,$AS$1:$AS$349,$AS373,$C$1:$C$349,$C373))</f>
      </c>
      <c r="T373">
        <f>IF($A373="","",SUMIFS($G$1:$G$349,$AS$1:$AS$349,$AS373))</f>
      </c>
      <c r="U373">
        <f>IF($A373="","",SUMIFS($H$1:$H$349,$AS$1:$AS$349,$AS373))</f>
      </c>
      <c r="V373">
        <f>IF($A373="","",SUMIFS($I$1:$I$349,$AS$1:$AS$349,$AS373))</f>
      </c>
      <c r="W373">
        <f>IF($A373="","",Allocation!CD373)</f>
      </c>
      <c r="X373">
        <f>IF($A373="","",Allocation!CE373)</f>
      </c>
      <c r="Y373">
        <f>IF($A373="","",Allocation!CF373)</f>
      </c>
      <c r="Z373">
        <f>IF($A373="","",Allocation!CG373)</f>
      </c>
      <c r="AA373">
        <f>IF($A373="","",Allocation!CH373)</f>
      </c>
      <c r="AB373">
        <f>IF($A373="","",Allocation!CI373)</f>
      </c>
      <c r="AC373">
        <f>IF($A373="","",IF(Allocation!$N$4="VOL_EFF",$G373,IF(Allocation!$N$4="VOL_CLASS",$H373,$I373)))</f>
      </c>
      <c r="AD373">
        <f>IF($A373="","",IF(Allocation!$N$4="VOL_EFF",$L373,IF(Allocation!$N$4="VOL_CLASS",$M373,$N373)))</f>
      </c>
      <c r="AE373">
        <f>IF($A373="","",IF(Allocation!$N$3="VOL_EFF",$L373,IF(Allocation!$N$3="VOL_CLASS",$M373,$N373)))</f>
      </c>
      <c r="AF373">
        <f>IF($A373="","",IF(Allocation!$N$3="VOL_EFF",$Q373,IF(Allocation!$N$3="VOL_CLASS",$R373,$S373)))</f>
      </c>
      <c r="AG373">
        <f>IF($A373="","",IF(Allocation!$N$1="VOL_EFF",$Q373,IF(Allocation!$N$1="VOL_CLASS",$R373,$S373)))</f>
      </c>
      <c r="AH373">
        <f>IF($A373="","",IF(Allocation!$N$1="VOL_EFF",$T373,IF(Allocation!$N$1="VOL_CLASS",$U373,$V373)))</f>
      </c>
      <c r="AI373">
        <f>IF($A373="","",$W373*IFERROR($K373/$O373,0))</f>
      </c>
      <c r="AJ373">
        <f>IF($A373="","",$X373*IFERROR($K373/$O373,0))</f>
      </c>
      <c r="AK373">
        <f>IF($A373="","",$Y373*IFERROR($G373/$L373,0)+$Z373*IFERROR($J373/$P373,0))</f>
      </c>
      <c r="AL373">
        <f>IF($A373="","",$AA373*IFERROR($AC373/$AD373,0))</f>
      </c>
      <c r="AM373">
        <f>IF($A373="","",$AB373*IFERROR($AG373/$AH373,0)*IFERROR($AE373/$AF373,0)*IFERROR($AC373/$AD373,0))</f>
      </c>
      <c r="AN373">
        <f>IF($A373="","",$I373-($AI373+$AJ373+$AK373+$AL373+$AM373+$AR373))</f>
      </c>
      <c r="AO373">
        <f>IF($A373="","",Allocation!CJ373)</f>
      </c>
      <c r="AP373">
        <f>IF($A373="","",IF(Allocation!$N$2="VOL_EFF",$Q373,IF(Allocation!$N$2="VOL_CLASS",$R373,$S373)))</f>
      </c>
      <c r="AQ373">
        <f>IF($A373="","",IF(Allocation!$N$2="VOL_EFF",$T373,IF(Allocation!$N$2="VOL_CLASS",$U373,$V373)))</f>
      </c>
      <c r="AR373">
        <f>IF($A373="","",$AO373*IFERROR($AP373/$AQ373,0)*IFERROR($AE373/$AF373,0)*IFERROR($AC373/$AD373,0))</f>
      </c>
      <c r="AS373">
        <f>IF($A373="","",$A373&amp;"|"&amp;Allocation!BG373)</f>
      </c>
    </row>
    <row r="374" spans="1:45">
      <c r="A374">
        <f>IF(Allocation!BI374="","",Allocation!BI374)</f>
      </c>
      <c r="B374">
        <f>IF(Allocation!BJ374="","",Allocation!BJ374)</f>
      </c>
      <c r="C374">
        <f>IF(Allocation!BK374="","",Allocation!BK374)</f>
      </c>
      <c r="D374">
        <f>IF(Allocation!BL374="","",Allocation!BL374)</f>
      </c>
      <c r="E374">
        <f>IF(Allocation!BM374="","",Allocation!BM374)</f>
      </c>
      <c r="F374">
        <f>IF(Allocation!BN374="","",Allocation!BN374)</f>
      </c>
      <c r="G374">
        <f>IF(Allocation!BO374="","",Allocation!BO374)</f>
      </c>
      <c r="H374">
        <f>IF(Allocation!BP374="","",Allocation!BP374)</f>
      </c>
      <c r="I374">
        <f>IF(Allocation!BQ374="","",Allocation!BQ374)</f>
      </c>
      <c r="J374">
        <f>IF(Allocation!CC374="","",Allocation!CC374)</f>
      </c>
      <c r="K374">
        <f>IF($A374="","",$H374*IF(AND(LEFT($D374,3)="BAC",$F374="INIT"),600,IF(LEFT($D374,3)="BAC",480,IF(AND(LEFT($D374,3)="MAS",$F374="INIT"),520,IF(LEFT($D374,3)="MAS",420,IF($F374="INIT",1000,700))))))</f>
      </c>
      <c r="L374">
        <f>IF($A374="","",SUMIFS($G$1:$G$349,$AS$1:$AS$349,$AS374,$B$1:$B$349,$B374))</f>
      </c>
      <c r="M374">
        <f>IF($A374="","",SUMIFS($H$1:$H$349,$AS$1:$AS$349,$AS374,$B$1:$B$349,$B374))</f>
      </c>
      <c r="N374">
        <f>IF($A374="","",SUMIFS($I$1:$I$349,$AS$1:$AS$349,$AS374,$B$1:$B$349,$B374))</f>
      </c>
      <c r="O374">
        <f>IF($A374="","",SUMIFS($K$1:$K$349,$AS$1:$AS$349,$AS374,$B$1:$B$349,$B374))</f>
      </c>
      <c r="P374">
        <f>IF($A374="","",SUMIFS($J$1:$J$349,$AS$1:$AS$349,$AS374,$B$1:$B$349,$B374))</f>
      </c>
      <c r="Q374">
        <f>IF($A374="","",SUMIFS($G$1:$G$349,$AS$1:$AS$349,$AS374,$C$1:$C$349,$C374))</f>
      </c>
      <c r="R374">
        <f>IF($A374="","",SUMIFS($H$1:$H$349,$AS$1:$AS$349,$AS374,$C$1:$C$349,$C374))</f>
      </c>
      <c r="S374">
        <f>IF($A374="","",SUMIFS($I$1:$I$349,$AS$1:$AS$349,$AS374,$C$1:$C$349,$C374))</f>
      </c>
      <c r="T374">
        <f>IF($A374="","",SUMIFS($G$1:$G$349,$AS$1:$AS$349,$AS374))</f>
      </c>
      <c r="U374">
        <f>IF($A374="","",SUMIFS($H$1:$H$349,$AS$1:$AS$349,$AS374))</f>
      </c>
      <c r="V374">
        <f>IF($A374="","",SUMIFS($I$1:$I$349,$AS$1:$AS$349,$AS374))</f>
      </c>
      <c r="W374">
        <f>IF($A374="","",Allocation!CD374)</f>
      </c>
      <c r="X374">
        <f>IF($A374="","",Allocation!CE374)</f>
      </c>
      <c r="Y374">
        <f>IF($A374="","",Allocation!CF374)</f>
      </c>
      <c r="Z374">
        <f>IF($A374="","",Allocation!CG374)</f>
      </c>
      <c r="AA374">
        <f>IF($A374="","",Allocation!CH374)</f>
      </c>
      <c r="AB374">
        <f>IF($A374="","",Allocation!CI374)</f>
      </c>
      <c r="AC374">
        <f>IF($A374="","",IF(Allocation!$N$4="VOL_EFF",$G374,IF(Allocation!$N$4="VOL_CLASS",$H374,$I374)))</f>
      </c>
      <c r="AD374">
        <f>IF($A374="","",IF(Allocation!$N$4="VOL_EFF",$L374,IF(Allocation!$N$4="VOL_CLASS",$M374,$N374)))</f>
      </c>
      <c r="AE374">
        <f>IF($A374="","",IF(Allocation!$N$3="VOL_EFF",$L374,IF(Allocation!$N$3="VOL_CLASS",$M374,$N374)))</f>
      </c>
      <c r="AF374">
        <f>IF($A374="","",IF(Allocation!$N$3="VOL_EFF",$Q374,IF(Allocation!$N$3="VOL_CLASS",$R374,$S374)))</f>
      </c>
      <c r="AG374">
        <f>IF($A374="","",IF(Allocation!$N$1="VOL_EFF",$Q374,IF(Allocation!$N$1="VOL_CLASS",$R374,$S374)))</f>
      </c>
      <c r="AH374">
        <f>IF($A374="","",IF(Allocation!$N$1="VOL_EFF",$T374,IF(Allocation!$N$1="VOL_CLASS",$U374,$V374)))</f>
      </c>
      <c r="AI374">
        <f>IF($A374="","",$W374*IFERROR($K374/$O374,0))</f>
      </c>
      <c r="AJ374">
        <f>IF($A374="","",$X374*IFERROR($K374/$O374,0))</f>
      </c>
      <c r="AK374">
        <f>IF($A374="","",$Y374*IFERROR($G374/$L374,0)+$Z374*IFERROR($J374/$P374,0))</f>
      </c>
      <c r="AL374">
        <f>IF($A374="","",$AA374*IFERROR($AC374/$AD374,0))</f>
      </c>
      <c r="AM374">
        <f>IF($A374="","",$AB374*IFERROR($AG374/$AH374,0)*IFERROR($AE374/$AF374,0)*IFERROR($AC374/$AD374,0))</f>
      </c>
      <c r="AN374">
        <f>IF($A374="","",$I374-($AI374+$AJ374+$AK374+$AL374+$AM374+$AR374))</f>
      </c>
      <c r="AO374">
        <f>IF($A374="","",Allocation!CJ374)</f>
      </c>
      <c r="AP374">
        <f>IF($A374="","",IF(Allocation!$N$2="VOL_EFF",$Q374,IF(Allocation!$N$2="VOL_CLASS",$R374,$S374)))</f>
      </c>
      <c r="AQ374">
        <f>IF($A374="","",IF(Allocation!$N$2="VOL_EFF",$T374,IF(Allocation!$N$2="VOL_CLASS",$U374,$V374)))</f>
      </c>
      <c r="AR374">
        <f>IF($A374="","",$AO374*IFERROR($AP374/$AQ374,0)*IFERROR($AE374/$AF374,0)*IFERROR($AC374/$AD374,0))</f>
      </c>
      <c r="AS374">
        <f>IF($A374="","",$A374&amp;"|"&amp;Allocation!BG374)</f>
      </c>
    </row>
    <row r="375" spans="1:45">
      <c r="A375">
        <f>IF(Allocation!BI375="","",Allocation!BI375)</f>
      </c>
      <c r="B375">
        <f>IF(Allocation!BJ375="","",Allocation!BJ375)</f>
      </c>
      <c r="C375">
        <f>IF(Allocation!BK375="","",Allocation!BK375)</f>
      </c>
      <c r="D375">
        <f>IF(Allocation!BL375="","",Allocation!BL375)</f>
      </c>
      <c r="E375">
        <f>IF(Allocation!BM375="","",Allocation!BM375)</f>
      </c>
      <c r="F375">
        <f>IF(Allocation!BN375="","",Allocation!BN375)</f>
      </c>
      <c r="G375">
        <f>IF(Allocation!BO375="","",Allocation!BO375)</f>
      </c>
      <c r="H375">
        <f>IF(Allocation!BP375="","",Allocation!BP375)</f>
      </c>
      <c r="I375">
        <f>IF(Allocation!BQ375="","",Allocation!BQ375)</f>
      </c>
      <c r="J375">
        <f>IF(Allocation!CC375="","",Allocation!CC375)</f>
      </c>
      <c r="K375">
        <f>IF($A375="","",$H375*IF(AND(LEFT($D375,3)="BAC",$F375="INIT"),600,IF(LEFT($D375,3)="BAC",480,IF(AND(LEFT($D375,3)="MAS",$F375="INIT"),520,IF(LEFT($D375,3)="MAS",420,IF($F375="INIT",1000,700))))))</f>
      </c>
      <c r="L375">
        <f>IF($A375="","",SUMIFS($G$1:$G$349,$AS$1:$AS$349,$AS375,$B$1:$B$349,$B375))</f>
      </c>
      <c r="M375">
        <f>IF($A375="","",SUMIFS($H$1:$H$349,$AS$1:$AS$349,$AS375,$B$1:$B$349,$B375))</f>
      </c>
      <c r="N375">
        <f>IF($A375="","",SUMIFS($I$1:$I$349,$AS$1:$AS$349,$AS375,$B$1:$B$349,$B375))</f>
      </c>
      <c r="O375">
        <f>IF($A375="","",SUMIFS($K$1:$K$349,$AS$1:$AS$349,$AS375,$B$1:$B$349,$B375))</f>
      </c>
      <c r="P375">
        <f>IF($A375="","",SUMIFS($J$1:$J$349,$AS$1:$AS$349,$AS375,$B$1:$B$349,$B375))</f>
      </c>
      <c r="Q375">
        <f>IF($A375="","",SUMIFS($G$1:$G$349,$AS$1:$AS$349,$AS375,$C$1:$C$349,$C375))</f>
      </c>
      <c r="R375">
        <f>IF($A375="","",SUMIFS($H$1:$H$349,$AS$1:$AS$349,$AS375,$C$1:$C$349,$C375))</f>
      </c>
      <c r="S375">
        <f>IF($A375="","",SUMIFS($I$1:$I$349,$AS$1:$AS$349,$AS375,$C$1:$C$349,$C375))</f>
      </c>
      <c r="T375">
        <f>IF($A375="","",SUMIFS($G$1:$G$349,$AS$1:$AS$349,$AS375))</f>
      </c>
      <c r="U375">
        <f>IF($A375="","",SUMIFS($H$1:$H$349,$AS$1:$AS$349,$AS375))</f>
      </c>
      <c r="V375">
        <f>IF($A375="","",SUMIFS($I$1:$I$349,$AS$1:$AS$349,$AS375))</f>
      </c>
      <c r="W375">
        <f>IF($A375="","",Allocation!CD375)</f>
      </c>
      <c r="X375">
        <f>IF($A375="","",Allocation!CE375)</f>
      </c>
      <c r="Y375">
        <f>IF($A375="","",Allocation!CF375)</f>
      </c>
      <c r="Z375">
        <f>IF($A375="","",Allocation!CG375)</f>
      </c>
      <c r="AA375">
        <f>IF($A375="","",Allocation!CH375)</f>
      </c>
      <c r="AB375">
        <f>IF($A375="","",Allocation!CI375)</f>
      </c>
      <c r="AC375">
        <f>IF($A375="","",IF(Allocation!$N$4="VOL_EFF",$G375,IF(Allocation!$N$4="VOL_CLASS",$H375,$I375)))</f>
      </c>
      <c r="AD375">
        <f>IF($A375="","",IF(Allocation!$N$4="VOL_EFF",$L375,IF(Allocation!$N$4="VOL_CLASS",$M375,$N375)))</f>
      </c>
      <c r="AE375">
        <f>IF($A375="","",IF(Allocation!$N$3="VOL_EFF",$L375,IF(Allocation!$N$3="VOL_CLASS",$M375,$N375)))</f>
      </c>
      <c r="AF375">
        <f>IF($A375="","",IF(Allocation!$N$3="VOL_EFF",$Q375,IF(Allocation!$N$3="VOL_CLASS",$R375,$S375)))</f>
      </c>
      <c r="AG375">
        <f>IF($A375="","",IF(Allocation!$N$1="VOL_EFF",$Q375,IF(Allocation!$N$1="VOL_CLASS",$R375,$S375)))</f>
      </c>
      <c r="AH375">
        <f>IF($A375="","",IF(Allocation!$N$1="VOL_EFF",$T375,IF(Allocation!$N$1="VOL_CLASS",$U375,$V375)))</f>
      </c>
      <c r="AI375">
        <f>IF($A375="","",$W375*IFERROR($K375/$O375,0))</f>
      </c>
      <c r="AJ375">
        <f>IF($A375="","",$X375*IFERROR($K375/$O375,0))</f>
      </c>
      <c r="AK375">
        <f>IF($A375="","",$Y375*IFERROR($G375/$L375,0)+$Z375*IFERROR($J375/$P375,0))</f>
      </c>
      <c r="AL375">
        <f>IF($A375="","",$AA375*IFERROR($AC375/$AD375,0))</f>
      </c>
      <c r="AM375">
        <f>IF($A375="","",$AB375*IFERROR($AG375/$AH375,0)*IFERROR($AE375/$AF375,0)*IFERROR($AC375/$AD375,0))</f>
      </c>
      <c r="AN375">
        <f>IF($A375="","",$I375-($AI375+$AJ375+$AK375+$AL375+$AM375+$AR375))</f>
      </c>
      <c r="AO375">
        <f>IF($A375="","",Allocation!CJ375)</f>
      </c>
      <c r="AP375">
        <f>IF($A375="","",IF(Allocation!$N$2="VOL_EFF",$Q375,IF(Allocation!$N$2="VOL_CLASS",$R375,$S375)))</f>
      </c>
      <c r="AQ375">
        <f>IF($A375="","",IF(Allocation!$N$2="VOL_EFF",$T375,IF(Allocation!$N$2="VOL_CLASS",$U375,$V375)))</f>
      </c>
      <c r="AR375">
        <f>IF($A375="","",$AO375*IFERROR($AP375/$AQ375,0)*IFERROR($AE375/$AF375,0)*IFERROR($AC375/$AD375,0))</f>
      </c>
      <c r="AS375">
        <f>IF($A375="","",$A375&amp;"|"&amp;Allocation!BG375)</f>
      </c>
    </row>
    <row r="376" spans="1:45">
      <c r="A376">
        <f>IF(Allocation!BI376="","",Allocation!BI376)</f>
      </c>
      <c r="B376">
        <f>IF(Allocation!BJ376="","",Allocation!BJ376)</f>
      </c>
      <c r="C376">
        <f>IF(Allocation!BK376="","",Allocation!BK376)</f>
      </c>
      <c r="D376">
        <f>IF(Allocation!BL376="","",Allocation!BL376)</f>
      </c>
      <c r="E376">
        <f>IF(Allocation!BM376="","",Allocation!BM376)</f>
      </c>
      <c r="F376">
        <f>IF(Allocation!BN376="","",Allocation!BN376)</f>
      </c>
      <c r="G376">
        <f>IF(Allocation!BO376="","",Allocation!BO376)</f>
      </c>
      <c r="H376">
        <f>IF(Allocation!BP376="","",Allocation!BP376)</f>
      </c>
      <c r="I376">
        <f>IF(Allocation!BQ376="","",Allocation!BQ376)</f>
      </c>
      <c r="J376">
        <f>IF(Allocation!CC376="","",Allocation!CC376)</f>
      </c>
      <c r="K376">
        <f>IF($A376="","",$H376*IF(AND(LEFT($D376,3)="BAC",$F376="INIT"),600,IF(LEFT($D376,3)="BAC",480,IF(AND(LEFT($D376,3)="MAS",$F376="INIT"),520,IF(LEFT($D376,3)="MAS",420,IF($F376="INIT",1000,700))))))</f>
      </c>
      <c r="L376">
        <f>IF($A376="","",SUMIFS($G$1:$G$349,$AS$1:$AS$349,$AS376,$B$1:$B$349,$B376))</f>
      </c>
      <c r="M376">
        <f>IF($A376="","",SUMIFS($H$1:$H$349,$AS$1:$AS$349,$AS376,$B$1:$B$349,$B376))</f>
      </c>
      <c r="N376">
        <f>IF($A376="","",SUMIFS($I$1:$I$349,$AS$1:$AS$349,$AS376,$B$1:$B$349,$B376))</f>
      </c>
      <c r="O376">
        <f>IF($A376="","",SUMIFS($K$1:$K$349,$AS$1:$AS$349,$AS376,$B$1:$B$349,$B376))</f>
      </c>
      <c r="P376">
        <f>IF($A376="","",SUMIFS($J$1:$J$349,$AS$1:$AS$349,$AS376,$B$1:$B$349,$B376))</f>
      </c>
      <c r="Q376">
        <f>IF($A376="","",SUMIFS($G$1:$G$349,$AS$1:$AS$349,$AS376,$C$1:$C$349,$C376))</f>
      </c>
      <c r="R376">
        <f>IF($A376="","",SUMIFS($H$1:$H$349,$AS$1:$AS$349,$AS376,$C$1:$C$349,$C376))</f>
      </c>
      <c r="S376">
        <f>IF($A376="","",SUMIFS($I$1:$I$349,$AS$1:$AS$349,$AS376,$C$1:$C$349,$C376))</f>
      </c>
      <c r="T376">
        <f>IF($A376="","",SUMIFS($G$1:$G$349,$AS$1:$AS$349,$AS376))</f>
      </c>
      <c r="U376">
        <f>IF($A376="","",SUMIFS($H$1:$H$349,$AS$1:$AS$349,$AS376))</f>
      </c>
      <c r="V376">
        <f>IF($A376="","",SUMIFS($I$1:$I$349,$AS$1:$AS$349,$AS376))</f>
      </c>
      <c r="W376">
        <f>IF($A376="","",Allocation!CD376)</f>
      </c>
      <c r="X376">
        <f>IF($A376="","",Allocation!CE376)</f>
      </c>
      <c r="Y376">
        <f>IF($A376="","",Allocation!CF376)</f>
      </c>
      <c r="Z376">
        <f>IF($A376="","",Allocation!CG376)</f>
      </c>
      <c r="AA376">
        <f>IF($A376="","",Allocation!CH376)</f>
      </c>
      <c r="AB376">
        <f>IF($A376="","",Allocation!CI376)</f>
      </c>
      <c r="AC376">
        <f>IF($A376="","",IF(Allocation!$N$4="VOL_EFF",$G376,IF(Allocation!$N$4="VOL_CLASS",$H376,$I376)))</f>
      </c>
      <c r="AD376">
        <f>IF($A376="","",IF(Allocation!$N$4="VOL_EFF",$L376,IF(Allocation!$N$4="VOL_CLASS",$M376,$N376)))</f>
      </c>
      <c r="AE376">
        <f>IF($A376="","",IF(Allocation!$N$3="VOL_EFF",$L376,IF(Allocation!$N$3="VOL_CLASS",$M376,$N376)))</f>
      </c>
      <c r="AF376">
        <f>IF($A376="","",IF(Allocation!$N$3="VOL_EFF",$Q376,IF(Allocation!$N$3="VOL_CLASS",$R376,$S376)))</f>
      </c>
      <c r="AG376">
        <f>IF($A376="","",IF(Allocation!$N$1="VOL_EFF",$Q376,IF(Allocation!$N$1="VOL_CLASS",$R376,$S376)))</f>
      </c>
      <c r="AH376">
        <f>IF($A376="","",IF(Allocation!$N$1="VOL_EFF",$T376,IF(Allocation!$N$1="VOL_CLASS",$U376,$V376)))</f>
      </c>
      <c r="AI376">
        <f>IF($A376="","",$W376*IFERROR($K376/$O376,0))</f>
      </c>
      <c r="AJ376">
        <f>IF($A376="","",$X376*IFERROR($K376/$O376,0))</f>
      </c>
      <c r="AK376">
        <f>IF($A376="","",$Y376*IFERROR($G376/$L376,0)+$Z376*IFERROR($J376/$P376,0))</f>
      </c>
      <c r="AL376">
        <f>IF($A376="","",$AA376*IFERROR($AC376/$AD376,0))</f>
      </c>
      <c r="AM376">
        <f>IF($A376="","",$AB376*IFERROR($AG376/$AH376,0)*IFERROR($AE376/$AF376,0)*IFERROR($AC376/$AD376,0))</f>
      </c>
      <c r="AN376">
        <f>IF($A376="","",$I376-($AI376+$AJ376+$AK376+$AL376+$AM376+$AR376))</f>
      </c>
      <c r="AO376">
        <f>IF($A376="","",Allocation!CJ376)</f>
      </c>
      <c r="AP376">
        <f>IF($A376="","",IF(Allocation!$N$2="VOL_EFF",$Q376,IF(Allocation!$N$2="VOL_CLASS",$R376,$S376)))</f>
      </c>
      <c r="AQ376">
        <f>IF($A376="","",IF(Allocation!$N$2="VOL_EFF",$T376,IF(Allocation!$N$2="VOL_CLASS",$U376,$V376)))</f>
      </c>
      <c r="AR376">
        <f>IF($A376="","",$AO376*IFERROR($AP376/$AQ376,0)*IFERROR($AE376/$AF376,0)*IFERROR($AC376/$AD376,0))</f>
      </c>
      <c r="AS376">
        <f>IF($A376="","",$A376&amp;"|"&amp;Allocation!BG376)</f>
      </c>
    </row>
    <row r="377" spans="1:45">
      <c r="A377">
        <f>IF(Allocation!BI377="","",Allocation!BI377)</f>
      </c>
      <c r="B377">
        <f>IF(Allocation!BJ377="","",Allocation!BJ377)</f>
      </c>
      <c r="C377">
        <f>IF(Allocation!BK377="","",Allocation!BK377)</f>
      </c>
      <c r="D377">
        <f>IF(Allocation!BL377="","",Allocation!BL377)</f>
      </c>
      <c r="E377">
        <f>IF(Allocation!BM377="","",Allocation!BM377)</f>
      </c>
      <c r="F377">
        <f>IF(Allocation!BN377="","",Allocation!BN377)</f>
      </c>
      <c r="G377">
        <f>IF(Allocation!BO377="","",Allocation!BO377)</f>
      </c>
      <c r="H377">
        <f>IF(Allocation!BP377="","",Allocation!BP377)</f>
      </c>
      <c r="I377">
        <f>IF(Allocation!BQ377="","",Allocation!BQ377)</f>
      </c>
      <c r="J377">
        <f>IF(Allocation!CC377="","",Allocation!CC377)</f>
      </c>
      <c r="K377">
        <f>IF($A377="","",$H377*IF(AND(LEFT($D377,3)="BAC",$F377="INIT"),600,IF(LEFT($D377,3)="BAC",480,IF(AND(LEFT($D377,3)="MAS",$F377="INIT"),520,IF(LEFT($D377,3)="MAS",420,IF($F377="INIT",1000,700))))))</f>
      </c>
      <c r="L377">
        <f>IF($A377="","",SUMIFS($G$1:$G$349,$AS$1:$AS$349,$AS377,$B$1:$B$349,$B377))</f>
      </c>
      <c r="M377">
        <f>IF($A377="","",SUMIFS($H$1:$H$349,$AS$1:$AS$349,$AS377,$B$1:$B$349,$B377))</f>
      </c>
      <c r="N377">
        <f>IF($A377="","",SUMIFS($I$1:$I$349,$AS$1:$AS$349,$AS377,$B$1:$B$349,$B377))</f>
      </c>
      <c r="O377">
        <f>IF($A377="","",SUMIFS($K$1:$K$349,$AS$1:$AS$349,$AS377,$B$1:$B$349,$B377))</f>
      </c>
      <c r="P377">
        <f>IF($A377="","",SUMIFS($J$1:$J$349,$AS$1:$AS$349,$AS377,$B$1:$B$349,$B377))</f>
      </c>
      <c r="Q377">
        <f>IF($A377="","",SUMIFS($G$1:$G$349,$AS$1:$AS$349,$AS377,$C$1:$C$349,$C377))</f>
      </c>
      <c r="R377">
        <f>IF($A377="","",SUMIFS($H$1:$H$349,$AS$1:$AS$349,$AS377,$C$1:$C$349,$C377))</f>
      </c>
      <c r="S377">
        <f>IF($A377="","",SUMIFS($I$1:$I$349,$AS$1:$AS$349,$AS377,$C$1:$C$349,$C377))</f>
      </c>
      <c r="T377">
        <f>IF($A377="","",SUMIFS($G$1:$G$349,$AS$1:$AS$349,$AS377))</f>
      </c>
      <c r="U377">
        <f>IF($A377="","",SUMIFS($H$1:$H$349,$AS$1:$AS$349,$AS377))</f>
      </c>
      <c r="V377">
        <f>IF($A377="","",SUMIFS($I$1:$I$349,$AS$1:$AS$349,$AS377))</f>
      </c>
      <c r="W377">
        <f>IF($A377="","",Allocation!CD377)</f>
      </c>
      <c r="X377">
        <f>IF($A377="","",Allocation!CE377)</f>
      </c>
      <c r="Y377">
        <f>IF($A377="","",Allocation!CF377)</f>
      </c>
      <c r="Z377">
        <f>IF($A377="","",Allocation!CG377)</f>
      </c>
      <c r="AA377">
        <f>IF($A377="","",Allocation!CH377)</f>
      </c>
      <c r="AB377">
        <f>IF($A377="","",Allocation!CI377)</f>
      </c>
      <c r="AC377">
        <f>IF($A377="","",IF(Allocation!$N$4="VOL_EFF",$G377,IF(Allocation!$N$4="VOL_CLASS",$H377,$I377)))</f>
      </c>
      <c r="AD377">
        <f>IF($A377="","",IF(Allocation!$N$4="VOL_EFF",$L377,IF(Allocation!$N$4="VOL_CLASS",$M377,$N377)))</f>
      </c>
      <c r="AE377">
        <f>IF($A377="","",IF(Allocation!$N$3="VOL_EFF",$L377,IF(Allocation!$N$3="VOL_CLASS",$M377,$N377)))</f>
      </c>
      <c r="AF377">
        <f>IF($A377="","",IF(Allocation!$N$3="VOL_EFF",$Q377,IF(Allocation!$N$3="VOL_CLASS",$R377,$S377)))</f>
      </c>
      <c r="AG377">
        <f>IF($A377="","",IF(Allocation!$N$1="VOL_EFF",$Q377,IF(Allocation!$N$1="VOL_CLASS",$R377,$S377)))</f>
      </c>
      <c r="AH377">
        <f>IF($A377="","",IF(Allocation!$N$1="VOL_EFF",$T377,IF(Allocation!$N$1="VOL_CLASS",$U377,$V377)))</f>
      </c>
      <c r="AI377">
        <f>IF($A377="","",$W377*IFERROR($K377/$O377,0))</f>
      </c>
      <c r="AJ377">
        <f>IF($A377="","",$X377*IFERROR($K377/$O377,0))</f>
      </c>
      <c r="AK377">
        <f>IF($A377="","",$Y377*IFERROR($G377/$L377,0)+$Z377*IFERROR($J377/$P377,0))</f>
      </c>
      <c r="AL377">
        <f>IF($A377="","",$AA377*IFERROR($AC377/$AD377,0))</f>
      </c>
      <c r="AM377">
        <f>IF($A377="","",$AB377*IFERROR($AG377/$AH377,0)*IFERROR($AE377/$AF377,0)*IFERROR($AC377/$AD377,0))</f>
      </c>
      <c r="AN377">
        <f>IF($A377="","",$I377-($AI377+$AJ377+$AK377+$AL377+$AM377+$AR377))</f>
      </c>
      <c r="AO377">
        <f>IF($A377="","",Allocation!CJ377)</f>
      </c>
      <c r="AP377">
        <f>IF($A377="","",IF(Allocation!$N$2="VOL_EFF",$Q377,IF(Allocation!$N$2="VOL_CLASS",$R377,$S377)))</f>
      </c>
      <c r="AQ377">
        <f>IF($A377="","",IF(Allocation!$N$2="VOL_EFF",$T377,IF(Allocation!$N$2="VOL_CLASS",$U377,$V377)))</f>
      </c>
      <c r="AR377">
        <f>IF($A377="","",$AO377*IFERROR($AP377/$AQ377,0)*IFERROR($AE377/$AF377,0)*IFERROR($AC377/$AD377,0))</f>
      </c>
      <c r="AS377">
        <f>IF($A377="","",$A377&amp;"|"&amp;Allocation!BG377)</f>
      </c>
    </row>
    <row r="378" spans="1:45">
      <c r="A378">
        <f>IF(Allocation!BI378="","",Allocation!BI378)</f>
      </c>
      <c r="B378">
        <f>IF(Allocation!BJ378="","",Allocation!BJ378)</f>
      </c>
      <c r="C378">
        <f>IF(Allocation!BK378="","",Allocation!BK378)</f>
      </c>
      <c r="D378">
        <f>IF(Allocation!BL378="","",Allocation!BL378)</f>
      </c>
      <c r="E378">
        <f>IF(Allocation!BM378="","",Allocation!BM378)</f>
      </c>
      <c r="F378">
        <f>IF(Allocation!BN378="","",Allocation!BN378)</f>
      </c>
      <c r="G378">
        <f>IF(Allocation!BO378="","",Allocation!BO378)</f>
      </c>
      <c r="H378">
        <f>IF(Allocation!BP378="","",Allocation!BP378)</f>
      </c>
      <c r="I378">
        <f>IF(Allocation!BQ378="","",Allocation!BQ378)</f>
      </c>
      <c r="J378">
        <f>IF(Allocation!CC378="","",Allocation!CC378)</f>
      </c>
      <c r="K378">
        <f>IF($A378="","",$H378*IF(AND(LEFT($D378,3)="BAC",$F378="INIT"),600,IF(LEFT($D378,3)="BAC",480,IF(AND(LEFT($D378,3)="MAS",$F378="INIT"),520,IF(LEFT($D378,3)="MAS",420,IF($F378="INIT",1000,700))))))</f>
      </c>
      <c r="L378">
        <f>IF($A378="","",SUMIFS($G$1:$G$349,$AS$1:$AS$349,$AS378,$B$1:$B$349,$B378))</f>
      </c>
      <c r="M378">
        <f>IF($A378="","",SUMIFS($H$1:$H$349,$AS$1:$AS$349,$AS378,$B$1:$B$349,$B378))</f>
      </c>
      <c r="N378">
        <f>IF($A378="","",SUMIFS($I$1:$I$349,$AS$1:$AS$349,$AS378,$B$1:$B$349,$B378))</f>
      </c>
      <c r="O378">
        <f>IF($A378="","",SUMIFS($K$1:$K$349,$AS$1:$AS$349,$AS378,$B$1:$B$349,$B378))</f>
      </c>
      <c r="P378">
        <f>IF($A378="","",SUMIFS($J$1:$J$349,$AS$1:$AS$349,$AS378,$B$1:$B$349,$B378))</f>
      </c>
      <c r="Q378">
        <f>IF($A378="","",SUMIFS($G$1:$G$349,$AS$1:$AS$349,$AS378,$C$1:$C$349,$C378))</f>
      </c>
      <c r="R378">
        <f>IF($A378="","",SUMIFS($H$1:$H$349,$AS$1:$AS$349,$AS378,$C$1:$C$349,$C378))</f>
      </c>
      <c r="S378">
        <f>IF($A378="","",SUMIFS($I$1:$I$349,$AS$1:$AS$349,$AS378,$C$1:$C$349,$C378))</f>
      </c>
      <c r="T378">
        <f>IF($A378="","",SUMIFS($G$1:$G$349,$AS$1:$AS$349,$AS378))</f>
      </c>
      <c r="U378">
        <f>IF($A378="","",SUMIFS($H$1:$H$349,$AS$1:$AS$349,$AS378))</f>
      </c>
      <c r="V378">
        <f>IF($A378="","",SUMIFS($I$1:$I$349,$AS$1:$AS$349,$AS378))</f>
      </c>
      <c r="W378">
        <f>IF($A378="","",Allocation!CD378)</f>
      </c>
      <c r="X378">
        <f>IF($A378="","",Allocation!CE378)</f>
      </c>
      <c r="Y378">
        <f>IF($A378="","",Allocation!CF378)</f>
      </c>
      <c r="Z378">
        <f>IF($A378="","",Allocation!CG378)</f>
      </c>
      <c r="AA378">
        <f>IF($A378="","",Allocation!CH378)</f>
      </c>
      <c r="AB378">
        <f>IF($A378="","",Allocation!CI378)</f>
      </c>
      <c r="AC378">
        <f>IF($A378="","",IF(Allocation!$N$4="VOL_EFF",$G378,IF(Allocation!$N$4="VOL_CLASS",$H378,$I378)))</f>
      </c>
      <c r="AD378">
        <f>IF($A378="","",IF(Allocation!$N$4="VOL_EFF",$L378,IF(Allocation!$N$4="VOL_CLASS",$M378,$N378)))</f>
      </c>
      <c r="AE378">
        <f>IF($A378="","",IF(Allocation!$N$3="VOL_EFF",$L378,IF(Allocation!$N$3="VOL_CLASS",$M378,$N378)))</f>
      </c>
      <c r="AF378">
        <f>IF($A378="","",IF(Allocation!$N$3="VOL_EFF",$Q378,IF(Allocation!$N$3="VOL_CLASS",$R378,$S378)))</f>
      </c>
      <c r="AG378">
        <f>IF($A378="","",IF(Allocation!$N$1="VOL_EFF",$Q378,IF(Allocation!$N$1="VOL_CLASS",$R378,$S378)))</f>
      </c>
      <c r="AH378">
        <f>IF($A378="","",IF(Allocation!$N$1="VOL_EFF",$T378,IF(Allocation!$N$1="VOL_CLASS",$U378,$V378)))</f>
      </c>
      <c r="AI378">
        <f>IF($A378="","",$W378*IFERROR($K378/$O378,0))</f>
      </c>
      <c r="AJ378">
        <f>IF($A378="","",$X378*IFERROR($K378/$O378,0))</f>
      </c>
      <c r="AK378">
        <f>IF($A378="","",$Y378*IFERROR($G378/$L378,0)+$Z378*IFERROR($J378/$P378,0))</f>
      </c>
      <c r="AL378">
        <f>IF($A378="","",$AA378*IFERROR($AC378/$AD378,0))</f>
      </c>
      <c r="AM378">
        <f>IF($A378="","",$AB378*IFERROR($AG378/$AH378,0)*IFERROR($AE378/$AF378,0)*IFERROR($AC378/$AD378,0))</f>
      </c>
      <c r="AN378">
        <f>IF($A378="","",$I378-($AI378+$AJ378+$AK378+$AL378+$AM378+$AR378))</f>
      </c>
      <c r="AO378">
        <f>IF($A378="","",Allocation!CJ378)</f>
      </c>
      <c r="AP378">
        <f>IF($A378="","",IF(Allocation!$N$2="VOL_EFF",$Q378,IF(Allocation!$N$2="VOL_CLASS",$R378,$S378)))</f>
      </c>
      <c r="AQ378">
        <f>IF($A378="","",IF(Allocation!$N$2="VOL_EFF",$T378,IF(Allocation!$N$2="VOL_CLASS",$U378,$V378)))</f>
      </c>
      <c r="AR378">
        <f>IF($A378="","",$AO378*IFERROR($AP378/$AQ378,0)*IFERROR($AE378/$AF378,0)*IFERROR($AC378/$AD378,0))</f>
      </c>
      <c r="AS378">
        <f>IF($A378="","",$A378&amp;"|"&amp;Allocation!BG378)</f>
      </c>
    </row>
    <row r="379" spans="1:45">
      <c r="A379">
        <f>IF(Allocation!BI379="","",Allocation!BI379)</f>
      </c>
      <c r="B379">
        <f>IF(Allocation!BJ379="","",Allocation!BJ379)</f>
      </c>
      <c r="C379">
        <f>IF(Allocation!BK379="","",Allocation!BK379)</f>
      </c>
      <c r="D379">
        <f>IF(Allocation!BL379="","",Allocation!BL379)</f>
      </c>
      <c r="E379">
        <f>IF(Allocation!BM379="","",Allocation!BM379)</f>
      </c>
      <c r="F379">
        <f>IF(Allocation!BN379="","",Allocation!BN379)</f>
      </c>
      <c r="G379">
        <f>IF(Allocation!BO379="","",Allocation!BO379)</f>
      </c>
      <c r="H379">
        <f>IF(Allocation!BP379="","",Allocation!BP379)</f>
      </c>
      <c r="I379">
        <f>IF(Allocation!BQ379="","",Allocation!BQ379)</f>
      </c>
      <c r="J379">
        <f>IF(Allocation!CC379="","",Allocation!CC379)</f>
      </c>
      <c r="K379">
        <f>IF($A379="","",$H379*IF(AND(LEFT($D379,3)="BAC",$F379="INIT"),600,IF(LEFT($D379,3)="BAC",480,IF(AND(LEFT($D379,3)="MAS",$F379="INIT"),520,IF(LEFT($D379,3)="MAS",420,IF($F379="INIT",1000,700))))))</f>
      </c>
      <c r="L379">
        <f>IF($A379="","",SUMIFS($G$1:$G$349,$AS$1:$AS$349,$AS379,$B$1:$B$349,$B379))</f>
      </c>
      <c r="M379">
        <f>IF($A379="","",SUMIFS($H$1:$H$349,$AS$1:$AS$349,$AS379,$B$1:$B$349,$B379))</f>
      </c>
      <c r="N379">
        <f>IF($A379="","",SUMIFS($I$1:$I$349,$AS$1:$AS$349,$AS379,$B$1:$B$349,$B379))</f>
      </c>
      <c r="O379">
        <f>IF($A379="","",SUMIFS($K$1:$K$349,$AS$1:$AS$349,$AS379,$B$1:$B$349,$B379))</f>
      </c>
      <c r="P379">
        <f>IF($A379="","",SUMIFS($J$1:$J$349,$AS$1:$AS$349,$AS379,$B$1:$B$349,$B379))</f>
      </c>
      <c r="Q379">
        <f>IF($A379="","",SUMIFS($G$1:$G$349,$AS$1:$AS$349,$AS379,$C$1:$C$349,$C379))</f>
      </c>
      <c r="R379">
        <f>IF($A379="","",SUMIFS($H$1:$H$349,$AS$1:$AS$349,$AS379,$C$1:$C$349,$C379))</f>
      </c>
      <c r="S379">
        <f>IF($A379="","",SUMIFS($I$1:$I$349,$AS$1:$AS$349,$AS379,$C$1:$C$349,$C379))</f>
      </c>
      <c r="T379">
        <f>IF($A379="","",SUMIFS($G$1:$G$349,$AS$1:$AS$349,$AS379))</f>
      </c>
      <c r="U379">
        <f>IF($A379="","",SUMIFS($H$1:$H$349,$AS$1:$AS$349,$AS379))</f>
      </c>
      <c r="V379">
        <f>IF($A379="","",SUMIFS($I$1:$I$349,$AS$1:$AS$349,$AS379))</f>
      </c>
      <c r="W379">
        <f>IF($A379="","",Allocation!CD379)</f>
      </c>
      <c r="X379">
        <f>IF($A379="","",Allocation!CE379)</f>
      </c>
      <c r="Y379">
        <f>IF($A379="","",Allocation!CF379)</f>
      </c>
      <c r="Z379">
        <f>IF($A379="","",Allocation!CG379)</f>
      </c>
      <c r="AA379">
        <f>IF($A379="","",Allocation!CH379)</f>
      </c>
      <c r="AB379">
        <f>IF($A379="","",Allocation!CI379)</f>
      </c>
      <c r="AC379">
        <f>IF($A379="","",IF(Allocation!$N$4="VOL_EFF",$G379,IF(Allocation!$N$4="VOL_CLASS",$H379,$I379)))</f>
      </c>
      <c r="AD379">
        <f>IF($A379="","",IF(Allocation!$N$4="VOL_EFF",$L379,IF(Allocation!$N$4="VOL_CLASS",$M379,$N379)))</f>
      </c>
      <c r="AE379">
        <f>IF($A379="","",IF(Allocation!$N$3="VOL_EFF",$L379,IF(Allocation!$N$3="VOL_CLASS",$M379,$N379)))</f>
      </c>
      <c r="AF379">
        <f>IF($A379="","",IF(Allocation!$N$3="VOL_EFF",$Q379,IF(Allocation!$N$3="VOL_CLASS",$R379,$S379)))</f>
      </c>
      <c r="AG379">
        <f>IF($A379="","",IF(Allocation!$N$1="VOL_EFF",$Q379,IF(Allocation!$N$1="VOL_CLASS",$R379,$S379)))</f>
      </c>
      <c r="AH379">
        <f>IF($A379="","",IF(Allocation!$N$1="VOL_EFF",$T379,IF(Allocation!$N$1="VOL_CLASS",$U379,$V379)))</f>
      </c>
      <c r="AI379">
        <f>IF($A379="","",$W379*IFERROR($K379/$O379,0))</f>
      </c>
      <c r="AJ379">
        <f>IF($A379="","",$X379*IFERROR($K379/$O379,0))</f>
      </c>
      <c r="AK379">
        <f>IF($A379="","",$Y379*IFERROR($G379/$L379,0)+$Z379*IFERROR($J379/$P379,0))</f>
      </c>
      <c r="AL379">
        <f>IF($A379="","",$AA379*IFERROR($AC379/$AD379,0))</f>
      </c>
      <c r="AM379">
        <f>IF($A379="","",$AB379*IFERROR($AG379/$AH379,0)*IFERROR($AE379/$AF379,0)*IFERROR($AC379/$AD379,0))</f>
      </c>
      <c r="AN379">
        <f>IF($A379="","",$I379-($AI379+$AJ379+$AK379+$AL379+$AM379+$AR379))</f>
      </c>
      <c r="AO379">
        <f>IF($A379="","",Allocation!CJ379)</f>
      </c>
      <c r="AP379">
        <f>IF($A379="","",IF(Allocation!$N$2="VOL_EFF",$Q379,IF(Allocation!$N$2="VOL_CLASS",$R379,$S379)))</f>
      </c>
      <c r="AQ379">
        <f>IF($A379="","",IF(Allocation!$N$2="VOL_EFF",$T379,IF(Allocation!$N$2="VOL_CLASS",$U379,$V379)))</f>
      </c>
      <c r="AR379">
        <f>IF($A379="","",$AO379*IFERROR($AP379/$AQ379,0)*IFERROR($AE379/$AF379,0)*IFERROR($AC379/$AD379,0))</f>
      </c>
      <c r="AS379">
        <f>IF($A379="","",$A379&amp;"|"&amp;Allocation!BG379)</f>
      </c>
    </row>
    <row r="380" spans="1:45">
      <c r="A380">
        <f>IF(Allocation!BI380="","",Allocation!BI380)</f>
      </c>
      <c r="B380">
        <f>IF(Allocation!BJ380="","",Allocation!BJ380)</f>
      </c>
      <c r="C380">
        <f>IF(Allocation!BK380="","",Allocation!BK380)</f>
      </c>
      <c r="D380">
        <f>IF(Allocation!BL380="","",Allocation!BL380)</f>
      </c>
      <c r="E380">
        <f>IF(Allocation!BM380="","",Allocation!BM380)</f>
      </c>
      <c r="F380">
        <f>IF(Allocation!BN380="","",Allocation!BN380)</f>
      </c>
      <c r="G380">
        <f>IF(Allocation!BO380="","",Allocation!BO380)</f>
      </c>
      <c r="H380">
        <f>IF(Allocation!BP380="","",Allocation!BP380)</f>
      </c>
      <c r="I380">
        <f>IF(Allocation!BQ380="","",Allocation!BQ380)</f>
      </c>
      <c r="J380">
        <f>IF(Allocation!CC380="","",Allocation!CC380)</f>
      </c>
      <c r="K380">
        <f>IF($A380="","",$H380*IF(AND(LEFT($D380,3)="BAC",$F380="INIT"),600,IF(LEFT($D380,3)="BAC",480,IF(AND(LEFT($D380,3)="MAS",$F380="INIT"),520,IF(LEFT($D380,3)="MAS",420,IF($F380="INIT",1000,700))))))</f>
      </c>
      <c r="L380">
        <f>IF($A380="","",SUMIFS($G$1:$G$349,$AS$1:$AS$349,$AS380,$B$1:$B$349,$B380))</f>
      </c>
      <c r="M380">
        <f>IF($A380="","",SUMIFS($H$1:$H$349,$AS$1:$AS$349,$AS380,$B$1:$B$349,$B380))</f>
      </c>
      <c r="N380">
        <f>IF($A380="","",SUMIFS($I$1:$I$349,$AS$1:$AS$349,$AS380,$B$1:$B$349,$B380))</f>
      </c>
      <c r="O380">
        <f>IF($A380="","",SUMIFS($K$1:$K$349,$AS$1:$AS$349,$AS380,$B$1:$B$349,$B380))</f>
      </c>
      <c r="P380">
        <f>IF($A380="","",SUMIFS($J$1:$J$349,$AS$1:$AS$349,$AS380,$B$1:$B$349,$B380))</f>
      </c>
      <c r="Q380">
        <f>IF($A380="","",SUMIFS($G$1:$G$349,$AS$1:$AS$349,$AS380,$C$1:$C$349,$C380))</f>
      </c>
      <c r="R380">
        <f>IF($A380="","",SUMIFS($H$1:$H$349,$AS$1:$AS$349,$AS380,$C$1:$C$349,$C380))</f>
      </c>
      <c r="S380">
        <f>IF($A380="","",SUMIFS($I$1:$I$349,$AS$1:$AS$349,$AS380,$C$1:$C$349,$C380))</f>
      </c>
      <c r="T380">
        <f>IF($A380="","",SUMIFS($G$1:$G$349,$AS$1:$AS$349,$AS380))</f>
      </c>
      <c r="U380">
        <f>IF($A380="","",SUMIFS($H$1:$H$349,$AS$1:$AS$349,$AS380))</f>
      </c>
      <c r="V380">
        <f>IF($A380="","",SUMIFS($I$1:$I$349,$AS$1:$AS$349,$AS380))</f>
      </c>
      <c r="W380">
        <f>IF($A380="","",Allocation!CD380)</f>
      </c>
      <c r="X380">
        <f>IF($A380="","",Allocation!CE380)</f>
      </c>
      <c r="Y380">
        <f>IF($A380="","",Allocation!CF380)</f>
      </c>
      <c r="Z380">
        <f>IF($A380="","",Allocation!CG380)</f>
      </c>
      <c r="AA380">
        <f>IF($A380="","",Allocation!CH380)</f>
      </c>
      <c r="AB380">
        <f>IF($A380="","",Allocation!CI380)</f>
      </c>
      <c r="AC380">
        <f>IF($A380="","",IF(Allocation!$N$4="VOL_EFF",$G380,IF(Allocation!$N$4="VOL_CLASS",$H380,$I380)))</f>
      </c>
      <c r="AD380">
        <f>IF($A380="","",IF(Allocation!$N$4="VOL_EFF",$L380,IF(Allocation!$N$4="VOL_CLASS",$M380,$N380)))</f>
      </c>
      <c r="AE380">
        <f>IF($A380="","",IF(Allocation!$N$3="VOL_EFF",$L380,IF(Allocation!$N$3="VOL_CLASS",$M380,$N380)))</f>
      </c>
      <c r="AF380">
        <f>IF($A380="","",IF(Allocation!$N$3="VOL_EFF",$Q380,IF(Allocation!$N$3="VOL_CLASS",$R380,$S380)))</f>
      </c>
      <c r="AG380">
        <f>IF($A380="","",IF(Allocation!$N$1="VOL_EFF",$Q380,IF(Allocation!$N$1="VOL_CLASS",$R380,$S380)))</f>
      </c>
      <c r="AH380">
        <f>IF($A380="","",IF(Allocation!$N$1="VOL_EFF",$T380,IF(Allocation!$N$1="VOL_CLASS",$U380,$V380)))</f>
      </c>
      <c r="AI380">
        <f>IF($A380="","",$W380*IFERROR($K380/$O380,0))</f>
      </c>
      <c r="AJ380">
        <f>IF($A380="","",$X380*IFERROR($K380/$O380,0))</f>
      </c>
      <c r="AK380">
        <f>IF($A380="","",$Y380*IFERROR($G380/$L380,0)+$Z380*IFERROR($J380/$P380,0))</f>
      </c>
      <c r="AL380">
        <f>IF($A380="","",$AA380*IFERROR($AC380/$AD380,0))</f>
      </c>
      <c r="AM380">
        <f>IF($A380="","",$AB380*IFERROR($AG380/$AH380,0)*IFERROR($AE380/$AF380,0)*IFERROR($AC380/$AD380,0))</f>
      </c>
      <c r="AN380">
        <f>IF($A380="","",$I380-($AI380+$AJ380+$AK380+$AL380+$AM380+$AR380))</f>
      </c>
      <c r="AO380">
        <f>IF($A380="","",Allocation!CJ380)</f>
      </c>
      <c r="AP380">
        <f>IF($A380="","",IF(Allocation!$N$2="VOL_EFF",$Q380,IF(Allocation!$N$2="VOL_CLASS",$R380,$S380)))</f>
      </c>
      <c r="AQ380">
        <f>IF($A380="","",IF(Allocation!$N$2="VOL_EFF",$T380,IF(Allocation!$N$2="VOL_CLASS",$U380,$V380)))</f>
      </c>
      <c r="AR380">
        <f>IF($A380="","",$AO380*IFERROR($AP380/$AQ380,0)*IFERROR($AE380/$AF380,0)*IFERROR($AC380/$AD380,0))</f>
      </c>
      <c r="AS380">
        <f>IF($A380="","",$A380&amp;"|"&amp;Allocation!BG380)</f>
      </c>
    </row>
    <row r="381" spans="1:45">
      <c r="A381">
        <f>IF(Allocation!BI381="","",Allocation!BI381)</f>
      </c>
      <c r="B381">
        <f>IF(Allocation!BJ381="","",Allocation!BJ381)</f>
      </c>
      <c r="C381">
        <f>IF(Allocation!BK381="","",Allocation!BK381)</f>
      </c>
      <c r="D381">
        <f>IF(Allocation!BL381="","",Allocation!BL381)</f>
      </c>
      <c r="E381">
        <f>IF(Allocation!BM381="","",Allocation!BM381)</f>
      </c>
      <c r="F381">
        <f>IF(Allocation!BN381="","",Allocation!BN381)</f>
      </c>
      <c r="G381">
        <f>IF(Allocation!BO381="","",Allocation!BO381)</f>
      </c>
      <c r="H381">
        <f>IF(Allocation!BP381="","",Allocation!BP381)</f>
      </c>
      <c r="I381">
        <f>IF(Allocation!BQ381="","",Allocation!BQ381)</f>
      </c>
      <c r="J381">
        <f>IF(Allocation!CC381="","",Allocation!CC381)</f>
      </c>
      <c r="K381">
        <f>IF($A381="","",$H381*IF(AND(LEFT($D381,3)="BAC",$F381="INIT"),600,IF(LEFT($D381,3)="BAC",480,IF(AND(LEFT($D381,3)="MAS",$F381="INIT"),520,IF(LEFT($D381,3)="MAS",420,IF($F381="INIT",1000,700))))))</f>
      </c>
      <c r="L381">
        <f>IF($A381="","",SUMIFS($G$1:$G$349,$AS$1:$AS$349,$AS381,$B$1:$B$349,$B381))</f>
      </c>
      <c r="M381">
        <f>IF($A381="","",SUMIFS($H$1:$H$349,$AS$1:$AS$349,$AS381,$B$1:$B$349,$B381))</f>
      </c>
      <c r="N381">
        <f>IF($A381="","",SUMIFS($I$1:$I$349,$AS$1:$AS$349,$AS381,$B$1:$B$349,$B381))</f>
      </c>
      <c r="O381">
        <f>IF($A381="","",SUMIFS($K$1:$K$349,$AS$1:$AS$349,$AS381,$B$1:$B$349,$B381))</f>
      </c>
      <c r="P381">
        <f>IF($A381="","",SUMIFS($J$1:$J$349,$AS$1:$AS$349,$AS381,$B$1:$B$349,$B381))</f>
      </c>
      <c r="Q381">
        <f>IF($A381="","",SUMIFS($G$1:$G$349,$AS$1:$AS$349,$AS381,$C$1:$C$349,$C381))</f>
      </c>
      <c r="R381">
        <f>IF($A381="","",SUMIFS($H$1:$H$349,$AS$1:$AS$349,$AS381,$C$1:$C$349,$C381))</f>
      </c>
      <c r="S381">
        <f>IF($A381="","",SUMIFS($I$1:$I$349,$AS$1:$AS$349,$AS381,$C$1:$C$349,$C381))</f>
      </c>
      <c r="T381">
        <f>IF($A381="","",SUMIFS($G$1:$G$349,$AS$1:$AS$349,$AS381))</f>
      </c>
      <c r="U381">
        <f>IF($A381="","",SUMIFS($H$1:$H$349,$AS$1:$AS$349,$AS381))</f>
      </c>
      <c r="V381">
        <f>IF($A381="","",SUMIFS($I$1:$I$349,$AS$1:$AS$349,$AS381))</f>
      </c>
      <c r="W381">
        <f>IF($A381="","",Allocation!CD381)</f>
      </c>
      <c r="X381">
        <f>IF($A381="","",Allocation!CE381)</f>
      </c>
      <c r="Y381">
        <f>IF($A381="","",Allocation!CF381)</f>
      </c>
      <c r="Z381">
        <f>IF($A381="","",Allocation!CG381)</f>
      </c>
      <c r="AA381">
        <f>IF($A381="","",Allocation!CH381)</f>
      </c>
      <c r="AB381">
        <f>IF($A381="","",Allocation!CI381)</f>
      </c>
      <c r="AC381">
        <f>IF($A381="","",IF(Allocation!$N$4="VOL_EFF",$G381,IF(Allocation!$N$4="VOL_CLASS",$H381,$I381)))</f>
      </c>
      <c r="AD381">
        <f>IF($A381="","",IF(Allocation!$N$4="VOL_EFF",$L381,IF(Allocation!$N$4="VOL_CLASS",$M381,$N381)))</f>
      </c>
      <c r="AE381">
        <f>IF($A381="","",IF(Allocation!$N$3="VOL_EFF",$L381,IF(Allocation!$N$3="VOL_CLASS",$M381,$N381)))</f>
      </c>
      <c r="AF381">
        <f>IF($A381="","",IF(Allocation!$N$3="VOL_EFF",$Q381,IF(Allocation!$N$3="VOL_CLASS",$R381,$S381)))</f>
      </c>
      <c r="AG381">
        <f>IF($A381="","",IF(Allocation!$N$1="VOL_EFF",$Q381,IF(Allocation!$N$1="VOL_CLASS",$R381,$S381)))</f>
      </c>
      <c r="AH381">
        <f>IF($A381="","",IF(Allocation!$N$1="VOL_EFF",$T381,IF(Allocation!$N$1="VOL_CLASS",$U381,$V381)))</f>
      </c>
      <c r="AI381">
        <f>IF($A381="","",$W381*IFERROR($K381/$O381,0))</f>
      </c>
      <c r="AJ381">
        <f>IF($A381="","",$X381*IFERROR($K381/$O381,0))</f>
      </c>
      <c r="AK381">
        <f>IF($A381="","",$Y381*IFERROR($G381/$L381,0)+$Z381*IFERROR($J381/$P381,0))</f>
      </c>
      <c r="AL381">
        <f>IF($A381="","",$AA381*IFERROR($AC381/$AD381,0))</f>
      </c>
      <c r="AM381">
        <f>IF($A381="","",$AB381*IFERROR($AG381/$AH381,0)*IFERROR($AE381/$AF381,0)*IFERROR($AC381/$AD381,0))</f>
      </c>
      <c r="AN381">
        <f>IF($A381="","",$I381-($AI381+$AJ381+$AK381+$AL381+$AM381+$AR381))</f>
      </c>
      <c r="AO381">
        <f>IF($A381="","",Allocation!CJ381)</f>
      </c>
      <c r="AP381">
        <f>IF($A381="","",IF(Allocation!$N$2="VOL_EFF",$Q381,IF(Allocation!$N$2="VOL_CLASS",$R381,$S381)))</f>
      </c>
      <c r="AQ381">
        <f>IF($A381="","",IF(Allocation!$N$2="VOL_EFF",$T381,IF(Allocation!$N$2="VOL_CLASS",$U381,$V381)))</f>
      </c>
      <c r="AR381">
        <f>IF($A381="","",$AO381*IFERROR($AP381/$AQ381,0)*IFERROR($AE381/$AF381,0)*IFERROR($AC381/$AD381,0))</f>
      </c>
      <c r="AS381">
        <f>IF($A381="","",$A381&amp;"|"&amp;Allocation!BG381)</f>
      </c>
    </row>
    <row r="382" spans="1:45">
      <c r="A382">
        <f>IF(Allocation!BI382="","",Allocation!BI382)</f>
      </c>
      <c r="B382">
        <f>IF(Allocation!BJ382="","",Allocation!BJ382)</f>
      </c>
      <c r="C382">
        <f>IF(Allocation!BK382="","",Allocation!BK382)</f>
      </c>
      <c r="D382">
        <f>IF(Allocation!BL382="","",Allocation!BL382)</f>
      </c>
      <c r="E382">
        <f>IF(Allocation!BM382="","",Allocation!BM382)</f>
      </c>
      <c r="F382">
        <f>IF(Allocation!BN382="","",Allocation!BN382)</f>
      </c>
      <c r="G382">
        <f>IF(Allocation!BO382="","",Allocation!BO382)</f>
      </c>
      <c r="H382">
        <f>IF(Allocation!BP382="","",Allocation!BP382)</f>
      </c>
      <c r="I382">
        <f>IF(Allocation!BQ382="","",Allocation!BQ382)</f>
      </c>
      <c r="J382">
        <f>IF(Allocation!CC382="","",Allocation!CC382)</f>
      </c>
      <c r="K382">
        <f>IF($A382="","",$H382*IF(AND(LEFT($D382,3)="BAC",$F382="INIT"),600,IF(LEFT($D382,3)="BAC",480,IF(AND(LEFT($D382,3)="MAS",$F382="INIT"),520,IF(LEFT($D382,3)="MAS",420,IF($F382="INIT",1000,700))))))</f>
      </c>
      <c r="L382">
        <f>IF($A382="","",SUMIFS($G$1:$G$349,$AS$1:$AS$349,$AS382,$B$1:$B$349,$B382))</f>
      </c>
      <c r="M382">
        <f>IF($A382="","",SUMIFS($H$1:$H$349,$AS$1:$AS$349,$AS382,$B$1:$B$349,$B382))</f>
      </c>
      <c r="N382">
        <f>IF($A382="","",SUMIFS($I$1:$I$349,$AS$1:$AS$349,$AS382,$B$1:$B$349,$B382))</f>
      </c>
      <c r="O382">
        <f>IF($A382="","",SUMIFS($K$1:$K$349,$AS$1:$AS$349,$AS382,$B$1:$B$349,$B382))</f>
      </c>
      <c r="P382">
        <f>IF($A382="","",SUMIFS($J$1:$J$349,$AS$1:$AS$349,$AS382,$B$1:$B$349,$B382))</f>
      </c>
      <c r="Q382">
        <f>IF($A382="","",SUMIFS($G$1:$G$349,$AS$1:$AS$349,$AS382,$C$1:$C$349,$C382))</f>
      </c>
      <c r="R382">
        <f>IF($A382="","",SUMIFS($H$1:$H$349,$AS$1:$AS$349,$AS382,$C$1:$C$349,$C382))</f>
      </c>
      <c r="S382">
        <f>IF($A382="","",SUMIFS($I$1:$I$349,$AS$1:$AS$349,$AS382,$C$1:$C$349,$C382))</f>
      </c>
      <c r="T382">
        <f>IF($A382="","",SUMIFS($G$1:$G$349,$AS$1:$AS$349,$AS382))</f>
      </c>
      <c r="U382">
        <f>IF($A382="","",SUMIFS($H$1:$H$349,$AS$1:$AS$349,$AS382))</f>
      </c>
      <c r="V382">
        <f>IF($A382="","",SUMIFS($I$1:$I$349,$AS$1:$AS$349,$AS382))</f>
      </c>
      <c r="W382">
        <f>IF($A382="","",Allocation!CD382)</f>
      </c>
      <c r="X382">
        <f>IF($A382="","",Allocation!CE382)</f>
      </c>
      <c r="Y382">
        <f>IF($A382="","",Allocation!CF382)</f>
      </c>
      <c r="Z382">
        <f>IF($A382="","",Allocation!CG382)</f>
      </c>
      <c r="AA382">
        <f>IF($A382="","",Allocation!CH382)</f>
      </c>
      <c r="AB382">
        <f>IF($A382="","",Allocation!CI382)</f>
      </c>
      <c r="AC382">
        <f>IF($A382="","",IF(Allocation!$N$4="VOL_EFF",$G382,IF(Allocation!$N$4="VOL_CLASS",$H382,$I382)))</f>
      </c>
      <c r="AD382">
        <f>IF($A382="","",IF(Allocation!$N$4="VOL_EFF",$L382,IF(Allocation!$N$4="VOL_CLASS",$M382,$N382)))</f>
      </c>
      <c r="AE382">
        <f>IF($A382="","",IF(Allocation!$N$3="VOL_EFF",$L382,IF(Allocation!$N$3="VOL_CLASS",$M382,$N382)))</f>
      </c>
      <c r="AF382">
        <f>IF($A382="","",IF(Allocation!$N$3="VOL_EFF",$Q382,IF(Allocation!$N$3="VOL_CLASS",$R382,$S382)))</f>
      </c>
      <c r="AG382">
        <f>IF($A382="","",IF(Allocation!$N$1="VOL_EFF",$Q382,IF(Allocation!$N$1="VOL_CLASS",$R382,$S382)))</f>
      </c>
      <c r="AH382">
        <f>IF($A382="","",IF(Allocation!$N$1="VOL_EFF",$T382,IF(Allocation!$N$1="VOL_CLASS",$U382,$V382)))</f>
      </c>
      <c r="AI382">
        <f>IF($A382="","",$W382*IFERROR($K382/$O382,0))</f>
      </c>
      <c r="AJ382">
        <f>IF($A382="","",$X382*IFERROR($K382/$O382,0))</f>
      </c>
      <c r="AK382">
        <f>IF($A382="","",$Y382*IFERROR($G382/$L382,0)+$Z382*IFERROR($J382/$P382,0))</f>
      </c>
      <c r="AL382">
        <f>IF($A382="","",$AA382*IFERROR($AC382/$AD382,0))</f>
      </c>
      <c r="AM382">
        <f>IF($A382="","",$AB382*IFERROR($AG382/$AH382,0)*IFERROR($AE382/$AF382,0)*IFERROR($AC382/$AD382,0))</f>
      </c>
      <c r="AN382">
        <f>IF($A382="","",$I382-($AI382+$AJ382+$AK382+$AL382+$AM382+$AR382))</f>
      </c>
      <c r="AO382">
        <f>IF($A382="","",Allocation!CJ382)</f>
      </c>
      <c r="AP382">
        <f>IF($A382="","",IF(Allocation!$N$2="VOL_EFF",$Q382,IF(Allocation!$N$2="VOL_CLASS",$R382,$S382)))</f>
      </c>
      <c r="AQ382">
        <f>IF($A382="","",IF(Allocation!$N$2="VOL_EFF",$T382,IF(Allocation!$N$2="VOL_CLASS",$U382,$V382)))</f>
      </c>
      <c r="AR382">
        <f>IF($A382="","",$AO382*IFERROR($AP382/$AQ382,0)*IFERROR($AE382/$AF382,0)*IFERROR($AC382/$AD382,0))</f>
      </c>
      <c r="AS382">
        <f>IF($A382="","",$A382&amp;"|"&amp;Allocation!BG382)</f>
      </c>
    </row>
    <row r="383" spans="1:45">
      <c r="A383">
        <f>IF(Allocation!BI383="","",Allocation!BI383)</f>
      </c>
      <c r="B383">
        <f>IF(Allocation!BJ383="","",Allocation!BJ383)</f>
      </c>
      <c r="C383">
        <f>IF(Allocation!BK383="","",Allocation!BK383)</f>
      </c>
      <c r="D383">
        <f>IF(Allocation!BL383="","",Allocation!BL383)</f>
      </c>
      <c r="E383">
        <f>IF(Allocation!BM383="","",Allocation!BM383)</f>
      </c>
      <c r="F383">
        <f>IF(Allocation!BN383="","",Allocation!BN383)</f>
      </c>
      <c r="G383">
        <f>IF(Allocation!BO383="","",Allocation!BO383)</f>
      </c>
      <c r="H383">
        <f>IF(Allocation!BP383="","",Allocation!BP383)</f>
      </c>
      <c r="I383">
        <f>IF(Allocation!BQ383="","",Allocation!BQ383)</f>
      </c>
      <c r="J383">
        <f>IF(Allocation!CC383="","",Allocation!CC383)</f>
      </c>
      <c r="K383">
        <f>IF($A383="","",$H383*IF(AND(LEFT($D383,3)="BAC",$F383="INIT"),600,IF(LEFT($D383,3)="BAC",480,IF(AND(LEFT($D383,3)="MAS",$F383="INIT"),520,IF(LEFT($D383,3)="MAS",420,IF($F383="INIT",1000,700))))))</f>
      </c>
      <c r="L383">
        <f>IF($A383="","",SUMIFS($G$1:$G$349,$AS$1:$AS$349,$AS383,$B$1:$B$349,$B383))</f>
      </c>
      <c r="M383">
        <f>IF($A383="","",SUMIFS($H$1:$H$349,$AS$1:$AS$349,$AS383,$B$1:$B$349,$B383))</f>
      </c>
      <c r="N383">
        <f>IF($A383="","",SUMIFS($I$1:$I$349,$AS$1:$AS$349,$AS383,$B$1:$B$349,$B383))</f>
      </c>
      <c r="O383">
        <f>IF($A383="","",SUMIFS($K$1:$K$349,$AS$1:$AS$349,$AS383,$B$1:$B$349,$B383))</f>
      </c>
      <c r="P383">
        <f>IF($A383="","",SUMIFS($J$1:$J$349,$AS$1:$AS$349,$AS383,$B$1:$B$349,$B383))</f>
      </c>
      <c r="Q383">
        <f>IF($A383="","",SUMIFS($G$1:$G$349,$AS$1:$AS$349,$AS383,$C$1:$C$349,$C383))</f>
      </c>
      <c r="R383">
        <f>IF($A383="","",SUMIFS($H$1:$H$349,$AS$1:$AS$349,$AS383,$C$1:$C$349,$C383))</f>
      </c>
      <c r="S383">
        <f>IF($A383="","",SUMIFS($I$1:$I$349,$AS$1:$AS$349,$AS383,$C$1:$C$349,$C383))</f>
      </c>
      <c r="T383">
        <f>IF($A383="","",SUMIFS($G$1:$G$349,$AS$1:$AS$349,$AS383))</f>
      </c>
      <c r="U383">
        <f>IF($A383="","",SUMIFS($H$1:$H$349,$AS$1:$AS$349,$AS383))</f>
      </c>
      <c r="V383">
        <f>IF($A383="","",SUMIFS($I$1:$I$349,$AS$1:$AS$349,$AS383))</f>
      </c>
      <c r="W383">
        <f>IF($A383="","",Allocation!CD383)</f>
      </c>
      <c r="X383">
        <f>IF($A383="","",Allocation!CE383)</f>
      </c>
      <c r="Y383">
        <f>IF($A383="","",Allocation!CF383)</f>
      </c>
      <c r="Z383">
        <f>IF($A383="","",Allocation!CG383)</f>
      </c>
      <c r="AA383">
        <f>IF($A383="","",Allocation!CH383)</f>
      </c>
      <c r="AB383">
        <f>IF($A383="","",Allocation!CI383)</f>
      </c>
      <c r="AC383">
        <f>IF($A383="","",IF(Allocation!$N$4="VOL_EFF",$G383,IF(Allocation!$N$4="VOL_CLASS",$H383,$I383)))</f>
      </c>
      <c r="AD383">
        <f>IF($A383="","",IF(Allocation!$N$4="VOL_EFF",$L383,IF(Allocation!$N$4="VOL_CLASS",$M383,$N383)))</f>
      </c>
      <c r="AE383">
        <f>IF($A383="","",IF(Allocation!$N$3="VOL_EFF",$L383,IF(Allocation!$N$3="VOL_CLASS",$M383,$N383)))</f>
      </c>
      <c r="AF383">
        <f>IF($A383="","",IF(Allocation!$N$3="VOL_EFF",$Q383,IF(Allocation!$N$3="VOL_CLASS",$R383,$S383)))</f>
      </c>
      <c r="AG383">
        <f>IF($A383="","",IF(Allocation!$N$1="VOL_EFF",$Q383,IF(Allocation!$N$1="VOL_CLASS",$R383,$S383)))</f>
      </c>
      <c r="AH383">
        <f>IF($A383="","",IF(Allocation!$N$1="VOL_EFF",$T383,IF(Allocation!$N$1="VOL_CLASS",$U383,$V383)))</f>
      </c>
      <c r="AI383">
        <f>IF($A383="","",$W383*IFERROR($K383/$O383,0))</f>
      </c>
      <c r="AJ383">
        <f>IF($A383="","",$X383*IFERROR($K383/$O383,0))</f>
      </c>
      <c r="AK383">
        <f>IF($A383="","",$Y383*IFERROR($G383/$L383,0)+$Z383*IFERROR($J383/$P383,0))</f>
      </c>
      <c r="AL383">
        <f>IF($A383="","",$AA383*IFERROR($AC383/$AD383,0))</f>
      </c>
      <c r="AM383">
        <f>IF($A383="","",$AB383*IFERROR($AG383/$AH383,0)*IFERROR($AE383/$AF383,0)*IFERROR($AC383/$AD383,0))</f>
      </c>
      <c r="AN383">
        <f>IF($A383="","",$I383-($AI383+$AJ383+$AK383+$AL383+$AM383+$AR383))</f>
      </c>
      <c r="AO383">
        <f>IF($A383="","",Allocation!CJ383)</f>
      </c>
      <c r="AP383">
        <f>IF($A383="","",IF(Allocation!$N$2="VOL_EFF",$Q383,IF(Allocation!$N$2="VOL_CLASS",$R383,$S383)))</f>
      </c>
      <c r="AQ383">
        <f>IF($A383="","",IF(Allocation!$N$2="VOL_EFF",$T383,IF(Allocation!$N$2="VOL_CLASS",$U383,$V383)))</f>
      </c>
      <c r="AR383">
        <f>IF($A383="","",$AO383*IFERROR($AP383/$AQ383,0)*IFERROR($AE383/$AF383,0)*IFERROR($AC383/$AD383,0))</f>
      </c>
      <c r="AS383">
        <f>IF($A383="","",$A383&amp;"|"&amp;Allocation!BG383)</f>
      </c>
    </row>
    <row r="384" spans="1:45">
      <c r="A384">
        <f>IF(Allocation!BI384="","",Allocation!BI384)</f>
      </c>
      <c r="B384">
        <f>IF(Allocation!BJ384="","",Allocation!BJ384)</f>
      </c>
      <c r="C384">
        <f>IF(Allocation!BK384="","",Allocation!BK384)</f>
      </c>
      <c r="D384">
        <f>IF(Allocation!BL384="","",Allocation!BL384)</f>
      </c>
      <c r="E384">
        <f>IF(Allocation!BM384="","",Allocation!BM384)</f>
      </c>
      <c r="F384">
        <f>IF(Allocation!BN384="","",Allocation!BN384)</f>
      </c>
      <c r="G384">
        <f>IF(Allocation!BO384="","",Allocation!BO384)</f>
      </c>
      <c r="H384">
        <f>IF(Allocation!BP384="","",Allocation!BP384)</f>
      </c>
      <c r="I384">
        <f>IF(Allocation!BQ384="","",Allocation!BQ384)</f>
      </c>
      <c r="J384">
        <f>IF(Allocation!CC384="","",Allocation!CC384)</f>
      </c>
      <c r="K384">
        <f>IF($A384="","",$H384*IF(AND(LEFT($D384,3)="BAC",$F384="INIT"),600,IF(LEFT($D384,3)="BAC",480,IF(AND(LEFT($D384,3)="MAS",$F384="INIT"),520,IF(LEFT($D384,3)="MAS",420,IF($F384="INIT",1000,700))))))</f>
      </c>
      <c r="L384">
        <f>IF($A384="","",SUMIFS($G$1:$G$349,$AS$1:$AS$349,$AS384,$B$1:$B$349,$B384))</f>
      </c>
      <c r="M384">
        <f>IF($A384="","",SUMIFS($H$1:$H$349,$AS$1:$AS$349,$AS384,$B$1:$B$349,$B384))</f>
      </c>
      <c r="N384">
        <f>IF($A384="","",SUMIFS($I$1:$I$349,$AS$1:$AS$349,$AS384,$B$1:$B$349,$B384))</f>
      </c>
      <c r="O384">
        <f>IF($A384="","",SUMIFS($K$1:$K$349,$AS$1:$AS$349,$AS384,$B$1:$B$349,$B384))</f>
      </c>
      <c r="P384">
        <f>IF($A384="","",SUMIFS($J$1:$J$349,$AS$1:$AS$349,$AS384,$B$1:$B$349,$B384))</f>
      </c>
      <c r="Q384">
        <f>IF($A384="","",SUMIFS($G$1:$G$349,$AS$1:$AS$349,$AS384,$C$1:$C$349,$C384))</f>
      </c>
      <c r="R384">
        <f>IF($A384="","",SUMIFS($H$1:$H$349,$AS$1:$AS$349,$AS384,$C$1:$C$349,$C384))</f>
      </c>
      <c r="S384">
        <f>IF($A384="","",SUMIFS($I$1:$I$349,$AS$1:$AS$349,$AS384,$C$1:$C$349,$C384))</f>
      </c>
      <c r="T384">
        <f>IF($A384="","",SUMIFS($G$1:$G$349,$AS$1:$AS$349,$AS384))</f>
      </c>
      <c r="U384">
        <f>IF($A384="","",SUMIFS($H$1:$H$349,$AS$1:$AS$349,$AS384))</f>
      </c>
      <c r="V384">
        <f>IF($A384="","",SUMIFS($I$1:$I$349,$AS$1:$AS$349,$AS384))</f>
      </c>
      <c r="W384">
        <f>IF($A384="","",Allocation!CD384)</f>
      </c>
      <c r="X384">
        <f>IF($A384="","",Allocation!CE384)</f>
      </c>
      <c r="Y384">
        <f>IF($A384="","",Allocation!CF384)</f>
      </c>
      <c r="Z384">
        <f>IF($A384="","",Allocation!CG384)</f>
      </c>
      <c r="AA384">
        <f>IF($A384="","",Allocation!CH384)</f>
      </c>
      <c r="AB384">
        <f>IF($A384="","",Allocation!CI384)</f>
      </c>
      <c r="AC384">
        <f>IF($A384="","",IF(Allocation!$N$4="VOL_EFF",$G384,IF(Allocation!$N$4="VOL_CLASS",$H384,$I384)))</f>
      </c>
      <c r="AD384">
        <f>IF($A384="","",IF(Allocation!$N$4="VOL_EFF",$L384,IF(Allocation!$N$4="VOL_CLASS",$M384,$N384)))</f>
      </c>
      <c r="AE384">
        <f>IF($A384="","",IF(Allocation!$N$3="VOL_EFF",$L384,IF(Allocation!$N$3="VOL_CLASS",$M384,$N384)))</f>
      </c>
      <c r="AF384">
        <f>IF($A384="","",IF(Allocation!$N$3="VOL_EFF",$Q384,IF(Allocation!$N$3="VOL_CLASS",$R384,$S384)))</f>
      </c>
      <c r="AG384">
        <f>IF($A384="","",IF(Allocation!$N$1="VOL_EFF",$Q384,IF(Allocation!$N$1="VOL_CLASS",$R384,$S384)))</f>
      </c>
      <c r="AH384">
        <f>IF($A384="","",IF(Allocation!$N$1="VOL_EFF",$T384,IF(Allocation!$N$1="VOL_CLASS",$U384,$V384)))</f>
      </c>
      <c r="AI384">
        <f>IF($A384="","",$W384*IFERROR($K384/$O384,0))</f>
      </c>
      <c r="AJ384">
        <f>IF($A384="","",$X384*IFERROR($K384/$O384,0))</f>
      </c>
      <c r="AK384">
        <f>IF($A384="","",$Y384*IFERROR($G384/$L384,0)+$Z384*IFERROR($J384/$P384,0))</f>
      </c>
      <c r="AL384">
        <f>IF($A384="","",$AA384*IFERROR($AC384/$AD384,0))</f>
      </c>
      <c r="AM384">
        <f>IF($A384="","",$AB384*IFERROR($AG384/$AH384,0)*IFERROR($AE384/$AF384,0)*IFERROR($AC384/$AD384,0))</f>
      </c>
      <c r="AN384">
        <f>IF($A384="","",$I384-($AI384+$AJ384+$AK384+$AL384+$AM384+$AR384))</f>
      </c>
      <c r="AO384">
        <f>IF($A384="","",Allocation!CJ384)</f>
      </c>
      <c r="AP384">
        <f>IF($A384="","",IF(Allocation!$N$2="VOL_EFF",$Q384,IF(Allocation!$N$2="VOL_CLASS",$R384,$S384)))</f>
      </c>
      <c r="AQ384">
        <f>IF($A384="","",IF(Allocation!$N$2="VOL_EFF",$T384,IF(Allocation!$N$2="VOL_CLASS",$U384,$V384)))</f>
      </c>
      <c r="AR384">
        <f>IF($A384="","",$AO384*IFERROR($AP384/$AQ384,0)*IFERROR($AE384/$AF384,0)*IFERROR($AC384/$AD384,0))</f>
      </c>
      <c r="AS384">
        <f>IF($A384="","",$A384&amp;"|"&amp;Allocation!BG384)</f>
      </c>
    </row>
    <row r="385" spans="1:45">
      <c r="A385">
        <f>IF(Allocation!BI385="","",Allocation!BI385)</f>
      </c>
      <c r="B385">
        <f>IF(Allocation!BJ385="","",Allocation!BJ385)</f>
      </c>
      <c r="C385">
        <f>IF(Allocation!BK385="","",Allocation!BK385)</f>
      </c>
      <c r="D385">
        <f>IF(Allocation!BL385="","",Allocation!BL385)</f>
      </c>
      <c r="E385">
        <f>IF(Allocation!BM385="","",Allocation!BM385)</f>
      </c>
      <c r="F385">
        <f>IF(Allocation!BN385="","",Allocation!BN385)</f>
      </c>
      <c r="G385">
        <f>IF(Allocation!BO385="","",Allocation!BO385)</f>
      </c>
      <c r="H385">
        <f>IF(Allocation!BP385="","",Allocation!BP385)</f>
      </c>
      <c r="I385">
        <f>IF(Allocation!BQ385="","",Allocation!BQ385)</f>
      </c>
      <c r="J385">
        <f>IF(Allocation!CC385="","",Allocation!CC385)</f>
      </c>
      <c r="K385">
        <f>IF($A385="","",$H385*IF(AND(LEFT($D385,3)="BAC",$F385="INIT"),600,IF(LEFT($D385,3)="BAC",480,IF(AND(LEFT($D385,3)="MAS",$F385="INIT"),520,IF(LEFT($D385,3)="MAS",420,IF($F385="INIT",1000,700))))))</f>
      </c>
      <c r="L385">
        <f>IF($A385="","",SUMIFS($G$1:$G$349,$AS$1:$AS$349,$AS385,$B$1:$B$349,$B385))</f>
      </c>
      <c r="M385">
        <f>IF($A385="","",SUMIFS($H$1:$H$349,$AS$1:$AS$349,$AS385,$B$1:$B$349,$B385))</f>
      </c>
      <c r="N385">
        <f>IF($A385="","",SUMIFS($I$1:$I$349,$AS$1:$AS$349,$AS385,$B$1:$B$349,$B385))</f>
      </c>
      <c r="O385">
        <f>IF($A385="","",SUMIFS($K$1:$K$349,$AS$1:$AS$349,$AS385,$B$1:$B$349,$B385))</f>
      </c>
      <c r="P385">
        <f>IF($A385="","",SUMIFS($J$1:$J$349,$AS$1:$AS$349,$AS385,$B$1:$B$349,$B385))</f>
      </c>
      <c r="Q385">
        <f>IF($A385="","",SUMIFS($G$1:$G$349,$AS$1:$AS$349,$AS385,$C$1:$C$349,$C385))</f>
      </c>
      <c r="R385">
        <f>IF($A385="","",SUMIFS($H$1:$H$349,$AS$1:$AS$349,$AS385,$C$1:$C$349,$C385))</f>
      </c>
      <c r="S385">
        <f>IF($A385="","",SUMIFS($I$1:$I$349,$AS$1:$AS$349,$AS385,$C$1:$C$349,$C385))</f>
      </c>
      <c r="T385">
        <f>IF($A385="","",SUMIFS($G$1:$G$349,$AS$1:$AS$349,$AS385))</f>
      </c>
      <c r="U385">
        <f>IF($A385="","",SUMIFS($H$1:$H$349,$AS$1:$AS$349,$AS385))</f>
      </c>
      <c r="V385">
        <f>IF($A385="","",SUMIFS($I$1:$I$349,$AS$1:$AS$349,$AS385))</f>
      </c>
      <c r="W385">
        <f>IF($A385="","",Allocation!CD385)</f>
      </c>
      <c r="X385">
        <f>IF($A385="","",Allocation!CE385)</f>
      </c>
      <c r="Y385">
        <f>IF($A385="","",Allocation!CF385)</f>
      </c>
      <c r="Z385">
        <f>IF($A385="","",Allocation!CG385)</f>
      </c>
      <c r="AA385">
        <f>IF($A385="","",Allocation!CH385)</f>
      </c>
      <c r="AB385">
        <f>IF($A385="","",Allocation!CI385)</f>
      </c>
      <c r="AC385">
        <f>IF($A385="","",IF(Allocation!$N$4="VOL_EFF",$G385,IF(Allocation!$N$4="VOL_CLASS",$H385,$I385)))</f>
      </c>
      <c r="AD385">
        <f>IF($A385="","",IF(Allocation!$N$4="VOL_EFF",$L385,IF(Allocation!$N$4="VOL_CLASS",$M385,$N385)))</f>
      </c>
      <c r="AE385">
        <f>IF($A385="","",IF(Allocation!$N$3="VOL_EFF",$L385,IF(Allocation!$N$3="VOL_CLASS",$M385,$N385)))</f>
      </c>
      <c r="AF385">
        <f>IF($A385="","",IF(Allocation!$N$3="VOL_EFF",$Q385,IF(Allocation!$N$3="VOL_CLASS",$R385,$S385)))</f>
      </c>
      <c r="AG385">
        <f>IF($A385="","",IF(Allocation!$N$1="VOL_EFF",$Q385,IF(Allocation!$N$1="VOL_CLASS",$R385,$S385)))</f>
      </c>
      <c r="AH385">
        <f>IF($A385="","",IF(Allocation!$N$1="VOL_EFF",$T385,IF(Allocation!$N$1="VOL_CLASS",$U385,$V385)))</f>
      </c>
      <c r="AI385">
        <f>IF($A385="","",$W385*IFERROR($K385/$O385,0))</f>
      </c>
      <c r="AJ385">
        <f>IF($A385="","",$X385*IFERROR($K385/$O385,0))</f>
      </c>
      <c r="AK385">
        <f>IF($A385="","",$Y385*IFERROR($G385/$L385,0)+$Z385*IFERROR($J385/$P385,0))</f>
      </c>
      <c r="AL385">
        <f>IF($A385="","",$AA385*IFERROR($AC385/$AD385,0))</f>
      </c>
      <c r="AM385">
        <f>IF($A385="","",$AB385*IFERROR($AG385/$AH385,0)*IFERROR($AE385/$AF385,0)*IFERROR($AC385/$AD385,0))</f>
      </c>
      <c r="AN385">
        <f>IF($A385="","",$I385-($AI385+$AJ385+$AK385+$AL385+$AM385+$AR385))</f>
      </c>
      <c r="AO385">
        <f>IF($A385="","",Allocation!CJ385)</f>
      </c>
      <c r="AP385">
        <f>IF($A385="","",IF(Allocation!$N$2="VOL_EFF",$Q385,IF(Allocation!$N$2="VOL_CLASS",$R385,$S385)))</f>
      </c>
      <c r="AQ385">
        <f>IF($A385="","",IF(Allocation!$N$2="VOL_EFF",$T385,IF(Allocation!$N$2="VOL_CLASS",$U385,$V385)))</f>
      </c>
      <c r="AR385">
        <f>IF($A385="","",$AO385*IFERROR($AP385/$AQ385,0)*IFERROR($AE385/$AF385,0)*IFERROR($AC385/$AD385,0))</f>
      </c>
      <c r="AS385">
        <f>IF($A385="","",$A385&amp;"|"&amp;Allocation!BG385)</f>
      </c>
    </row>
    <row r="386" spans="1:45">
      <c r="A386">
        <f>IF(Allocation!BI386="","",Allocation!BI386)</f>
      </c>
      <c r="B386">
        <f>IF(Allocation!BJ386="","",Allocation!BJ386)</f>
      </c>
      <c r="C386">
        <f>IF(Allocation!BK386="","",Allocation!BK386)</f>
      </c>
      <c r="D386">
        <f>IF(Allocation!BL386="","",Allocation!BL386)</f>
      </c>
      <c r="E386">
        <f>IF(Allocation!BM386="","",Allocation!BM386)</f>
      </c>
      <c r="F386">
        <f>IF(Allocation!BN386="","",Allocation!BN386)</f>
      </c>
      <c r="G386">
        <f>IF(Allocation!BO386="","",Allocation!BO386)</f>
      </c>
      <c r="H386">
        <f>IF(Allocation!BP386="","",Allocation!BP386)</f>
      </c>
      <c r="I386">
        <f>IF(Allocation!BQ386="","",Allocation!BQ386)</f>
      </c>
      <c r="J386">
        <f>IF(Allocation!CC386="","",Allocation!CC386)</f>
      </c>
      <c r="K386">
        <f>IF($A386="","",$H386*IF(AND(LEFT($D386,3)="BAC",$F386="INIT"),600,IF(LEFT($D386,3)="BAC",480,IF(AND(LEFT($D386,3)="MAS",$F386="INIT"),520,IF(LEFT($D386,3)="MAS",420,IF($F386="INIT",1000,700))))))</f>
      </c>
      <c r="L386">
        <f>IF($A386="","",SUMIFS($G$1:$G$349,$AS$1:$AS$349,$AS386,$B$1:$B$349,$B386))</f>
      </c>
      <c r="M386">
        <f>IF($A386="","",SUMIFS($H$1:$H$349,$AS$1:$AS$349,$AS386,$B$1:$B$349,$B386))</f>
      </c>
      <c r="N386">
        <f>IF($A386="","",SUMIFS($I$1:$I$349,$AS$1:$AS$349,$AS386,$B$1:$B$349,$B386))</f>
      </c>
      <c r="O386">
        <f>IF($A386="","",SUMIFS($K$1:$K$349,$AS$1:$AS$349,$AS386,$B$1:$B$349,$B386))</f>
      </c>
      <c r="P386">
        <f>IF($A386="","",SUMIFS($J$1:$J$349,$AS$1:$AS$349,$AS386,$B$1:$B$349,$B386))</f>
      </c>
      <c r="Q386">
        <f>IF($A386="","",SUMIFS($G$1:$G$349,$AS$1:$AS$349,$AS386,$C$1:$C$349,$C386))</f>
      </c>
      <c r="R386">
        <f>IF($A386="","",SUMIFS($H$1:$H$349,$AS$1:$AS$349,$AS386,$C$1:$C$349,$C386))</f>
      </c>
      <c r="S386">
        <f>IF($A386="","",SUMIFS($I$1:$I$349,$AS$1:$AS$349,$AS386,$C$1:$C$349,$C386))</f>
      </c>
      <c r="T386">
        <f>IF($A386="","",SUMIFS($G$1:$G$349,$AS$1:$AS$349,$AS386))</f>
      </c>
      <c r="U386">
        <f>IF($A386="","",SUMIFS($H$1:$H$349,$AS$1:$AS$349,$AS386))</f>
      </c>
      <c r="V386">
        <f>IF($A386="","",SUMIFS($I$1:$I$349,$AS$1:$AS$349,$AS386))</f>
      </c>
      <c r="W386">
        <f>IF($A386="","",Allocation!CD386)</f>
      </c>
      <c r="X386">
        <f>IF($A386="","",Allocation!CE386)</f>
      </c>
      <c r="Y386">
        <f>IF($A386="","",Allocation!CF386)</f>
      </c>
      <c r="Z386">
        <f>IF($A386="","",Allocation!CG386)</f>
      </c>
      <c r="AA386">
        <f>IF($A386="","",Allocation!CH386)</f>
      </c>
      <c r="AB386">
        <f>IF($A386="","",Allocation!CI386)</f>
      </c>
      <c r="AC386">
        <f>IF($A386="","",IF(Allocation!$N$4="VOL_EFF",$G386,IF(Allocation!$N$4="VOL_CLASS",$H386,$I386)))</f>
      </c>
      <c r="AD386">
        <f>IF($A386="","",IF(Allocation!$N$4="VOL_EFF",$L386,IF(Allocation!$N$4="VOL_CLASS",$M386,$N386)))</f>
      </c>
      <c r="AE386">
        <f>IF($A386="","",IF(Allocation!$N$3="VOL_EFF",$L386,IF(Allocation!$N$3="VOL_CLASS",$M386,$N386)))</f>
      </c>
      <c r="AF386">
        <f>IF($A386="","",IF(Allocation!$N$3="VOL_EFF",$Q386,IF(Allocation!$N$3="VOL_CLASS",$R386,$S386)))</f>
      </c>
      <c r="AG386">
        <f>IF($A386="","",IF(Allocation!$N$1="VOL_EFF",$Q386,IF(Allocation!$N$1="VOL_CLASS",$R386,$S386)))</f>
      </c>
      <c r="AH386">
        <f>IF($A386="","",IF(Allocation!$N$1="VOL_EFF",$T386,IF(Allocation!$N$1="VOL_CLASS",$U386,$V386)))</f>
      </c>
      <c r="AI386">
        <f>IF($A386="","",$W386*IFERROR($K386/$O386,0))</f>
      </c>
      <c r="AJ386">
        <f>IF($A386="","",$X386*IFERROR($K386/$O386,0))</f>
      </c>
      <c r="AK386">
        <f>IF($A386="","",$Y386*IFERROR($G386/$L386,0)+$Z386*IFERROR($J386/$P386,0))</f>
      </c>
      <c r="AL386">
        <f>IF($A386="","",$AA386*IFERROR($AC386/$AD386,0))</f>
      </c>
      <c r="AM386">
        <f>IF($A386="","",$AB386*IFERROR($AG386/$AH386,0)*IFERROR($AE386/$AF386,0)*IFERROR($AC386/$AD386,0))</f>
      </c>
      <c r="AN386">
        <f>IF($A386="","",$I386-($AI386+$AJ386+$AK386+$AL386+$AM386+$AR386))</f>
      </c>
      <c r="AO386">
        <f>IF($A386="","",Allocation!CJ386)</f>
      </c>
      <c r="AP386">
        <f>IF($A386="","",IF(Allocation!$N$2="VOL_EFF",$Q386,IF(Allocation!$N$2="VOL_CLASS",$R386,$S386)))</f>
      </c>
      <c r="AQ386">
        <f>IF($A386="","",IF(Allocation!$N$2="VOL_EFF",$T386,IF(Allocation!$N$2="VOL_CLASS",$U386,$V386)))</f>
      </c>
      <c r="AR386">
        <f>IF($A386="","",$AO386*IFERROR($AP386/$AQ386,0)*IFERROR($AE386/$AF386,0)*IFERROR($AC386/$AD386,0))</f>
      </c>
      <c r="AS386">
        <f>IF($A386="","",$A386&amp;"|"&amp;Allocation!BG386)</f>
      </c>
    </row>
    <row r="387" spans="1:45">
      <c r="A387">
        <f>IF(Allocation!BI387="","",Allocation!BI387)</f>
      </c>
      <c r="B387">
        <f>IF(Allocation!BJ387="","",Allocation!BJ387)</f>
      </c>
      <c r="C387">
        <f>IF(Allocation!BK387="","",Allocation!BK387)</f>
      </c>
      <c r="D387">
        <f>IF(Allocation!BL387="","",Allocation!BL387)</f>
      </c>
      <c r="E387">
        <f>IF(Allocation!BM387="","",Allocation!BM387)</f>
      </c>
      <c r="F387">
        <f>IF(Allocation!BN387="","",Allocation!BN387)</f>
      </c>
      <c r="G387">
        <f>IF(Allocation!BO387="","",Allocation!BO387)</f>
      </c>
      <c r="H387">
        <f>IF(Allocation!BP387="","",Allocation!BP387)</f>
      </c>
      <c r="I387">
        <f>IF(Allocation!BQ387="","",Allocation!BQ387)</f>
      </c>
      <c r="J387">
        <f>IF(Allocation!CC387="","",Allocation!CC387)</f>
      </c>
      <c r="K387">
        <f>IF($A387="","",$H387*IF(AND(LEFT($D387,3)="BAC",$F387="INIT"),600,IF(LEFT($D387,3)="BAC",480,IF(AND(LEFT($D387,3)="MAS",$F387="INIT"),520,IF(LEFT($D387,3)="MAS",420,IF($F387="INIT",1000,700))))))</f>
      </c>
      <c r="L387">
        <f>IF($A387="","",SUMIFS($G$1:$G$349,$AS$1:$AS$349,$AS387,$B$1:$B$349,$B387))</f>
      </c>
      <c r="M387">
        <f>IF($A387="","",SUMIFS($H$1:$H$349,$AS$1:$AS$349,$AS387,$B$1:$B$349,$B387))</f>
      </c>
      <c r="N387">
        <f>IF($A387="","",SUMIFS($I$1:$I$349,$AS$1:$AS$349,$AS387,$B$1:$B$349,$B387))</f>
      </c>
      <c r="O387">
        <f>IF($A387="","",SUMIFS($K$1:$K$349,$AS$1:$AS$349,$AS387,$B$1:$B$349,$B387))</f>
      </c>
      <c r="P387">
        <f>IF($A387="","",SUMIFS($J$1:$J$349,$AS$1:$AS$349,$AS387,$B$1:$B$349,$B387))</f>
      </c>
      <c r="Q387">
        <f>IF($A387="","",SUMIFS($G$1:$G$349,$AS$1:$AS$349,$AS387,$C$1:$C$349,$C387))</f>
      </c>
      <c r="R387">
        <f>IF($A387="","",SUMIFS($H$1:$H$349,$AS$1:$AS$349,$AS387,$C$1:$C$349,$C387))</f>
      </c>
      <c r="S387">
        <f>IF($A387="","",SUMIFS($I$1:$I$349,$AS$1:$AS$349,$AS387,$C$1:$C$349,$C387))</f>
      </c>
      <c r="T387">
        <f>IF($A387="","",SUMIFS($G$1:$G$349,$AS$1:$AS$349,$AS387))</f>
      </c>
      <c r="U387">
        <f>IF($A387="","",SUMIFS($H$1:$H$349,$AS$1:$AS$349,$AS387))</f>
      </c>
      <c r="V387">
        <f>IF($A387="","",SUMIFS($I$1:$I$349,$AS$1:$AS$349,$AS387))</f>
      </c>
      <c r="W387">
        <f>IF($A387="","",Allocation!CD387)</f>
      </c>
      <c r="X387">
        <f>IF($A387="","",Allocation!CE387)</f>
      </c>
      <c r="Y387">
        <f>IF($A387="","",Allocation!CF387)</f>
      </c>
      <c r="Z387">
        <f>IF($A387="","",Allocation!CG387)</f>
      </c>
      <c r="AA387">
        <f>IF($A387="","",Allocation!CH387)</f>
      </c>
      <c r="AB387">
        <f>IF($A387="","",Allocation!CI387)</f>
      </c>
      <c r="AC387">
        <f>IF($A387="","",IF(Allocation!$N$4="VOL_EFF",$G387,IF(Allocation!$N$4="VOL_CLASS",$H387,$I387)))</f>
      </c>
      <c r="AD387">
        <f>IF($A387="","",IF(Allocation!$N$4="VOL_EFF",$L387,IF(Allocation!$N$4="VOL_CLASS",$M387,$N387)))</f>
      </c>
      <c r="AE387">
        <f>IF($A387="","",IF(Allocation!$N$3="VOL_EFF",$L387,IF(Allocation!$N$3="VOL_CLASS",$M387,$N387)))</f>
      </c>
      <c r="AF387">
        <f>IF($A387="","",IF(Allocation!$N$3="VOL_EFF",$Q387,IF(Allocation!$N$3="VOL_CLASS",$R387,$S387)))</f>
      </c>
      <c r="AG387">
        <f>IF($A387="","",IF(Allocation!$N$1="VOL_EFF",$Q387,IF(Allocation!$N$1="VOL_CLASS",$R387,$S387)))</f>
      </c>
      <c r="AH387">
        <f>IF($A387="","",IF(Allocation!$N$1="VOL_EFF",$T387,IF(Allocation!$N$1="VOL_CLASS",$U387,$V387)))</f>
      </c>
      <c r="AI387">
        <f>IF($A387="","",$W387*IFERROR($K387/$O387,0))</f>
      </c>
      <c r="AJ387">
        <f>IF($A387="","",$X387*IFERROR($K387/$O387,0))</f>
      </c>
      <c r="AK387">
        <f>IF($A387="","",$Y387*IFERROR($G387/$L387,0)+$Z387*IFERROR($J387/$P387,0))</f>
      </c>
      <c r="AL387">
        <f>IF($A387="","",$AA387*IFERROR($AC387/$AD387,0))</f>
      </c>
      <c r="AM387">
        <f>IF($A387="","",$AB387*IFERROR($AG387/$AH387,0)*IFERROR($AE387/$AF387,0)*IFERROR($AC387/$AD387,0))</f>
      </c>
      <c r="AN387">
        <f>IF($A387="","",$I387-($AI387+$AJ387+$AK387+$AL387+$AM387+$AR387))</f>
      </c>
      <c r="AO387">
        <f>IF($A387="","",Allocation!CJ387)</f>
      </c>
      <c r="AP387">
        <f>IF($A387="","",IF(Allocation!$N$2="VOL_EFF",$Q387,IF(Allocation!$N$2="VOL_CLASS",$R387,$S387)))</f>
      </c>
      <c r="AQ387">
        <f>IF($A387="","",IF(Allocation!$N$2="VOL_EFF",$T387,IF(Allocation!$N$2="VOL_CLASS",$U387,$V387)))</f>
      </c>
      <c r="AR387">
        <f>IF($A387="","",$AO387*IFERROR($AP387/$AQ387,0)*IFERROR($AE387/$AF387,0)*IFERROR($AC387/$AD387,0))</f>
      </c>
      <c r="AS387">
        <f>IF($A387="","",$A387&amp;"|"&amp;Allocation!BG387)</f>
      </c>
    </row>
    <row r="388" spans="1:45">
      <c r="A388">
        <f>IF(Allocation!BI388="","",Allocation!BI388)</f>
      </c>
      <c r="B388">
        <f>IF(Allocation!BJ388="","",Allocation!BJ388)</f>
      </c>
      <c r="C388">
        <f>IF(Allocation!BK388="","",Allocation!BK388)</f>
      </c>
      <c r="D388">
        <f>IF(Allocation!BL388="","",Allocation!BL388)</f>
      </c>
      <c r="E388">
        <f>IF(Allocation!BM388="","",Allocation!BM388)</f>
      </c>
      <c r="F388">
        <f>IF(Allocation!BN388="","",Allocation!BN388)</f>
      </c>
      <c r="G388">
        <f>IF(Allocation!BO388="","",Allocation!BO388)</f>
      </c>
      <c r="H388">
        <f>IF(Allocation!BP388="","",Allocation!BP388)</f>
      </c>
      <c r="I388">
        <f>IF(Allocation!BQ388="","",Allocation!BQ388)</f>
      </c>
      <c r="J388">
        <f>IF(Allocation!CC388="","",Allocation!CC388)</f>
      </c>
      <c r="K388">
        <f>IF($A388="","",$H388*IF(AND(LEFT($D388,3)="BAC",$F388="INIT"),600,IF(LEFT($D388,3)="BAC",480,IF(AND(LEFT($D388,3)="MAS",$F388="INIT"),520,IF(LEFT($D388,3)="MAS",420,IF($F388="INIT",1000,700))))))</f>
      </c>
      <c r="L388">
        <f>IF($A388="","",SUMIFS($G$1:$G$349,$AS$1:$AS$349,$AS388,$B$1:$B$349,$B388))</f>
      </c>
      <c r="M388">
        <f>IF($A388="","",SUMIFS($H$1:$H$349,$AS$1:$AS$349,$AS388,$B$1:$B$349,$B388))</f>
      </c>
      <c r="N388">
        <f>IF($A388="","",SUMIFS($I$1:$I$349,$AS$1:$AS$349,$AS388,$B$1:$B$349,$B388))</f>
      </c>
      <c r="O388">
        <f>IF($A388="","",SUMIFS($K$1:$K$349,$AS$1:$AS$349,$AS388,$B$1:$B$349,$B388))</f>
      </c>
      <c r="P388">
        <f>IF($A388="","",SUMIFS($J$1:$J$349,$AS$1:$AS$349,$AS388,$B$1:$B$349,$B388))</f>
      </c>
      <c r="Q388">
        <f>IF($A388="","",SUMIFS($G$1:$G$349,$AS$1:$AS$349,$AS388,$C$1:$C$349,$C388))</f>
      </c>
      <c r="R388">
        <f>IF($A388="","",SUMIFS($H$1:$H$349,$AS$1:$AS$349,$AS388,$C$1:$C$349,$C388))</f>
      </c>
      <c r="S388">
        <f>IF($A388="","",SUMIFS($I$1:$I$349,$AS$1:$AS$349,$AS388,$C$1:$C$349,$C388))</f>
      </c>
      <c r="T388">
        <f>IF($A388="","",SUMIFS($G$1:$G$349,$AS$1:$AS$349,$AS388))</f>
      </c>
      <c r="U388">
        <f>IF($A388="","",SUMIFS($H$1:$H$349,$AS$1:$AS$349,$AS388))</f>
      </c>
      <c r="V388">
        <f>IF($A388="","",SUMIFS($I$1:$I$349,$AS$1:$AS$349,$AS388))</f>
      </c>
      <c r="W388">
        <f>IF($A388="","",Allocation!CD388)</f>
      </c>
      <c r="X388">
        <f>IF($A388="","",Allocation!CE388)</f>
      </c>
      <c r="Y388">
        <f>IF($A388="","",Allocation!CF388)</f>
      </c>
      <c r="Z388">
        <f>IF($A388="","",Allocation!CG388)</f>
      </c>
      <c r="AA388">
        <f>IF($A388="","",Allocation!CH388)</f>
      </c>
      <c r="AB388">
        <f>IF($A388="","",Allocation!CI388)</f>
      </c>
      <c r="AC388">
        <f>IF($A388="","",IF(Allocation!$N$4="VOL_EFF",$G388,IF(Allocation!$N$4="VOL_CLASS",$H388,$I388)))</f>
      </c>
      <c r="AD388">
        <f>IF($A388="","",IF(Allocation!$N$4="VOL_EFF",$L388,IF(Allocation!$N$4="VOL_CLASS",$M388,$N388)))</f>
      </c>
      <c r="AE388">
        <f>IF($A388="","",IF(Allocation!$N$3="VOL_EFF",$L388,IF(Allocation!$N$3="VOL_CLASS",$M388,$N388)))</f>
      </c>
      <c r="AF388">
        <f>IF($A388="","",IF(Allocation!$N$3="VOL_EFF",$Q388,IF(Allocation!$N$3="VOL_CLASS",$R388,$S388)))</f>
      </c>
      <c r="AG388">
        <f>IF($A388="","",IF(Allocation!$N$1="VOL_EFF",$Q388,IF(Allocation!$N$1="VOL_CLASS",$R388,$S388)))</f>
      </c>
      <c r="AH388">
        <f>IF($A388="","",IF(Allocation!$N$1="VOL_EFF",$T388,IF(Allocation!$N$1="VOL_CLASS",$U388,$V388)))</f>
      </c>
      <c r="AI388">
        <f>IF($A388="","",$W388*IFERROR($K388/$O388,0))</f>
      </c>
      <c r="AJ388">
        <f>IF($A388="","",$X388*IFERROR($K388/$O388,0))</f>
      </c>
      <c r="AK388">
        <f>IF($A388="","",$Y388*IFERROR($G388/$L388,0)+$Z388*IFERROR($J388/$P388,0))</f>
      </c>
      <c r="AL388">
        <f>IF($A388="","",$AA388*IFERROR($AC388/$AD388,0))</f>
      </c>
      <c r="AM388">
        <f>IF($A388="","",$AB388*IFERROR($AG388/$AH388,0)*IFERROR($AE388/$AF388,0)*IFERROR($AC388/$AD388,0))</f>
      </c>
      <c r="AN388">
        <f>IF($A388="","",$I388-($AI388+$AJ388+$AK388+$AL388+$AM388+$AR388))</f>
      </c>
      <c r="AO388">
        <f>IF($A388="","",Allocation!CJ388)</f>
      </c>
      <c r="AP388">
        <f>IF($A388="","",IF(Allocation!$N$2="VOL_EFF",$Q388,IF(Allocation!$N$2="VOL_CLASS",$R388,$S388)))</f>
      </c>
      <c r="AQ388">
        <f>IF($A388="","",IF(Allocation!$N$2="VOL_EFF",$T388,IF(Allocation!$N$2="VOL_CLASS",$U388,$V388)))</f>
      </c>
      <c r="AR388">
        <f>IF($A388="","",$AO388*IFERROR($AP388/$AQ388,0)*IFERROR($AE388/$AF388,0)*IFERROR($AC388/$AD388,0))</f>
      </c>
      <c r="AS388">
        <f>IF($A388="","",$A388&amp;"|"&amp;Allocation!BG388)</f>
      </c>
    </row>
    <row r="389" spans="1:45">
      <c r="A389">
        <f>IF(Allocation!BI389="","",Allocation!BI389)</f>
      </c>
      <c r="B389">
        <f>IF(Allocation!BJ389="","",Allocation!BJ389)</f>
      </c>
      <c r="C389">
        <f>IF(Allocation!BK389="","",Allocation!BK389)</f>
      </c>
      <c r="D389">
        <f>IF(Allocation!BL389="","",Allocation!BL389)</f>
      </c>
      <c r="E389">
        <f>IF(Allocation!BM389="","",Allocation!BM389)</f>
      </c>
      <c r="F389">
        <f>IF(Allocation!BN389="","",Allocation!BN389)</f>
      </c>
      <c r="G389">
        <f>IF(Allocation!BO389="","",Allocation!BO389)</f>
      </c>
      <c r="H389">
        <f>IF(Allocation!BP389="","",Allocation!BP389)</f>
      </c>
      <c r="I389">
        <f>IF(Allocation!BQ389="","",Allocation!BQ389)</f>
      </c>
      <c r="J389">
        <f>IF(Allocation!CC389="","",Allocation!CC389)</f>
      </c>
      <c r="K389">
        <f>IF($A389="","",$H389*IF(AND(LEFT($D389,3)="BAC",$F389="INIT"),600,IF(LEFT($D389,3)="BAC",480,IF(AND(LEFT($D389,3)="MAS",$F389="INIT"),520,IF(LEFT($D389,3)="MAS",420,IF($F389="INIT",1000,700))))))</f>
      </c>
      <c r="L389">
        <f>IF($A389="","",SUMIFS($G$1:$G$349,$AS$1:$AS$349,$AS389,$B$1:$B$349,$B389))</f>
      </c>
      <c r="M389">
        <f>IF($A389="","",SUMIFS($H$1:$H$349,$AS$1:$AS$349,$AS389,$B$1:$B$349,$B389))</f>
      </c>
      <c r="N389">
        <f>IF($A389="","",SUMIFS($I$1:$I$349,$AS$1:$AS$349,$AS389,$B$1:$B$349,$B389))</f>
      </c>
      <c r="O389">
        <f>IF($A389="","",SUMIFS($K$1:$K$349,$AS$1:$AS$349,$AS389,$B$1:$B$349,$B389))</f>
      </c>
      <c r="P389">
        <f>IF($A389="","",SUMIFS($J$1:$J$349,$AS$1:$AS$349,$AS389,$B$1:$B$349,$B389))</f>
      </c>
      <c r="Q389">
        <f>IF($A389="","",SUMIFS($G$1:$G$349,$AS$1:$AS$349,$AS389,$C$1:$C$349,$C389))</f>
      </c>
      <c r="R389">
        <f>IF($A389="","",SUMIFS($H$1:$H$349,$AS$1:$AS$349,$AS389,$C$1:$C$349,$C389))</f>
      </c>
      <c r="S389">
        <f>IF($A389="","",SUMIFS($I$1:$I$349,$AS$1:$AS$349,$AS389,$C$1:$C$349,$C389))</f>
      </c>
      <c r="T389">
        <f>IF($A389="","",SUMIFS($G$1:$G$349,$AS$1:$AS$349,$AS389))</f>
      </c>
      <c r="U389">
        <f>IF($A389="","",SUMIFS($H$1:$H$349,$AS$1:$AS$349,$AS389))</f>
      </c>
      <c r="V389">
        <f>IF($A389="","",SUMIFS($I$1:$I$349,$AS$1:$AS$349,$AS389))</f>
      </c>
      <c r="W389">
        <f>IF($A389="","",Allocation!CD389)</f>
      </c>
      <c r="X389">
        <f>IF($A389="","",Allocation!CE389)</f>
      </c>
      <c r="Y389">
        <f>IF($A389="","",Allocation!CF389)</f>
      </c>
      <c r="Z389">
        <f>IF($A389="","",Allocation!CG389)</f>
      </c>
      <c r="AA389">
        <f>IF($A389="","",Allocation!CH389)</f>
      </c>
      <c r="AB389">
        <f>IF($A389="","",Allocation!CI389)</f>
      </c>
      <c r="AC389">
        <f>IF($A389="","",IF(Allocation!$N$4="VOL_EFF",$G389,IF(Allocation!$N$4="VOL_CLASS",$H389,$I389)))</f>
      </c>
      <c r="AD389">
        <f>IF($A389="","",IF(Allocation!$N$4="VOL_EFF",$L389,IF(Allocation!$N$4="VOL_CLASS",$M389,$N389)))</f>
      </c>
      <c r="AE389">
        <f>IF($A389="","",IF(Allocation!$N$3="VOL_EFF",$L389,IF(Allocation!$N$3="VOL_CLASS",$M389,$N389)))</f>
      </c>
      <c r="AF389">
        <f>IF($A389="","",IF(Allocation!$N$3="VOL_EFF",$Q389,IF(Allocation!$N$3="VOL_CLASS",$R389,$S389)))</f>
      </c>
      <c r="AG389">
        <f>IF($A389="","",IF(Allocation!$N$1="VOL_EFF",$Q389,IF(Allocation!$N$1="VOL_CLASS",$R389,$S389)))</f>
      </c>
      <c r="AH389">
        <f>IF($A389="","",IF(Allocation!$N$1="VOL_EFF",$T389,IF(Allocation!$N$1="VOL_CLASS",$U389,$V389)))</f>
      </c>
      <c r="AI389">
        <f>IF($A389="","",$W389*IFERROR($K389/$O389,0))</f>
      </c>
      <c r="AJ389">
        <f>IF($A389="","",$X389*IFERROR($K389/$O389,0))</f>
      </c>
      <c r="AK389">
        <f>IF($A389="","",$Y389*IFERROR($G389/$L389,0)+$Z389*IFERROR($J389/$P389,0))</f>
      </c>
      <c r="AL389">
        <f>IF($A389="","",$AA389*IFERROR($AC389/$AD389,0))</f>
      </c>
      <c r="AM389">
        <f>IF($A389="","",$AB389*IFERROR($AG389/$AH389,0)*IFERROR($AE389/$AF389,0)*IFERROR($AC389/$AD389,0))</f>
      </c>
      <c r="AN389">
        <f>IF($A389="","",$I389-($AI389+$AJ389+$AK389+$AL389+$AM389+$AR389))</f>
      </c>
      <c r="AO389">
        <f>IF($A389="","",Allocation!CJ389)</f>
      </c>
      <c r="AP389">
        <f>IF($A389="","",IF(Allocation!$N$2="VOL_EFF",$Q389,IF(Allocation!$N$2="VOL_CLASS",$R389,$S389)))</f>
      </c>
      <c r="AQ389">
        <f>IF($A389="","",IF(Allocation!$N$2="VOL_EFF",$T389,IF(Allocation!$N$2="VOL_CLASS",$U389,$V389)))</f>
      </c>
      <c r="AR389">
        <f>IF($A389="","",$AO389*IFERROR($AP389/$AQ389,0)*IFERROR($AE389/$AF389,0)*IFERROR($AC389/$AD389,0))</f>
      </c>
      <c r="AS389">
        <f>IF($A389="","",$A389&amp;"|"&amp;Allocation!BG389)</f>
      </c>
    </row>
    <row r="390" spans="1:45">
      <c r="A390">
        <f>IF(Allocation!BI390="","",Allocation!BI390)</f>
      </c>
      <c r="B390">
        <f>IF(Allocation!BJ390="","",Allocation!BJ390)</f>
      </c>
      <c r="C390">
        <f>IF(Allocation!BK390="","",Allocation!BK390)</f>
      </c>
      <c r="D390">
        <f>IF(Allocation!BL390="","",Allocation!BL390)</f>
      </c>
      <c r="E390">
        <f>IF(Allocation!BM390="","",Allocation!BM390)</f>
      </c>
      <c r="F390">
        <f>IF(Allocation!BN390="","",Allocation!BN390)</f>
      </c>
      <c r="G390">
        <f>IF(Allocation!BO390="","",Allocation!BO390)</f>
      </c>
      <c r="H390">
        <f>IF(Allocation!BP390="","",Allocation!BP390)</f>
      </c>
      <c r="I390">
        <f>IF(Allocation!BQ390="","",Allocation!BQ390)</f>
      </c>
      <c r="J390">
        <f>IF(Allocation!CC390="","",Allocation!CC390)</f>
      </c>
      <c r="K390">
        <f>IF($A390="","",$H390*IF(AND(LEFT($D390,3)="BAC",$F390="INIT"),600,IF(LEFT($D390,3)="BAC",480,IF(AND(LEFT($D390,3)="MAS",$F390="INIT"),520,IF(LEFT($D390,3)="MAS",420,IF($F390="INIT",1000,700))))))</f>
      </c>
      <c r="L390">
        <f>IF($A390="","",SUMIFS($G$1:$G$349,$AS$1:$AS$349,$AS390,$B$1:$B$349,$B390))</f>
      </c>
      <c r="M390">
        <f>IF($A390="","",SUMIFS($H$1:$H$349,$AS$1:$AS$349,$AS390,$B$1:$B$349,$B390))</f>
      </c>
      <c r="N390">
        <f>IF($A390="","",SUMIFS($I$1:$I$349,$AS$1:$AS$349,$AS390,$B$1:$B$349,$B390))</f>
      </c>
      <c r="O390">
        <f>IF($A390="","",SUMIFS($K$1:$K$349,$AS$1:$AS$349,$AS390,$B$1:$B$349,$B390))</f>
      </c>
      <c r="P390">
        <f>IF($A390="","",SUMIFS($J$1:$J$349,$AS$1:$AS$349,$AS390,$B$1:$B$349,$B390))</f>
      </c>
      <c r="Q390">
        <f>IF($A390="","",SUMIFS($G$1:$G$349,$AS$1:$AS$349,$AS390,$C$1:$C$349,$C390))</f>
      </c>
      <c r="R390">
        <f>IF($A390="","",SUMIFS($H$1:$H$349,$AS$1:$AS$349,$AS390,$C$1:$C$349,$C390))</f>
      </c>
      <c r="S390">
        <f>IF($A390="","",SUMIFS($I$1:$I$349,$AS$1:$AS$349,$AS390,$C$1:$C$349,$C390))</f>
      </c>
      <c r="T390">
        <f>IF($A390="","",SUMIFS($G$1:$G$349,$AS$1:$AS$349,$AS390))</f>
      </c>
      <c r="U390">
        <f>IF($A390="","",SUMIFS($H$1:$H$349,$AS$1:$AS$349,$AS390))</f>
      </c>
      <c r="V390">
        <f>IF($A390="","",SUMIFS($I$1:$I$349,$AS$1:$AS$349,$AS390))</f>
      </c>
      <c r="W390">
        <f>IF($A390="","",Allocation!CD390)</f>
      </c>
      <c r="X390">
        <f>IF($A390="","",Allocation!CE390)</f>
      </c>
      <c r="Y390">
        <f>IF($A390="","",Allocation!CF390)</f>
      </c>
      <c r="Z390">
        <f>IF($A390="","",Allocation!CG390)</f>
      </c>
      <c r="AA390">
        <f>IF($A390="","",Allocation!CH390)</f>
      </c>
      <c r="AB390">
        <f>IF($A390="","",Allocation!CI390)</f>
      </c>
      <c r="AC390">
        <f>IF($A390="","",IF(Allocation!$N$4="VOL_EFF",$G390,IF(Allocation!$N$4="VOL_CLASS",$H390,$I390)))</f>
      </c>
      <c r="AD390">
        <f>IF($A390="","",IF(Allocation!$N$4="VOL_EFF",$L390,IF(Allocation!$N$4="VOL_CLASS",$M390,$N390)))</f>
      </c>
      <c r="AE390">
        <f>IF($A390="","",IF(Allocation!$N$3="VOL_EFF",$L390,IF(Allocation!$N$3="VOL_CLASS",$M390,$N390)))</f>
      </c>
      <c r="AF390">
        <f>IF($A390="","",IF(Allocation!$N$3="VOL_EFF",$Q390,IF(Allocation!$N$3="VOL_CLASS",$R390,$S390)))</f>
      </c>
      <c r="AG390">
        <f>IF($A390="","",IF(Allocation!$N$1="VOL_EFF",$Q390,IF(Allocation!$N$1="VOL_CLASS",$R390,$S390)))</f>
      </c>
      <c r="AH390">
        <f>IF($A390="","",IF(Allocation!$N$1="VOL_EFF",$T390,IF(Allocation!$N$1="VOL_CLASS",$U390,$V390)))</f>
      </c>
      <c r="AI390">
        <f>IF($A390="","",$W390*IFERROR($K390/$O390,0))</f>
      </c>
      <c r="AJ390">
        <f>IF($A390="","",$X390*IFERROR($K390/$O390,0))</f>
      </c>
      <c r="AK390">
        <f>IF($A390="","",$Y390*IFERROR($G390/$L390,0)+$Z390*IFERROR($J390/$P390,0))</f>
      </c>
      <c r="AL390">
        <f>IF($A390="","",$AA390*IFERROR($AC390/$AD390,0))</f>
      </c>
      <c r="AM390">
        <f>IF($A390="","",$AB390*IFERROR($AG390/$AH390,0)*IFERROR($AE390/$AF390,0)*IFERROR($AC390/$AD390,0))</f>
      </c>
      <c r="AN390">
        <f>IF($A390="","",$I390-($AI390+$AJ390+$AK390+$AL390+$AM390+$AR390))</f>
      </c>
      <c r="AO390">
        <f>IF($A390="","",Allocation!CJ390)</f>
      </c>
      <c r="AP390">
        <f>IF($A390="","",IF(Allocation!$N$2="VOL_EFF",$Q390,IF(Allocation!$N$2="VOL_CLASS",$R390,$S390)))</f>
      </c>
      <c r="AQ390">
        <f>IF($A390="","",IF(Allocation!$N$2="VOL_EFF",$T390,IF(Allocation!$N$2="VOL_CLASS",$U390,$V390)))</f>
      </c>
      <c r="AR390">
        <f>IF($A390="","",$AO390*IFERROR($AP390/$AQ390,0)*IFERROR($AE390/$AF390,0)*IFERROR($AC390/$AD390,0))</f>
      </c>
      <c r="AS390">
        <f>IF($A390="","",$A390&amp;"|"&amp;Allocation!BG390)</f>
      </c>
    </row>
    <row r="391" spans="1:45">
      <c r="A391">
        <f>IF(Allocation!BI391="","",Allocation!BI391)</f>
      </c>
      <c r="B391">
        <f>IF(Allocation!BJ391="","",Allocation!BJ391)</f>
      </c>
      <c r="C391">
        <f>IF(Allocation!BK391="","",Allocation!BK391)</f>
      </c>
      <c r="D391">
        <f>IF(Allocation!BL391="","",Allocation!BL391)</f>
      </c>
      <c r="E391">
        <f>IF(Allocation!BM391="","",Allocation!BM391)</f>
      </c>
      <c r="F391">
        <f>IF(Allocation!BN391="","",Allocation!BN391)</f>
      </c>
      <c r="G391">
        <f>IF(Allocation!BO391="","",Allocation!BO391)</f>
      </c>
      <c r="H391">
        <f>IF(Allocation!BP391="","",Allocation!BP391)</f>
      </c>
      <c r="I391">
        <f>IF(Allocation!BQ391="","",Allocation!BQ391)</f>
      </c>
      <c r="J391">
        <f>IF(Allocation!CC391="","",Allocation!CC391)</f>
      </c>
      <c r="K391">
        <f>IF($A391="","",$H391*IF(AND(LEFT($D391,3)="BAC",$F391="INIT"),600,IF(LEFT($D391,3)="BAC",480,IF(AND(LEFT($D391,3)="MAS",$F391="INIT"),520,IF(LEFT($D391,3)="MAS",420,IF($F391="INIT",1000,700))))))</f>
      </c>
      <c r="L391">
        <f>IF($A391="","",SUMIFS($G$1:$G$349,$AS$1:$AS$349,$AS391,$B$1:$B$349,$B391))</f>
      </c>
      <c r="M391">
        <f>IF($A391="","",SUMIFS($H$1:$H$349,$AS$1:$AS$349,$AS391,$B$1:$B$349,$B391))</f>
      </c>
      <c r="N391">
        <f>IF($A391="","",SUMIFS($I$1:$I$349,$AS$1:$AS$349,$AS391,$B$1:$B$349,$B391))</f>
      </c>
      <c r="O391">
        <f>IF($A391="","",SUMIFS($K$1:$K$349,$AS$1:$AS$349,$AS391,$B$1:$B$349,$B391))</f>
      </c>
      <c r="P391">
        <f>IF($A391="","",SUMIFS($J$1:$J$349,$AS$1:$AS$349,$AS391,$B$1:$B$349,$B391))</f>
      </c>
      <c r="Q391">
        <f>IF($A391="","",SUMIFS($G$1:$G$349,$AS$1:$AS$349,$AS391,$C$1:$C$349,$C391))</f>
      </c>
      <c r="R391">
        <f>IF($A391="","",SUMIFS($H$1:$H$349,$AS$1:$AS$349,$AS391,$C$1:$C$349,$C391))</f>
      </c>
      <c r="S391">
        <f>IF($A391="","",SUMIFS($I$1:$I$349,$AS$1:$AS$349,$AS391,$C$1:$C$349,$C391))</f>
      </c>
      <c r="T391">
        <f>IF($A391="","",SUMIFS($G$1:$G$349,$AS$1:$AS$349,$AS391))</f>
      </c>
      <c r="U391">
        <f>IF($A391="","",SUMIFS($H$1:$H$349,$AS$1:$AS$349,$AS391))</f>
      </c>
      <c r="V391">
        <f>IF($A391="","",SUMIFS($I$1:$I$349,$AS$1:$AS$349,$AS391))</f>
      </c>
      <c r="W391">
        <f>IF($A391="","",Allocation!CD391)</f>
      </c>
      <c r="X391">
        <f>IF($A391="","",Allocation!CE391)</f>
      </c>
      <c r="Y391">
        <f>IF($A391="","",Allocation!CF391)</f>
      </c>
      <c r="Z391">
        <f>IF($A391="","",Allocation!CG391)</f>
      </c>
      <c r="AA391">
        <f>IF($A391="","",Allocation!CH391)</f>
      </c>
      <c r="AB391">
        <f>IF($A391="","",Allocation!CI391)</f>
      </c>
      <c r="AC391">
        <f>IF($A391="","",IF(Allocation!$N$4="VOL_EFF",$G391,IF(Allocation!$N$4="VOL_CLASS",$H391,$I391)))</f>
      </c>
      <c r="AD391">
        <f>IF($A391="","",IF(Allocation!$N$4="VOL_EFF",$L391,IF(Allocation!$N$4="VOL_CLASS",$M391,$N391)))</f>
      </c>
      <c r="AE391">
        <f>IF($A391="","",IF(Allocation!$N$3="VOL_EFF",$L391,IF(Allocation!$N$3="VOL_CLASS",$M391,$N391)))</f>
      </c>
      <c r="AF391">
        <f>IF($A391="","",IF(Allocation!$N$3="VOL_EFF",$Q391,IF(Allocation!$N$3="VOL_CLASS",$R391,$S391)))</f>
      </c>
      <c r="AG391">
        <f>IF($A391="","",IF(Allocation!$N$1="VOL_EFF",$Q391,IF(Allocation!$N$1="VOL_CLASS",$R391,$S391)))</f>
      </c>
      <c r="AH391">
        <f>IF($A391="","",IF(Allocation!$N$1="VOL_EFF",$T391,IF(Allocation!$N$1="VOL_CLASS",$U391,$V391)))</f>
      </c>
      <c r="AI391">
        <f>IF($A391="","",$W391*IFERROR($K391/$O391,0))</f>
      </c>
      <c r="AJ391">
        <f>IF($A391="","",$X391*IFERROR($K391/$O391,0))</f>
      </c>
      <c r="AK391">
        <f>IF($A391="","",$Y391*IFERROR($G391/$L391,0)+$Z391*IFERROR($J391/$P391,0))</f>
      </c>
      <c r="AL391">
        <f>IF($A391="","",$AA391*IFERROR($AC391/$AD391,0))</f>
      </c>
      <c r="AM391">
        <f>IF($A391="","",$AB391*IFERROR($AG391/$AH391,0)*IFERROR($AE391/$AF391,0)*IFERROR($AC391/$AD391,0))</f>
      </c>
      <c r="AN391">
        <f>IF($A391="","",$I391-($AI391+$AJ391+$AK391+$AL391+$AM391+$AR391))</f>
      </c>
      <c r="AO391">
        <f>IF($A391="","",Allocation!CJ391)</f>
      </c>
      <c r="AP391">
        <f>IF($A391="","",IF(Allocation!$N$2="VOL_EFF",$Q391,IF(Allocation!$N$2="VOL_CLASS",$R391,$S391)))</f>
      </c>
      <c r="AQ391">
        <f>IF($A391="","",IF(Allocation!$N$2="VOL_EFF",$T391,IF(Allocation!$N$2="VOL_CLASS",$U391,$V391)))</f>
      </c>
      <c r="AR391">
        <f>IF($A391="","",$AO391*IFERROR($AP391/$AQ391,0)*IFERROR($AE391/$AF391,0)*IFERROR($AC391/$AD391,0))</f>
      </c>
      <c r="AS391">
        <f>IF($A391="","",$A391&amp;"|"&amp;Allocation!BG391)</f>
      </c>
    </row>
    <row r="392" spans="1:45">
      <c r="A392">
        <f>IF(Allocation!BI392="","",Allocation!BI392)</f>
      </c>
      <c r="B392">
        <f>IF(Allocation!BJ392="","",Allocation!BJ392)</f>
      </c>
      <c r="C392">
        <f>IF(Allocation!BK392="","",Allocation!BK392)</f>
      </c>
      <c r="D392">
        <f>IF(Allocation!BL392="","",Allocation!BL392)</f>
      </c>
      <c r="E392">
        <f>IF(Allocation!BM392="","",Allocation!BM392)</f>
      </c>
      <c r="F392">
        <f>IF(Allocation!BN392="","",Allocation!BN392)</f>
      </c>
      <c r="G392">
        <f>IF(Allocation!BO392="","",Allocation!BO392)</f>
      </c>
      <c r="H392">
        <f>IF(Allocation!BP392="","",Allocation!BP392)</f>
      </c>
      <c r="I392">
        <f>IF(Allocation!BQ392="","",Allocation!BQ392)</f>
      </c>
      <c r="J392">
        <f>IF(Allocation!CC392="","",Allocation!CC392)</f>
      </c>
      <c r="K392">
        <f>IF($A392="","",$H392*IF(AND(LEFT($D392,3)="BAC",$F392="INIT"),600,IF(LEFT($D392,3)="BAC",480,IF(AND(LEFT($D392,3)="MAS",$F392="INIT"),520,IF(LEFT($D392,3)="MAS",420,IF($F392="INIT",1000,700))))))</f>
      </c>
      <c r="L392">
        <f>IF($A392="","",SUMIFS($G$1:$G$349,$AS$1:$AS$349,$AS392,$B$1:$B$349,$B392))</f>
      </c>
      <c r="M392">
        <f>IF($A392="","",SUMIFS($H$1:$H$349,$AS$1:$AS$349,$AS392,$B$1:$B$349,$B392))</f>
      </c>
      <c r="N392">
        <f>IF($A392="","",SUMIFS($I$1:$I$349,$AS$1:$AS$349,$AS392,$B$1:$B$349,$B392))</f>
      </c>
      <c r="O392">
        <f>IF($A392="","",SUMIFS($K$1:$K$349,$AS$1:$AS$349,$AS392,$B$1:$B$349,$B392))</f>
      </c>
      <c r="P392">
        <f>IF($A392="","",SUMIFS($J$1:$J$349,$AS$1:$AS$349,$AS392,$B$1:$B$349,$B392))</f>
      </c>
      <c r="Q392">
        <f>IF($A392="","",SUMIFS($G$1:$G$349,$AS$1:$AS$349,$AS392,$C$1:$C$349,$C392))</f>
      </c>
      <c r="R392">
        <f>IF($A392="","",SUMIFS($H$1:$H$349,$AS$1:$AS$349,$AS392,$C$1:$C$349,$C392))</f>
      </c>
      <c r="S392">
        <f>IF($A392="","",SUMIFS($I$1:$I$349,$AS$1:$AS$349,$AS392,$C$1:$C$349,$C392))</f>
      </c>
      <c r="T392">
        <f>IF($A392="","",SUMIFS($G$1:$G$349,$AS$1:$AS$349,$AS392))</f>
      </c>
      <c r="U392">
        <f>IF($A392="","",SUMIFS($H$1:$H$349,$AS$1:$AS$349,$AS392))</f>
      </c>
      <c r="V392">
        <f>IF($A392="","",SUMIFS($I$1:$I$349,$AS$1:$AS$349,$AS392))</f>
      </c>
      <c r="W392">
        <f>IF($A392="","",Allocation!CD392)</f>
      </c>
      <c r="X392">
        <f>IF($A392="","",Allocation!CE392)</f>
      </c>
      <c r="Y392">
        <f>IF($A392="","",Allocation!CF392)</f>
      </c>
      <c r="Z392">
        <f>IF($A392="","",Allocation!CG392)</f>
      </c>
      <c r="AA392">
        <f>IF($A392="","",Allocation!CH392)</f>
      </c>
      <c r="AB392">
        <f>IF($A392="","",Allocation!CI392)</f>
      </c>
      <c r="AC392">
        <f>IF($A392="","",IF(Allocation!$N$4="VOL_EFF",$G392,IF(Allocation!$N$4="VOL_CLASS",$H392,$I392)))</f>
      </c>
      <c r="AD392">
        <f>IF($A392="","",IF(Allocation!$N$4="VOL_EFF",$L392,IF(Allocation!$N$4="VOL_CLASS",$M392,$N392)))</f>
      </c>
      <c r="AE392">
        <f>IF($A392="","",IF(Allocation!$N$3="VOL_EFF",$L392,IF(Allocation!$N$3="VOL_CLASS",$M392,$N392)))</f>
      </c>
      <c r="AF392">
        <f>IF($A392="","",IF(Allocation!$N$3="VOL_EFF",$Q392,IF(Allocation!$N$3="VOL_CLASS",$R392,$S392)))</f>
      </c>
      <c r="AG392">
        <f>IF($A392="","",IF(Allocation!$N$1="VOL_EFF",$Q392,IF(Allocation!$N$1="VOL_CLASS",$R392,$S392)))</f>
      </c>
      <c r="AH392">
        <f>IF($A392="","",IF(Allocation!$N$1="VOL_EFF",$T392,IF(Allocation!$N$1="VOL_CLASS",$U392,$V392)))</f>
      </c>
      <c r="AI392">
        <f>IF($A392="","",$W392*IFERROR($K392/$O392,0))</f>
      </c>
      <c r="AJ392">
        <f>IF($A392="","",$X392*IFERROR($K392/$O392,0))</f>
      </c>
      <c r="AK392">
        <f>IF($A392="","",$Y392*IFERROR($G392/$L392,0)+$Z392*IFERROR($J392/$P392,0))</f>
      </c>
      <c r="AL392">
        <f>IF($A392="","",$AA392*IFERROR($AC392/$AD392,0))</f>
      </c>
      <c r="AM392">
        <f>IF($A392="","",$AB392*IFERROR($AG392/$AH392,0)*IFERROR($AE392/$AF392,0)*IFERROR($AC392/$AD392,0))</f>
      </c>
      <c r="AN392">
        <f>IF($A392="","",$I392-($AI392+$AJ392+$AK392+$AL392+$AM392+$AR392))</f>
      </c>
      <c r="AO392">
        <f>IF($A392="","",Allocation!CJ392)</f>
      </c>
      <c r="AP392">
        <f>IF($A392="","",IF(Allocation!$N$2="VOL_EFF",$Q392,IF(Allocation!$N$2="VOL_CLASS",$R392,$S392)))</f>
      </c>
      <c r="AQ392">
        <f>IF($A392="","",IF(Allocation!$N$2="VOL_EFF",$T392,IF(Allocation!$N$2="VOL_CLASS",$U392,$V392)))</f>
      </c>
      <c r="AR392">
        <f>IF($A392="","",$AO392*IFERROR($AP392/$AQ392,0)*IFERROR($AE392/$AF392,0)*IFERROR($AC392/$AD392,0))</f>
      </c>
      <c r="AS392">
        <f>IF($A392="","",$A392&amp;"|"&amp;Allocation!BG392)</f>
      </c>
    </row>
    <row r="393" spans="1:45">
      <c r="A393">
        <f>IF(Allocation!BI393="","",Allocation!BI393)</f>
      </c>
      <c r="B393">
        <f>IF(Allocation!BJ393="","",Allocation!BJ393)</f>
      </c>
      <c r="C393">
        <f>IF(Allocation!BK393="","",Allocation!BK393)</f>
      </c>
      <c r="D393">
        <f>IF(Allocation!BL393="","",Allocation!BL393)</f>
      </c>
      <c r="E393">
        <f>IF(Allocation!BM393="","",Allocation!BM393)</f>
      </c>
      <c r="F393">
        <f>IF(Allocation!BN393="","",Allocation!BN393)</f>
      </c>
      <c r="G393">
        <f>IF(Allocation!BO393="","",Allocation!BO393)</f>
      </c>
      <c r="H393">
        <f>IF(Allocation!BP393="","",Allocation!BP393)</f>
      </c>
      <c r="I393">
        <f>IF(Allocation!BQ393="","",Allocation!BQ393)</f>
      </c>
      <c r="J393">
        <f>IF(Allocation!CC393="","",Allocation!CC393)</f>
      </c>
      <c r="K393">
        <f>IF($A393="","",$H393*IF(AND(LEFT($D393,3)="BAC",$F393="INIT"),600,IF(LEFT($D393,3)="BAC",480,IF(AND(LEFT($D393,3)="MAS",$F393="INIT"),520,IF(LEFT($D393,3)="MAS",420,IF($F393="INIT",1000,700))))))</f>
      </c>
      <c r="L393">
        <f>IF($A393="","",SUMIFS($G$1:$G$349,$AS$1:$AS$349,$AS393,$B$1:$B$349,$B393))</f>
      </c>
      <c r="M393">
        <f>IF($A393="","",SUMIFS($H$1:$H$349,$AS$1:$AS$349,$AS393,$B$1:$B$349,$B393))</f>
      </c>
      <c r="N393">
        <f>IF($A393="","",SUMIFS($I$1:$I$349,$AS$1:$AS$349,$AS393,$B$1:$B$349,$B393))</f>
      </c>
      <c r="O393">
        <f>IF($A393="","",SUMIFS($K$1:$K$349,$AS$1:$AS$349,$AS393,$B$1:$B$349,$B393))</f>
      </c>
      <c r="P393">
        <f>IF($A393="","",SUMIFS($J$1:$J$349,$AS$1:$AS$349,$AS393,$B$1:$B$349,$B393))</f>
      </c>
      <c r="Q393">
        <f>IF($A393="","",SUMIFS($G$1:$G$349,$AS$1:$AS$349,$AS393,$C$1:$C$349,$C393))</f>
      </c>
      <c r="R393">
        <f>IF($A393="","",SUMIFS($H$1:$H$349,$AS$1:$AS$349,$AS393,$C$1:$C$349,$C393))</f>
      </c>
      <c r="S393">
        <f>IF($A393="","",SUMIFS($I$1:$I$349,$AS$1:$AS$349,$AS393,$C$1:$C$349,$C393))</f>
      </c>
      <c r="T393">
        <f>IF($A393="","",SUMIFS($G$1:$G$349,$AS$1:$AS$349,$AS393))</f>
      </c>
      <c r="U393">
        <f>IF($A393="","",SUMIFS($H$1:$H$349,$AS$1:$AS$349,$AS393))</f>
      </c>
      <c r="V393">
        <f>IF($A393="","",SUMIFS($I$1:$I$349,$AS$1:$AS$349,$AS393))</f>
      </c>
      <c r="W393">
        <f>IF($A393="","",Allocation!CD393)</f>
      </c>
      <c r="X393">
        <f>IF($A393="","",Allocation!CE393)</f>
      </c>
      <c r="Y393">
        <f>IF($A393="","",Allocation!CF393)</f>
      </c>
      <c r="Z393">
        <f>IF($A393="","",Allocation!CG393)</f>
      </c>
      <c r="AA393">
        <f>IF($A393="","",Allocation!CH393)</f>
      </c>
      <c r="AB393">
        <f>IF($A393="","",Allocation!CI393)</f>
      </c>
      <c r="AC393">
        <f>IF($A393="","",IF(Allocation!$N$4="VOL_EFF",$G393,IF(Allocation!$N$4="VOL_CLASS",$H393,$I393)))</f>
      </c>
      <c r="AD393">
        <f>IF($A393="","",IF(Allocation!$N$4="VOL_EFF",$L393,IF(Allocation!$N$4="VOL_CLASS",$M393,$N393)))</f>
      </c>
      <c r="AE393">
        <f>IF($A393="","",IF(Allocation!$N$3="VOL_EFF",$L393,IF(Allocation!$N$3="VOL_CLASS",$M393,$N393)))</f>
      </c>
      <c r="AF393">
        <f>IF($A393="","",IF(Allocation!$N$3="VOL_EFF",$Q393,IF(Allocation!$N$3="VOL_CLASS",$R393,$S393)))</f>
      </c>
      <c r="AG393">
        <f>IF($A393="","",IF(Allocation!$N$1="VOL_EFF",$Q393,IF(Allocation!$N$1="VOL_CLASS",$R393,$S393)))</f>
      </c>
      <c r="AH393">
        <f>IF($A393="","",IF(Allocation!$N$1="VOL_EFF",$T393,IF(Allocation!$N$1="VOL_CLASS",$U393,$V393)))</f>
      </c>
      <c r="AI393">
        <f>IF($A393="","",$W393*IFERROR($K393/$O393,0))</f>
      </c>
      <c r="AJ393">
        <f>IF($A393="","",$X393*IFERROR($K393/$O393,0))</f>
      </c>
      <c r="AK393">
        <f>IF($A393="","",$Y393*IFERROR($G393/$L393,0)+$Z393*IFERROR($J393/$P393,0))</f>
      </c>
      <c r="AL393">
        <f>IF($A393="","",$AA393*IFERROR($AC393/$AD393,0))</f>
      </c>
      <c r="AM393">
        <f>IF($A393="","",$AB393*IFERROR($AG393/$AH393,0)*IFERROR($AE393/$AF393,0)*IFERROR($AC393/$AD393,0))</f>
      </c>
      <c r="AN393">
        <f>IF($A393="","",$I393-($AI393+$AJ393+$AK393+$AL393+$AM393+$AR393))</f>
      </c>
      <c r="AO393">
        <f>IF($A393="","",Allocation!CJ393)</f>
      </c>
      <c r="AP393">
        <f>IF($A393="","",IF(Allocation!$N$2="VOL_EFF",$Q393,IF(Allocation!$N$2="VOL_CLASS",$R393,$S393)))</f>
      </c>
      <c r="AQ393">
        <f>IF($A393="","",IF(Allocation!$N$2="VOL_EFF",$T393,IF(Allocation!$N$2="VOL_CLASS",$U393,$V393)))</f>
      </c>
      <c r="AR393">
        <f>IF($A393="","",$AO393*IFERROR($AP393/$AQ393,0)*IFERROR($AE393/$AF393,0)*IFERROR($AC393/$AD393,0))</f>
      </c>
      <c r="AS393">
        <f>IF($A393="","",$A393&amp;"|"&amp;Allocation!BG393)</f>
      </c>
    </row>
    <row r="394" spans="1:45">
      <c r="A394">
        <f>IF(Allocation!BI394="","",Allocation!BI394)</f>
      </c>
      <c r="B394">
        <f>IF(Allocation!BJ394="","",Allocation!BJ394)</f>
      </c>
      <c r="C394">
        <f>IF(Allocation!BK394="","",Allocation!BK394)</f>
      </c>
      <c r="D394">
        <f>IF(Allocation!BL394="","",Allocation!BL394)</f>
      </c>
      <c r="E394">
        <f>IF(Allocation!BM394="","",Allocation!BM394)</f>
      </c>
      <c r="F394">
        <f>IF(Allocation!BN394="","",Allocation!BN394)</f>
      </c>
      <c r="G394">
        <f>IF(Allocation!BO394="","",Allocation!BO394)</f>
      </c>
      <c r="H394">
        <f>IF(Allocation!BP394="","",Allocation!BP394)</f>
      </c>
      <c r="I394">
        <f>IF(Allocation!BQ394="","",Allocation!BQ394)</f>
      </c>
      <c r="J394">
        <f>IF(Allocation!CC394="","",Allocation!CC394)</f>
      </c>
      <c r="K394">
        <f>IF($A394="","",$H394*IF(AND(LEFT($D394,3)="BAC",$F394="INIT"),600,IF(LEFT($D394,3)="BAC",480,IF(AND(LEFT($D394,3)="MAS",$F394="INIT"),520,IF(LEFT($D394,3)="MAS",420,IF($F394="INIT",1000,700))))))</f>
      </c>
      <c r="L394">
        <f>IF($A394="","",SUMIFS($G$1:$G$349,$AS$1:$AS$349,$AS394,$B$1:$B$349,$B394))</f>
      </c>
      <c r="M394">
        <f>IF($A394="","",SUMIFS($H$1:$H$349,$AS$1:$AS$349,$AS394,$B$1:$B$349,$B394))</f>
      </c>
      <c r="N394">
        <f>IF($A394="","",SUMIFS($I$1:$I$349,$AS$1:$AS$349,$AS394,$B$1:$B$349,$B394))</f>
      </c>
      <c r="O394">
        <f>IF($A394="","",SUMIFS($K$1:$K$349,$AS$1:$AS$349,$AS394,$B$1:$B$349,$B394))</f>
      </c>
      <c r="P394">
        <f>IF($A394="","",SUMIFS($J$1:$J$349,$AS$1:$AS$349,$AS394,$B$1:$B$349,$B394))</f>
      </c>
      <c r="Q394">
        <f>IF($A394="","",SUMIFS($G$1:$G$349,$AS$1:$AS$349,$AS394,$C$1:$C$349,$C394))</f>
      </c>
      <c r="R394">
        <f>IF($A394="","",SUMIFS($H$1:$H$349,$AS$1:$AS$349,$AS394,$C$1:$C$349,$C394))</f>
      </c>
      <c r="S394">
        <f>IF($A394="","",SUMIFS($I$1:$I$349,$AS$1:$AS$349,$AS394,$C$1:$C$349,$C394))</f>
      </c>
      <c r="T394">
        <f>IF($A394="","",SUMIFS($G$1:$G$349,$AS$1:$AS$349,$AS394))</f>
      </c>
      <c r="U394">
        <f>IF($A394="","",SUMIFS($H$1:$H$349,$AS$1:$AS$349,$AS394))</f>
      </c>
      <c r="V394">
        <f>IF($A394="","",SUMIFS($I$1:$I$349,$AS$1:$AS$349,$AS394))</f>
      </c>
      <c r="W394">
        <f>IF($A394="","",Allocation!CD394)</f>
      </c>
      <c r="X394">
        <f>IF($A394="","",Allocation!CE394)</f>
      </c>
      <c r="Y394">
        <f>IF($A394="","",Allocation!CF394)</f>
      </c>
      <c r="Z394">
        <f>IF($A394="","",Allocation!CG394)</f>
      </c>
      <c r="AA394">
        <f>IF($A394="","",Allocation!CH394)</f>
      </c>
      <c r="AB394">
        <f>IF($A394="","",Allocation!CI394)</f>
      </c>
      <c r="AC394">
        <f>IF($A394="","",IF(Allocation!$N$4="VOL_EFF",$G394,IF(Allocation!$N$4="VOL_CLASS",$H394,$I394)))</f>
      </c>
      <c r="AD394">
        <f>IF($A394="","",IF(Allocation!$N$4="VOL_EFF",$L394,IF(Allocation!$N$4="VOL_CLASS",$M394,$N394)))</f>
      </c>
      <c r="AE394">
        <f>IF($A394="","",IF(Allocation!$N$3="VOL_EFF",$L394,IF(Allocation!$N$3="VOL_CLASS",$M394,$N394)))</f>
      </c>
      <c r="AF394">
        <f>IF($A394="","",IF(Allocation!$N$3="VOL_EFF",$Q394,IF(Allocation!$N$3="VOL_CLASS",$R394,$S394)))</f>
      </c>
      <c r="AG394">
        <f>IF($A394="","",IF(Allocation!$N$1="VOL_EFF",$Q394,IF(Allocation!$N$1="VOL_CLASS",$R394,$S394)))</f>
      </c>
      <c r="AH394">
        <f>IF($A394="","",IF(Allocation!$N$1="VOL_EFF",$T394,IF(Allocation!$N$1="VOL_CLASS",$U394,$V394)))</f>
      </c>
      <c r="AI394">
        <f>IF($A394="","",$W394*IFERROR($K394/$O394,0))</f>
      </c>
      <c r="AJ394">
        <f>IF($A394="","",$X394*IFERROR($K394/$O394,0))</f>
      </c>
      <c r="AK394">
        <f>IF($A394="","",$Y394*IFERROR($G394/$L394,0)+$Z394*IFERROR($J394/$P394,0))</f>
      </c>
      <c r="AL394">
        <f>IF($A394="","",$AA394*IFERROR($AC394/$AD394,0))</f>
      </c>
      <c r="AM394">
        <f>IF($A394="","",$AB394*IFERROR($AG394/$AH394,0)*IFERROR($AE394/$AF394,0)*IFERROR($AC394/$AD394,0))</f>
      </c>
      <c r="AN394">
        <f>IF($A394="","",$I394-($AI394+$AJ394+$AK394+$AL394+$AM394+$AR394))</f>
      </c>
      <c r="AO394">
        <f>IF($A394="","",Allocation!CJ394)</f>
      </c>
      <c r="AP394">
        <f>IF($A394="","",IF(Allocation!$N$2="VOL_EFF",$Q394,IF(Allocation!$N$2="VOL_CLASS",$R394,$S394)))</f>
      </c>
      <c r="AQ394">
        <f>IF($A394="","",IF(Allocation!$N$2="VOL_EFF",$T394,IF(Allocation!$N$2="VOL_CLASS",$U394,$V394)))</f>
      </c>
      <c r="AR394">
        <f>IF($A394="","",$AO394*IFERROR($AP394/$AQ394,0)*IFERROR($AE394/$AF394,0)*IFERROR($AC394/$AD394,0))</f>
      </c>
      <c r="AS394">
        <f>IF($A394="","",$A394&amp;"|"&amp;Allocation!BG394)</f>
      </c>
    </row>
    <row r="395" spans="1:45">
      <c r="A395">
        <f>IF(Allocation!BI395="","",Allocation!BI395)</f>
      </c>
      <c r="B395">
        <f>IF(Allocation!BJ395="","",Allocation!BJ395)</f>
      </c>
      <c r="C395">
        <f>IF(Allocation!BK395="","",Allocation!BK395)</f>
      </c>
      <c r="D395">
        <f>IF(Allocation!BL395="","",Allocation!BL395)</f>
      </c>
      <c r="E395">
        <f>IF(Allocation!BM395="","",Allocation!BM395)</f>
      </c>
      <c r="F395">
        <f>IF(Allocation!BN395="","",Allocation!BN395)</f>
      </c>
      <c r="G395">
        <f>IF(Allocation!BO395="","",Allocation!BO395)</f>
      </c>
      <c r="H395">
        <f>IF(Allocation!BP395="","",Allocation!BP395)</f>
      </c>
      <c r="I395">
        <f>IF(Allocation!BQ395="","",Allocation!BQ395)</f>
      </c>
      <c r="J395">
        <f>IF(Allocation!CC395="","",Allocation!CC395)</f>
      </c>
      <c r="K395">
        <f>IF($A395="","",$H395*IF(AND(LEFT($D395,3)="BAC",$F395="INIT"),600,IF(LEFT($D395,3)="BAC",480,IF(AND(LEFT($D395,3)="MAS",$F395="INIT"),520,IF(LEFT($D395,3)="MAS",420,IF($F395="INIT",1000,700))))))</f>
      </c>
      <c r="L395">
        <f>IF($A395="","",SUMIFS($G$1:$G$349,$AS$1:$AS$349,$AS395,$B$1:$B$349,$B395))</f>
      </c>
      <c r="M395">
        <f>IF($A395="","",SUMIFS($H$1:$H$349,$AS$1:$AS$349,$AS395,$B$1:$B$349,$B395))</f>
      </c>
      <c r="N395">
        <f>IF($A395="","",SUMIFS($I$1:$I$349,$AS$1:$AS$349,$AS395,$B$1:$B$349,$B395))</f>
      </c>
      <c r="O395">
        <f>IF($A395="","",SUMIFS($K$1:$K$349,$AS$1:$AS$349,$AS395,$B$1:$B$349,$B395))</f>
      </c>
      <c r="P395">
        <f>IF($A395="","",SUMIFS($J$1:$J$349,$AS$1:$AS$349,$AS395,$B$1:$B$349,$B395))</f>
      </c>
      <c r="Q395">
        <f>IF($A395="","",SUMIFS($G$1:$G$349,$AS$1:$AS$349,$AS395,$C$1:$C$349,$C395))</f>
      </c>
      <c r="R395">
        <f>IF($A395="","",SUMIFS($H$1:$H$349,$AS$1:$AS$349,$AS395,$C$1:$C$349,$C395))</f>
      </c>
      <c r="S395">
        <f>IF($A395="","",SUMIFS($I$1:$I$349,$AS$1:$AS$349,$AS395,$C$1:$C$349,$C395))</f>
      </c>
      <c r="T395">
        <f>IF($A395="","",SUMIFS($G$1:$G$349,$AS$1:$AS$349,$AS395))</f>
      </c>
      <c r="U395">
        <f>IF($A395="","",SUMIFS($H$1:$H$349,$AS$1:$AS$349,$AS395))</f>
      </c>
      <c r="V395">
        <f>IF($A395="","",SUMIFS($I$1:$I$349,$AS$1:$AS$349,$AS395))</f>
      </c>
      <c r="W395">
        <f>IF($A395="","",Allocation!CD395)</f>
      </c>
      <c r="X395">
        <f>IF($A395="","",Allocation!CE395)</f>
      </c>
      <c r="Y395">
        <f>IF($A395="","",Allocation!CF395)</f>
      </c>
      <c r="Z395">
        <f>IF($A395="","",Allocation!CG395)</f>
      </c>
      <c r="AA395">
        <f>IF($A395="","",Allocation!CH395)</f>
      </c>
      <c r="AB395">
        <f>IF($A395="","",Allocation!CI395)</f>
      </c>
      <c r="AC395">
        <f>IF($A395="","",IF(Allocation!$N$4="VOL_EFF",$G395,IF(Allocation!$N$4="VOL_CLASS",$H395,$I395)))</f>
      </c>
      <c r="AD395">
        <f>IF($A395="","",IF(Allocation!$N$4="VOL_EFF",$L395,IF(Allocation!$N$4="VOL_CLASS",$M395,$N395)))</f>
      </c>
      <c r="AE395">
        <f>IF($A395="","",IF(Allocation!$N$3="VOL_EFF",$L395,IF(Allocation!$N$3="VOL_CLASS",$M395,$N395)))</f>
      </c>
      <c r="AF395">
        <f>IF($A395="","",IF(Allocation!$N$3="VOL_EFF",$Q395,IF(Allocation!$N$3="VOL_CLASS",$R395,$S395)))</f>
      </c>
      <c r="AG395">
        <f>IF($A395="","",IF(Allocation!$N$1="VOL_EFF",$Q395,IF(Allocation!$N$1="VOL_CLASS",$R395,$S395)))</f>
      </c>
      <c r="AH395">
        <f>IF($A395="","",IF(Allocation!$N$1="VOL_EFF",$T395,IF(Allocation!$N$1="VOL_CLASS",$U395,$V395)))</f>
      </c>
      <c r="AI395">
        <f>IF($A395="","",$W395*IFERROR($K395/$O395,0))</f>
      </c>
      <c r="AJ395">
        <f>IF($A395="","",$X395*IFERROR($K395/$O395,0))</f>
      </c>
      <c r="AK395">
        <f>IF($A395="","",$Y395*IFERROR($G395/$L395,0)+$Z395*IFERROR($J395/$P395,0))</f>
      </c>
      <c r="AL395">
        <f>IF($A395="","",$AA395*IFERROR($AC395/$AD395,0))</f>
      </c>
      <c r="AM395">
        <f>IF($A395="","",$AB395*IFERROR($AG395/$AH395,0)*IFERROR($AE395/$AF395,0)*IFERROR($AC395/$AD395,0))</f>
      </c>
      <c r="AN395">
        <f>IF($A395="","",$I395-($AI395+$AJ395+$AK395+$AL395+$AM395+$AR395))</f>
      </c>
      <c r="AO395">
        <f>IF($A395="","",Allocation!CJ395)</f>
      </c>
      <c r="AP395">
        <f>IF($A395="","",IF(Allocation!$N$2="VOL_EFF",$Q395,IF(Allocation!$N$2="VOL_CLASS",$R395,$S395)))</f>
      </c>
      <c r="AQ395">
        <f>IF($A395="","",IF(Allocation!$N$2="VOL_EFF",$T395,IF(Allocation!$N$2="VOL_CLASS",$U395,$V395)))</f>
      </c>
      <c r="AR395">
        <f>IF($A395="","",$AO395*IFERROR($AP395/$AQ395,0)*IFERROR($AE395/$AF395,0)*IFERROR($AC395/$AD395,0))</f>
      </c>
      <c r="AS395">
        <f>IF($A395="","",$A395&amp;"|"&amp;Allocation!BG395)</f>
      </c>
    </row>
    <row r="396" spans="1:45">
      <c r="A396">
        <f>IF(Allocation!BI396="","",Allocation!BI396)</f>
      </c>
      <c r="B396">
        <f>IF(Allocation!BJ396="","",Allocation!BJ396)</f>
      </c>
      <c r="C396">
        <f>IF(Allocation!BK396="","",Allocation!BK396)</f>
      </c>
      <c r="D396">
        <f>IF(Allocation!BL396="","",Allocation!BL396)</f>
      </c>
      <c r="E396">
        <f>IF(Allocation!BM396="","",Allocation!BM396)</f>
      </c>
      <c r="F396">
        <f>IF(Allocation!BN396="","",Allocation!BN396)</f>
      </c>
      <c r="G396">
        <f>IF(Allocation!BO396="","",Allocation!BO396)</f>
      </c>
      <c r="H396">
        <f>IF(Allocation!BP396="","",Allocation!BP396)</f>
      </c>
      <c r="I396">
        <f>IF(Allocation!BQ396="","",Allocation!BQ396)</f>
      </c>
      <c r="J396">
        <f>IF(Allocation!CC396="","",Allocation!CC396)</f>
      </c>
      <c r="K396">
        <f>IF($A396="","",$H396*IF(AND(LEFT($D396,3)="BAC",$F396="INIT"),600,IF(LEFT($D396,3)="BAC",480,IF(AND(LEFT($D396,3)="MAS",$F396="INIT"),520,IF(LEFT($D396,3)="MAS",420,IF($F396="INIT",1000,700))))))</f>
      </c>
      <c r="L396">
        <f>IF($A396="","",SUMIFS($G$1:$G$349,$AS$1:$AS$349,$AS396,$B$1:$B$349,$B396))</f>
      </c>
      <c r="M396">
        <f>IF($A396="","",SUMIFS($H$1:$H$349,$AS$1:$AS$349,$AS396,$B$1:$B$349,$B396))</f>
      </c>
      <c r="N396">
        <f>IF($A396="","",SUMIFS($I$1:$I$349,$AS$1:$AS$349,$AS396,$B$1:$B$349,$B396))</f>
      </c>
      <c r="O396">
        <f>IF($A396="","",SUMIFS($K$1:$K$349,$AS$1:$AS$349,$AS396,$B$1:$B$349,$B396))</f>
      </c>
      <c r="P396">
        <f>IF($A396="","",SUMIFS($J$1:$J$349,$AS$1:$AS$349,$AS396,$B$1:$B$349,$B396))</f>
      </c>
      <c r="Q396">
        <f>IF($A396="","",SUMIFS($G$1:$G$349,$AS$1:$AS$349,$AS396,$C$1:$C$349,$C396))</f>
      </c>
      <c r="R396">
        <f>IF($A396="","",SUMIFS($H$1:$H$349,$AS$1:$AS$349,$AS396,$C$1:$C$349,$C396))</f>
      </c>
      <c r="S396">
        <f>IF($A396="","",SUMIFS($I$1:$I$349,$AS$1:$AS$349,$AS396,$C$1:$C$349,$C396))</f>
      </c>
      <c r="T396">
        <f>IF($A396="","",SUMIFS($G$1:$G$349,$AS$1:$AS$349,$AS396))</f>
      </c>
      <c r="U396">
        <f>IF($A396="","",SUMIFS($H$1:$H$349,$AS$1:$AS$349,$AS396))</f>
      </c>
      <c r="V396">
        <f>IF($A396="","",SUMIFS($I$1:$I$349,$AS$1:$AS$349,$AS396))</f>
      </c>
      <c r="W396">
        <f>IF($A396="","",Allocation!CD396)</f>
      </c>
      <c r="X396">
        <f>IF($A396="","",Allocation!CE396)</f>
      </c>
      <c r="Y396">
        <f>IF($A396="","",Allocation!CF396)</f>
      </c>
      <c r="Z396">
        <f>IF($A396="","",Allocation!CG396)</f>
      </c>
      <c r="AA396">
        <f>IF($A396="","",Allocation!CH396)</f>
      </c>
      <c r="AB396">
        <f>IF($A396="","",Allocation!CI396)</f>
      </c>
      <c r="AC396">
        <f>IF($A396="","",IF(Allocation!$N$4="VOL_EFF",$G396,IF(Allocation!$N$4="VOL_CLASS",$H396,$I396)))</f>
      </c>
      <c r="AD396">
        <f>IF($A396="","",IF(Allocation!$N$4="VOL_EFF",$L396,IF(Allocation!$N$4="VOL_CLASS",$M396,$N396)))</f>
      </c>
      <c r="AE396">
        <f>IF($A396="","",IF(Allocation!$N$3="VOL_EFF",$L396,IF(Allocation!$N$3="VOL_CLASS",$M396,$N396)))</f>
      </c>
      <c r="AF396">
        <f>IF($A396="","",IF(Allocation!$N$3="VOL_EFF",$Q396,IF(Allocation!$N$3="VOL_CLASS",$R396,$S396)))</f>
      </c>
      <c r="AG396">
        <f>IF($A396="","",IF(Allocation!$N$1="VOL_EFF",$Q396,IF(Allocation!$N$1="VOL_CLASS",$R396,$S396)))</f>
      </c>
      <c r="AH396">
        <f>IF($A396="","",IF(Allocation!$N$1="VOL_EFF",$T396,IF(Allocation!$N$1="VOL_CLASS",$U396,$V396)))</f>
      </c>
      <c r="AI396">
        <f>IF($A396="","",$W396*IFERROR($K396/$O396,0))</f>
      </c>
      <c r="AJ396">
        <f>IF($A396="","",$X396*IFERROR($K396/$O396,0))</f>
      </c>
      <c r="AK396">
        <f>IF($A396="","",$Y396*IFERROR($G396/$L396,0)+$Z396*IFERROR($J396/$P396,0))</f>
      </c>
      <c r="AL396">
        <f>IF($A396="","",$AA396*IFERROR($AC396/$AD396,0))</f>
      </c>
      <c r="AM396">
        <f>IF($A396="","",$AB396*IFERROR($AG396/$AH396,0)*IFERROR($AE396/$AF396,0)*IFERROR($AC396/$AD396,0))</f>
      </c>
      <c r="AN396">
        <f>IF($A396="","",$I396-($AI396+$AJ396+$AK396+$AL396+$AM396+$AR396))</f>
      </c>
      <c r="AO396">
        <f>IF($A396="","",Allocation!CJ396)</f>
      </c>
      <c r="AP396">
        <f>IF($A396="","",IF(Allocation!$N$2="VOL_EFF",$Q396,IF(Allocation!$N$2="VOL_CLASS",$R396,$S396)))</f>
      </c>
      <c r="AQ396">
        <f>IF($A396="","",IF(Allocation!$N$2="VOL_EFF",$T396,IF(Allocation!$N$2="VOL_CLASS",$U396,$V396)))</f>
      </c>
      <c r="AR396">
        <f>IF($A396="","",$AO396*IFERROR($AP396/$AQ396,0)*IFERROR($AE396/$AF396,0)*IFERROR($AC396/$AD396,0))</f>
      </c>
      <c r="AS396">
        <f>IF($A396="","",$A396&amp;"|"&amp;Allocation!BG396)</f>
      </c>
    </row>
    <row r="397" spans="1:45">
      <c r="A397">
        <f>IF(Allocation!BI397="","",Allocation!BI397)</f>
      </c>
      <c r="B397">
        <f>IF(Allocation!BJ397="","",Allocation!BJ397)</f>
      </c>
      <c r="C397">
        <f>IF(Allocation!BK397="","",Allocation!BK397)</f>
      </c>
      <c r="D397">
        <f>IF(Allocation!BL397="","",Allocation!BL397)</f>
      </c>
      <c r="E397">
        <f>IF(Allocation!BM397="","",Allocation!BM397)</f>
      </c>
      <c r="F397">
        <f>IF(Allocation!BN397="","",Allocation!BN397)</f>
      </c>
      <c r="G397">
        <f>IF(Allocation!BO397="","",Allocation!BO397)</f>
      </c>
      <c r="H397">
        <f>IF(Allocation!BP397="","",Allocation!BP397)</f>
      </c>
      <c r="I397">
        <f>IF(Allocation!BQ397="","",Allocation!BQ397)</f>
      </c>
      <c r="J397">
        <f>IF(Allocation!CC397="","",Allocation!CC397)</f>
      </c>
      <c r="K397">
        <f>IF($A397="","",$H397*IF(AND(LEFT($D397,3)="BAC",$F397="INIT"),600,IF(LEFT($D397,3)="BAC",480,IF(AND(LEFT($D397,3)="MAS",$F397="INIT"),520,IF(LEFT($D397,3)="MAS",420,IF($F397="INIT",1000,700))))))</f>
      </c>
      <c r="L397">
        <f>IF($A397="","",SUMIFS($G$1:$G$349,$AS$1:$AS$349,$AS397,$B$1:$B$349,$B397))</f>
      </c>
      <c r="M397">
        <f>IF($A397="","",SUMIFS($H$1:$H$349,$AS$1:$AS$349,$AS397,$B$1:$B$349,$B397))</f>
      </c>
      <c r="N397">
        <f>IF($A397="","",SUMIFS($I$1:$I$349,$AS$1:$AS$349,$AS397,$B$1:$B$349,$B397))</f>
      </c>
      <c r="O397">
        <f>IF($A397="","",SUMIFS($K$1:$K$349,$AS$1:$AS$349,$AS397,$B$1:$B$349,$B397))</f>
      </c>
      <c r="P397">
        <f>IF($A397="","",SUMIFS($J$1:$J$349,$AS$1:$AS$349,$AS397,$B$1:$B$349,$B397))</f>
      </c>
      <c r="Q397">
        <f>IF($A397="","",SUMIFS($G$1:$G$349,$AS$1:$AS$349,$AS397,$C$1:$C$349,$C397))</f>
      </c>
      <c r="R397">
        <f>IF($A397="","",SUMIFS($H$1:$H$349,$AS$1:$AS$349,$AS397,$C$1:$C$349,$C397))</f>
      </c>
      <c r="S397">
        <f>IF($A397="","",SUMIFS($I$1:$I$349,$AS$1:$AS$349,$AS397,$C$1:$C$349,$C397))</f>
      </c>
      <c r="T397">
        <f>IF($A397="","",SUMIFS($G$1:$G$349,$AS$1:$AS$349,$AS397))</f>
      </c>
      <c r="U397">
        <f>IF($A397="","",SUMIFS($H$1:$H$349,$AS$1:$AS$349,$AS397))</f>
      </c>
      <c r="V397">
        <f>IF($A397="","",SUMIFS($I$1:$I$349,$AS$1:$AS$349,$AS397))</f>
      </c>
      <c r="W397">
        <f>IF($A397="","",Allocation!CD397)</f>
      </c>
      <c r="X397">
        <f>IF($A397="","",Allocation!CE397)</f>
      </c>
      <c r="Y397">
        <f>IF($A397="","",Allocation!CF397)</f>
      </c>
      <c r="Z397">
        <f>IF($A397="","",Allocation!CG397)</f>
      </c>
      <c r="AA397">
        <f>IF($A397="","",Allocation!CH397)</f>
      </c>
      <c r="AB397">
        <f>IF($A397="","",Allocation!CI397)</f>
      </c>
      <c r="AC397">
        <f>IF($A397="","",IF(Allocation!$N$4="VOL_EFF",$G397,IF(Allocation!$N$4="VOL_CLASS",$H397,$I397)))</f>
      </c>
      <c r="AD397">
        <f>IF($A397="","",IF(Allocation!$N$4="VOL_EFF",$L397,IF(Allocation!$N$4="VOL_CLASS",$M397,$N397)))</f>
      </c>
      <c r="AE397">
        <f>IF($A397="","",IF(Allocation!$N$3="VOL_EFF",$L397,IF(Allocation!$N$3="VOL_CLASS",$M397,$N397)))</f>
      </c>
      <c r="AF397">
        <f>IF($A397="","",IF(Allocation!$N$3="VOL_EFF",$Q397,IF(Allocation!$N$3="VOL_CLASS",$R397,$S397)))</f>
      </c>
      <c r="AG397">
        <f>IF($A397="","",IF(Allocation!$N$1="VOL_EFF",$Q397,IF(Allocation!$N$1="VOL_CLASS",$R397,$S397)))</f>
      </c>
      <c r="AH397">
        <f>IF($A397="","",IF(Allocation!$N$1="VOL_EFF",$T397,IF(Allocation!$N$1="VOL_CLASS",$U397,$V397)))</f>
      </c>
      <c r="AI397">
        <f>IF($A397="","",$W397*IFERROR($K397/$O397,0))</f>
      </c>
      <c r="AJ397">
        <f>IF($A397="","",$X397*IFERROR($K397/$O397,0))</f>
      </c>
      <c r="AK397">
        <f>IF($A397="","",$Y397*IFERROR($G397/$L397,0)+$Z397*IFERROR($J397/$P397,0))</f>
      </c>
      <c r="AL397">
        <f>IF($A397="","",$AA397*IFERROR($AC397/$AD397,0))</f>
      </c>
      <c r="AM397">
        <f>IF($A397="","",$AB397*IFERROR($AG397/$AH397,0)*IFERROR($AE397/$AF397,0)*IFERROR($AC397/$AD397,0))</f>
      </c>
      <c r="AN397">
        <f>IF($A397="","",$I397-($AI397+$AJ397+$AK397+$AL397+$AM397+$AR397))</f>
      </c>
      <c r="AO397">
        <f>IF($A397="","",Allocation!CJ397)</f>
      </c>
      <c r="AP397">
        <f>IF($A397="","",IF(Allocation!$N$2="VOL_EFF",$Q397,IF(Allocation!$N$2="VOL_CLASS",$R397,$S397)))</f>
      </c>
      <c r="AQ397">
        <f>IF($A397="","",IF(Allocation!$N$2="VOL_EFF",$T397,IF(Allocation!$N$2="VOL_CLASS",$U397,$V397)))</f>
      </c>
      <c r="AR397">
        <f>IF($A397="","",$AO397*IFERROR($AP397/$AQ397,0)*IFERROR($AE397/$AF397,0)*IFERROR($AC397/$AD397,0))</f>
      </c>
      <c r="AS397">
        <f>IF($A397="","",$A397&amp;"|"&amp;Allocation!BG397)</f>
      </c>
    </row>
    <row r="398" spans="1:45">
      <c r="A398">
        <f>IF(Allocation!BI398="","",Allocation!BI398)</f>
      </c>
      <c r="B398">
        <f>IF(Allocation!BJ398="","",Allocation!BJ398)</f>
      </c>
      <c r="C398">
        <f>IF(Allocation!BK398="","",Allocation!BK398)</f>
      </c>
      <c r="D398">
        <f>IF(Allocation!BL398="","",Allocation!BL398)</f>
      </c>
      <c r="E398">
        <f>IF(Allocation!BM398="","",Allocation!BM398)</f>
      </c>
      <c r="F398">
        <f>IF(Allocation!BN398="","",Allocation!BN398)</f>
      </c>
      <c r="G398">
        <f>IF(Allocation!BO398="","",Allocation!BO398)</f>
      </c>
      <c r="H398">
        <f>IF(Allocation!BP398="","",Allocation!BP398)</f>
      </c>
      <c r="I398">
        <f>IF(Allocation!BQ398="","",Allocation!BQ398)</f>
      </c>
      <c r="J398">
        <f>IF(Allocation!CC398="","",Allocation!CC398)</f>
      </c>
      <c r="K398">
        <f>IF($A398="","",$H398*IF(AND(LEFT($D398,3)="BAC",$F398="INIT"),600,IF(LEFT($D398,3)="BAC",480,IF(AND(LEFT($D398,3)="MAS",$F398="INIT"),520,IF(LEFT($D398,3)="MAS",420,IF($F398="INIT",1000,700))))))</f>
      </c>
      <c r="L398">
        <f>IF($A398="","",SUMIFS($G$1:$G$349,$AS$1:$AS$349,$AS398,$B$1:$B$349,$B398))</f>
      </c>
      <c r="M398">
        <f>IF($A398="","",SUMIFS($H$1:$H$349,$AS$1:$AS$349,$AS398,$B$1:$B$349,$B398))</f>
      </c>
      <c r="N398">
        <f>IF($A398="","",SUMIFS($I$1:$I$349,$AS$1:$AS$349,$AS398,$B$1:$B$349,$B398))</f>
      </c>
      <c r="O398">
        <f>IF($A398="","",SUMIFS($K$1:$K$349,$AS$1:$AS$349,$AS398,$B$1:$B$349,$B398))</f>
      </c>
      <c r="P398">
        <f>IF($A398="","",SUMIFS($J$1:$J$349,$AS$1:$AS$349,$AS398,$B$1:$B$349,$B398))</f>
      </c>
      <c r="Q398">
        <f>IF($A398="","",SUMIFS($G$1:$G$349,$AS$1:$AS$349,$AS398,$C$1:$C$349,$C398))</f>
      </c>
      <c r="R398">
        <f>IF($A398="","",SUMIFS($H$1:$H$349,$AS$1:$AS$349,$AS398,$C$1:$C$349,$C398))</f>
      </c>
      <c r="S398">
        <f>IF($A398="","",SUMIFS($I$1:$I$349,$AS$1:$AS$349,$AS398,$C$1:$C$349,$C398))</f>
      </c>
      <c r="T398">
        <f>IF($A398="","",SUMIFS($G$1:$G$349,$AS$1:$AS$349,$AS398))</f>
      </c>
      <c r="U398">
        <f>IF($A398="","",SUMIFS($H$1:$H$349,$AS$1:$AS$349,$AS398))</f>
      </c>
      <c r="V398">
        <f>IF($A398="","",SUMIFS($I$1:$I$349,$AS$1:$AS$349,$AS398))</f>
      </c>
      <c r="W398">
        <f>IF($A398="","",Allocation!CD398)</f>
      </c>
      <c r="X398">
        <f>IF($A398="","",Allocation!CE398)</f>
      </c>
      <c r="Y398">
        <f>IF($A398="","",Allocation!CF398)</f>
      </c>
      <c r="Z398">
        <f>IF($A398="","",Allocation!CG398)</f>
      </c>
      <c r="AA398">
        <f>IF($A398="","",Allocation!CH398)</f>
      </c>
      <c r="AB398">
        <f>IF($A398="","",Allocation!CI398)</f>
      </c>
      <c r="AC398">
        <f>IF($A398="","",IF(Allocation!$N$4="VOL_EFF",$G398,IF(Allocation!$N$4="VOL_CLASS",$H398,$I398)))</f>
      </c>
      <c r="AD398">
        <f>IF($A398="","",IF(Allocation!$N$4="VOL_EFF",$L398,IF(Allocation!$N$4="VOL_CLASS",$M398,$N398)))</f>
      </c>
      <c r="AE398">
        <f>IF($A398="","",IF(Allocation!$N$3="VOL_EFF",$L398,IF(Allocation!$N$3="VOL_CLASS",$M398,$N398)))</f>
      </c>
      <c r="AF398">
        <f>IF($A398="","",IF(Allocation!$N$3="VOL_EFF",$Q398,IF(Allocation!$N$3="VOL_CLASS",$R398,$S398)))</f>
      </c>
      <c r="AG398">
        <f>IF($A398="","",IF(Allocation!$N$1="VOL_EFF",$Q398,IF(Allocation!$N$1="VOL_CLASS",$R398,$S398)))</f>
      </c>
      <c r="AH398">
        <f>IF($A398="","",IF(Allocation!$N$1="VOL_EFF",$T398,IF(Allocation!$N$1="VOL_CLASS",$U398,$V398)))</f>
      </c>
      <c r="AI398">
        <f>IF($A398="","",$W398*IFERROR($K398/$O398,0))</f>
      </c>
      <c r="AJ398">
        <f>IF($A398="","",$X398*IFERROR($K398/$O398,0))</f>
      </c>
      <c r="AK398">
        <f>IF($A398="","",$Y398*IFERROR($G398/$L398,0)+$Z398*IFERROR($J398/$P398,0))</f>
      </c>
      <c r="AL398">
        <f>IF($A398="","",$AA398*IFERROR($AC398/$AD398,0))</f>
      </c>
      <c r="AM398">
        <f>IF($A398="","",$AB398*IFERROR($AG398/$AH398,0)*IFERROR($AE398/$AF398,0)*IFERROR($AC398/$AD398,0))</f>
      </c>
      <c r="AN398">
        <f>IF($A398="","",$I398-($AI398+$AJ398+$AK398+$AL398+$AM398+$AR398))</f>
      </c>
      <c r="AO398">
        <f>IF($A398="","",Allocation!CJ398)</f>
      </c>
      <c r="AP398">
        <f>IF($A398="","",IF(Allocation!$N$2="VOL_EFF",$Q398,IF(Allocation!$N$2="VOL_CLASS",$R398,$S398)))</f>
      </c>
      <c r="AQ398">
        <f>IF($A398="","",IF(Allocation!$N$2="VOL_EFF",$T398,IF(Allocation!$N$2="VOL_CLASS",$U398,$V398)))</f>
      </c>
      <c r="AR398">
        <f>IF($A398="","",$AO398*IFERROR($AP398/$AQ398,0)*IFERROR($AE398/$AF398,0)*IFERROR($AC398/$AD398,0))</f>
      </c>
      <c r="AS398">
        <f>IF($A398="","",$A398&amp;"|"&amp;Allocation!BG398)</f>
      </c>
    </row>
    <row r="399" spans="1:45">
      <c r="A399">
        <f>IF(Allocation!BI399="","",Allocation!BI399)</f>
      </c>
      <c r="B399">
        <f>IF(Allocation!BJ399="","",Allocation!BJ399)</f>
      </c>
      <c r="C399">
        <f>IF(Allocation!BK399="","",Allocation!BK399)</f>
      </c>
      <c r="D399">
        <f>IF(Allocation!BL399="","",Allocation!BL399)</f>
      </c>
      <c r="E399">
        <f>IF(Allocation!BM399="","",Allocation!BM399)</f>
      </c>
      <c r="F399">
        <f>IF(Allocation!BN399="","",Allocation!BN399)</f>
      </c>
      <c r="G399">
        <f>IF(Allocation!BO399="","",Allocation!BO399)</f>
      </c>
      <c r="H399">
        <f>IF(Allocation!BP399="","",Allocation!BP399)</f>
      </c>
      <c r="I399">
        <f>IF(Allocation!BQ399="","",Allocation!BQ399)</f>
      </c>
      <c r="J399">
        <f>IF(Allocation!CC399="","",Allocation!CC399)</f>
      </c>
      <c r="K399">
        <f>IF($A399="","",$H399*IF(AND(LEFT($D399,3)="BAC",$F399="INIT"),600,IF(LEFT($D399,3)="BAC",480,IF(AND(LEFT($D399,3)="MAS",$F399="INIT"),520,IF(LEFT($D399,3)="MAS",420,IF($F399="INIT",1000,700))))))</f>
      </c>
      <c r="L399">
        <f>IF($A399="","",SUMIFS($G$1:$G$349,$AS$1:$AS$349,$AS399,$B$1:$B$349,$B399))</f>
      </c>
      <c r="M399">
        <f>IF($A399="","",SUMIFS($H$1:$H$349,$AS$1:$AS$349,$AS399,$B$1:$B$349,$B399))</f>
      </c>
      <c r="N399">
        <f>IF($A399="","",SUMIFS($I$1:$I$349,$AS$1:$AS$349,$AS399,$B$1:$B$349,$B399))</f>
      </c>
      <c r="O399">
        <f>IF($A399="","",SUMIFS($K$1:$K$349,$AS$1:$AS$349,$AS399,$B$1:$B$349,$B399))</f>
      </c>
      <c r="P399">
        <f>IF($A399="","",SUMIFS($J$1:$J$349,$AS$1:$AS$349,$AS399,$B$1:$B$349,$B399))</f>
      </c>
      <c r="Q399">
        <f>IF($A399="","",SUMIFS($G$1:$G$349,$AS$1:$AS$349,$AS399,$C$1:$C$349,$C399))</f>
      </c>
      <c r="R399">
        <f>IF($A399="","",SUMIFS($H$1:$H$349,$AS$1:$AS$349,$AS399,$C$1:$C$349,$C399))</f>
      </c>
      <c r="S399">
        <f>IF($A399="","",SUMIFS($I$1:$I$349,$AS$1:$AS$349,$AS399,$C$1:$C$349,$C399))</f>
      </c>
      <c r="T399">
        <f>IF($A399="","",SUMIFS($G$1:$G$349,$AS$1:$AS$349,$AS399))</f>
      </c>
      <c r="U399">
        <f>IF($A399="","",SUMIFS($H$1:$H$349,$AS$1:$AS$349,$AS399))</f>
      </c>
      <c r="V399">
        <f>IF($A399="","",SUMIFS($I$1:$I$349,$AS$1:$AS$349,$AS399))</f>
      </c>
      <c r="W399">
        <f>IF($A399="","",Allocation!CD399)</f>
      </c>
      <c r="X399">
        <f>IF($A399="","",Allocation!CE399)</f>
      </c>
      <c r="Y399">
        <f>IF($A399="","",Allocation!CF399)</f>
      </c>
      <c r="Z399">
        <f>IF($A399="","",Allocation!CG399)</f>
      </c>
      <c r="AA399">
        <f>IF($A399="","",Allocation!CH399)</f>
      </c>
      <c r="AB399">
        <f>IF($A399="","",Allocation!CI399)</f>
      </c>
      <c r="AC399">
        <f>IF($A399="","",IF(Allocation!$N$4="VOL_EFF",$G399,IF(Allocation!$N$4="VOL_CLASS",$H399,$I399)))</f>
      </c>
      <c r="AD399">
        <f>IF($A399="","",IF(Allocation!$N$4="VOL_EFF",$L399,IF(Allocation!$N$4="VOL_CLASS",$M399,$N399)))</f>
      </c>
      <c r="AE399">
        <f>IF($A399="","",IF(Allocation!$N$3="VOL_EFF",$L399,IF(Allocation!$N$3="VOL_CLASS",$M399,$N399)))</f>
      </c>
      <c r="AF399">
        <f>IF($A399="","",IF(Allocation!$N$3="VOL_EFF",$Q399,IF(Allocation!$N$3="VOL_CLASS",$R399,$S399)))</f>
      </c>
      <c r="AG399">
        <f>IF($A399="","",IF(Allocation!$N$1="VOL_EFF",$Q399,IF(Allocation!$N$1="VOL_CLASS",$R399,$S399)))</f>
      </c>
      <c r="AH399">
        <f>IF($A399="","",IF(Allocation!$N$1="VOL_EFF",$T399,IF(Allocation!$N$1="VOL_CLASS",$U399,$V399)))</f>
      </c>
      <c r="AI399">
        <f>IF($A399="","",$W399*IFERROR($K399/$O399,0))</f>
      </c>
      <c r="AJ399">
        <f>IF($A399="","",$X399*IFERROR($K399/$O399,0))</f>
      </c>
      <c r="AK399">
        <f>IF($A399="","",$Y399*IFERROR($G399/$L399,0)+$Z399*IFERROR($J399/$P399,0))</f>
      </c>
      <c r="AL399">
        <f>IF($A399="","",$AA399*IFERROR($AC399/$AD399,0))</f>
      </c>
      <c r="AM399">
        <f>IF($A399="","",$AB399*IFERROR($AG399/$AH399,0)*IFERROR($AE399/$AF399,0)*IFERROR($AC399/$AD399,0))</f>
      </c>
      <c r="AN399">
        <f>IF($A399="","",$I399-($AI399+$AJ399+$AK399+$AL399+$AM399+$AR399))</f>
      </c>
      <c r="AO399">
        <f>IF($A399="","",Allocation!CJ399)</f>
      </c>
      <c r="AP399">
        <f>IF($A399="","",IF(Allocation!$N$2="VOL_EFF",$Q399,IF(Allocation!$N$2="VOL_CLASS",$R399,$S399)))</f>
      </c>
      <c r="AQ399">
        <f>IF($A399="","",IF(Allocation!$N$2="VOL_EFF",$T399,IF(Allocation!$N$2="VOL_CLASS",$U399,$V399)))</f>
      </c>
      <c r="AR399">
        <f>IF($A399="","",$AO399*IFERROR($AP399/$AQ399,0)*IFERROR($AE399/$AF399,0)*IFERROR($AC399/$AD399,0))</f>
      </c>
      <c r="AS399">
        <f>IF($A399="","",$A399&amp;"|"&amp;Allocation!BG399)</f>
      </c>
    </row>
    <row r="400" spans="1:45">
      <c r="A400">
        <f>IF(Allocation!BI400="","",Allocation!BI400)</f>
      </c>
      <c r="B400">
        <f>IF(Allocation!BJ400="","",Allocation!BJ400)</f>
      </c>
      <c r="C400">
        <f>IF(Allocation!BK400="","",Allocation!BK400)</f>
      </c>
      <c r="D400">
        <f>IF(Allocation!BL400="","",Allocation!BL400)</f>
      </c>
      <c r="E400">
        <f>IF(Allocation!BM400="","",Allocation!BM400)</f>
      </c>
      <c r="F400">
        <f>IF(Allocation!BN400="","",Allocation!BN400)</f>
      </c>
      <c r="G400">
        <f>IF(Allocation!BO400="","",Allocation!BO400)</f>
      </c>
      <c r="H400">
        <f>IF(Allocation!BP400="","",Allocation!BP400)</f>
      </c>
      <c r="I400">
        <f>IF(Allocation!BQ400="","",Allocation!BQ400)</f>
      </c>
      <c r="J400">
        <f>IF(Allocation!CC400="","",Allocation!CC400)</f>
      </c>
      <c r="K400">
        <f>IF($A400="","",$H400*IF(AND(LEFT($D400,3)="BAC",$F400="INIT"),600,IF(LEFT($D400,3)="BAC",480,IF(AND(LEFT($D400,3)="MAS",$F400="INIT"),520,IF(LEFT($D400,3)="MAS",420,IF($F400="INIT",1000,700))))))</f>
      </c>
      <c r="L400">
        <f>IF($A400="","",SUMIFS($G$1:$G$349,$AS$1:$AS$349,$AS400,$B$1:$B$349,$B400))</f>
      </c>
      <c r="M400">
        <f>IF($A400="","",SUMIFS($H$1:$H$349,$AS$1:$AS$349,$AS400,$B$1:$B$349,$B400))</f>
      </c>
      <c r="N400">
        <f>IF($A400="","",SUMIFS($I$1:$I$349,$AS$1:$AS$349,$AS400,$B$1:$B$349,$B400))</f>
      </c>
      <c r="O400">
        <f>IF($A400="","",SUMIFS($K$1:$K$349,$AS$1:$AS$349,$AS400,$B$1:$B$349,$B400))</f>
      </c>
      <c r="P400">
        <f>IF($A400="","",SUMIFS($J$1:$J$349,$AS$1:$AS$349,$AS400,$B$1:$B$349,$B400))</f>
      </c>
      <c r="Q400">
        <f>IF($A400="","",SUMIFS($G$1:$G$349,$AS$1:$AS$349,$AS400,$C$1:$C$349,$C400))</f>
      </c>
      <c r="R400">
        <f>IF($A400="","",SUMIFS($H$1:$H$349,$AS$1:$AS$349,$AS400,$C$1:$C$349,$C400))</f>
      </c>
      <c r="S400">
        <f>IF($A400="","",SUMIFS($I$1:$I$349,$AS$1:$AS$349,$AS400,$C$1:$C$349,$C400))</f>
      </c>
      <c r="T400">
        <f>IF($A400="","",SUMIFS($G$1:$G$349,$AS$1:$AS$349,$AS400))</f>
      </c>
      <c r="U400">
        <f>IF($A400="","",SUMIFS($H$1:$H$349,$AS$1:$AS$349,$AS400))</f>
      </c>
      <c r="V400">
        <f>IF($A400="","",SUMIFS($I$1:$I$349,$AS$1:$AS$349,$AS400))</f>
      </c>
      <c r="W400">
        <f>IF($A400="","",Allocation!CD400)</f>
      </c>
      <c r="X400">
        <f>IF($A400="","",Allocation!CE400)</f>
      </c>
      <c r="Y400">
        <f>IF($A400="","",Allocation!CF400)</f>
      </c>
      <c r="Z400">
        <f>IF($A400="","",Allocation!CG400)</f>
      </c>
      <c r="AA400">
        <f>IF($A400="","",Allocation!CH400)</f>
      </c>
      <c r="AB400">
        <f>IF($A400="","",Allocation!CI400)</f>
      </c>
      <c r="AC400">
        <f>IF($A400="","",IF(Allocation!$N$4="VOL_EFF",$G400,IF(Allocation!$N$4="VOL_CLASS",$H400,$I400)))</f>
      </c>
      <c r="AD400">
        <f>IF($A400="","",IF(Allocation!$N$4="VOL_EFF",$L400,IF(Allocation!$N$4="VOL_CLASS",$M400,$N400)))</f>
      </c>
      <c r="AE400">
        <f>IF($A400="","",IF(Allocation!$N$3="VOL_EFF",$L400,IF(Allocation!$N$3="VOL_CLASS",$M400,$N400)))</f>
      </c>
      <c r="AF400">
        <f>IF($A400="","",IF(Allocation!$N$3="VOL_EFF",$Q400,IF(Allocation!$N$3="VOL_CLASS",$R400,$S400)))</f>
      </c>
      <c r="AG400">
        <f>IF($A400="","",IF(Allocation!$N$1="VOL_EFF",$Q400,IF(Allocation!$N$1="VOL_CLASS",$R400,$S400)))</f>
      </c>
      <c r="AH400">
        <f>IF($A400="","",IF(Allocation!$N$1="VOL_EFF",$T400,IF(Allocation!$N$1="VOL_CLASS",$U400,$V400)))</f>
      </c>
      <c r="AI400">
        <f>IF($A400="","",$W400*IFERROR($K400/$O400,0))</f>
      </c>
      <c r="AJ400">
        <f>IF($A400="","",$X400*IFERROR($K400/$O400,0))</f>
      </c>
      <c r="AK400">
        <f>IF($A400="","",$Y400*IFERROR($G400/$L400,0)+$Z400*IFERROR($J400/$P400,0))</f>
      </c>
      <c r="AL400">
        <f>IF($A400="","",$AA400*IFERROR($AC400/$AD400,0))</f>
      </c>
      <c r="AM400">
        <f>IF($A400="","",$AB400*IFERROR($AG400/$AH400,0)*IFERROR($AE400/$AF400,0)*IFERROR($AC400/$AD400,0))</f>
      </c>
      <c r="AN400">
        <f>IF($A400="","",$I400-($AI400+$AJ400+$AK400+$AL400+$AM400+$AR400))</f>
      </c>
      <c r="AO400">
        <f>IF($A400="","",Allocation!CJ400)</f>
      </c>
      <c r="AP400">
        <f>IF($A400="","",IF(Allocation!$N$2="VOL_EFF",$Q400,IF(Allocation!$N$2="VOL_CLASS",$R400,$S400)))</f>
      </c>
      <c r="AQ400">
        <f>IF($A400="","",IF(Allocation!$N$2="VOL_EFF",$T400,IF(Allocation!$N$2="VOL_CLASS",$U400,$V400)))</f>
      </c>
      <c r="AR400">
        <f>IF($A400="","",$AO400*IFERROR($AP400/$AQ400,0)*IFERROR($AE400/$AF400,0)*IFERROR($AC400/$AD400,0))</f>
      </c>
      <c r="AS400">
        <f>IF($A400="","",$A400&amp;"|"&amp;Allocation!BG400)</f>
      </c>
    </row>
    <row r="401" spans="1:45">
      <c r="A401">
        <f>IF(Allocation!BI401="","",Allocation!BI401)</f>
      </c>
      <c r="B401">
        <f>IF(Allocation!BJ401="","",Allocation!BJ401)</f>
      </c>
      <c r="C401">
        <f>IF(Allocation!BK401="","",Allocation!BK401)</f>
      </c>
      <c r="D401">
        <f>IF(Allocation!BL401="","",Allocation!BL401)</f>
      </c>
      <c r="E401">
        <f>IF(Allocation!BM401="","",Allocation!BM401)</f>
      </c>
      <c r="F401">
        <f>IF(Allocation!BN401="","",Allocation!BN401)</f>
      </c>
      <c r="G401">
        <f>IF(Allocation!BO401="","",Allocation!BO401)</f>
      </c>
      <c r="H401">
        <f>IF(Allocation!BP401="","",Allocation!BP401)</f>
      </c>
      <c r="I401">
        <f>IF(Allocation!BQ401="","",Allocation!BQ401)</f>
      </c>
      <c r="J401">
        <f>IF(Allocation!CC401="","",Allocation!CC401)</f>
      </c>
      <c r="K401">
        <f>IF($A401="","",$H401*IF(AND(LEFT($D401,3)="BAC",$F401="INIT"),600,IF(LEFT($D401,3)="BAC",480,IF(AND(LEFT($D401,3)="MAS",$F401="INIT"),520,IF(LEFT($D401,3)="MAS",420,IF($F401="INIT",1000,700))))))</f>
      </c>
      <c r="L401">
        <f>IF($A401="","",SUMIFS($G$1:$G$349,$AS$1:$AS$349,$AS401,$B$1:$B$349,$B401))</f>
      </c>
      <c r="M401">
        <f>IF($A401="","",SUMIFS($H$1:$H$349,$AS$1:$AS$349,$AS401,$B$1:$B$349,$B401))</f>
      </c>
      <c r="N401">
        <f>IF($A401="","",SUMIFS($I$1:$I$349,$AS$1:$AS$349,$AS401,$B$1:$B$349,$B401))</f>
      </c>
      <c r="O401">
        <f>IF($A401="","",SUMIFS($K$1:$K$349,$AS$1:$AS$349,$AS401,$B$1:$B$349,$B401))</f>
      </c>
      <c r="P401">
        <f>IF($A401="","",SUMIFS($J$1:$J$349,$AS$1:$AS$349,$AS401,$B$1:$B$349,$B401))</f>
      </c>
      <c r="Q401">
        <f>IF($A401="","",SUMIFS($G$1:$G$349,$AS$1:$AS$349,$AS401,$C$1:$C$349,$C401))</f>
      </c>
      <c r="R401">
        <f>IF($A401="","",SUMIFS($H$1:$H$349,$AS$1:$AS$349,$AS401,$C$1:$C$349,$C401))</f>
      </c>
      <c r="S401">
        <f>IF($A401="","",SUMIFS($I$1:$I$349,$AS$1:$AS$349,$AS401,$C$1:$C$349,$C401))</f>
      </c>
      <c r="T401">
        <f>IF($A401="","",SUMIFS($G$1:$G$349,$AS$1:$AS$349,$AS401))</f>
      </c>
      <c r="U401">
        <f>IF($A401="","",SUMIFS($H$1:$H$349,$AS$1:$AS$349,$AS401))</f>
      </c>
      <c r="V401">
        <f>IF($A401="","",SUMIFS($I$1:$I$349,$AS$1:$AS$349,$AS401))</f>
      </c>
      <c r="W401">
        <f>IF($A401="","",Allocation!CD401)</f>
      </c>
      <c r="X401">
        <f>IF($A401="","",Allocation!CE401)</f>
      </c>
      <c r="Y401">
        <f>IF($A401="","",Allocation!CF401)</f>
      </c>
      <c r="Z401">
        <f>IF($A401="","",Allocation!CG401)</f>
      </c>
      <c r="AA401">
        <f>IF($A401="","",Allocation!CH401)</f>
      </c>
      <c r="AB401">
        <f>IF($A401="","",Allocation!CI401)</f>
      </c>
      <c r="AC401">
        <f>IF($A401="","",IF(Allocation!$N$4="VOL_EFF",$G401,IF(Allocation!$N$4="VOL_CLASS",$H401,$I401)))</f>
      </c>
      <c r="AD401">
        <f>IF($A401="","",IF(Allocation!$N$4="VOL_EFF",$L401,IF(Allocation!$N$4="VOL_CLASS",$M401,$N401)))</f>
      </c>
      <c r="AE401">
        <f>IF($A401="","",IF(Allocation!$N$3="VOL_EFF",$L401,IF(Allocation!$N$3="VOL_CLASS",$M401,$N401)))</f>
      </c>
      <c r="AF401">
        <f>IF($A401="","",IF(Allocation!$N$3="VOL_EFF",$Q401,IF(Allocation!$N$3="VOL_CLASS",$R401,$S401)))</f>
      </c>
      <c r="AG401">
        <f>IF($A401="","",IF(Allocation!$N$1="VOL_EFF",$Q401,IF(Allocation!$N$1="VOL_CLASS",$R401,$S401)))</f>
      </c>
      <c r="AH401">
        <f>IF($A401="","",IF(Allocation!$N$1="VOL_EFF",$T401,IF(Allocation!$N$1="VOL_CLASS",$U401,$V401)))</f>
      </c>
      <c r="AI401">
        <f>IF($A401="","",$W401*IFERROR($K401/$O401,0))</f>
      </c>
      <c r="AJ401">
        <f>IF($A401="","",$X401*IFERROR($K401/$O401,0))</f>
      </c>
      <c r="AK401">
        <f>IF($A401="","",$Y401*IFERROR($G401/$L401,0)+$Z401*IFERROR($J401/$P401,0))</f>
      </c>
      <c r="AL401">
        <f>IF($A401="","",$AA401*IFERROR($AC401/$AD401,0))</f>
      </c>
      <c r="AM401">
        <f>IF($A401="","",$AB401*IFERROR($AG401/$AH401,0)*IFERROR($AE401/$AF401,0)*IFERROR($AC401/$AD401,0))</f>
      </c>
      <c r="AN401">
        <f>IF($A401="","",$I401-($AI401+$AJ401+$AK401+$AL401+$AM401+$AR401))</f>
      </c>
      <c r="AO401">
        <f>IF($A401="","",Allocation!CJ401)</f>
      </c>
      <c r="AP401">
        <f>IF($A401="","",IF(Allocation!$N$2="VOL_EFF",$Q401,IF(Allocation!$N$2="VOL_CLASS",$R401,$S401)))</f>
      </c>
      <c r="AQ401">
        <f>IF($A401="","",IF(Allocation!$N$2="VOL_EFF",$T401,IF(Allocation!$N$2="VOL_CLASS",$U401,$V401)))</f>
      </c>
      <c r="AR401">
        <f>IF($A401="","",$AO401*IFERROR($AP401/$AQ401,0)*IFERROR($AE401/$AF401,0)*IFERROR($AC401/$AD401,0))</f>
      </c>
      <c r="AS401">
        <f>IF($A401="","",$A401&amp;"|"&amp;Allocation!BG401)</f>
      </c>
    </row>
    <row r="402" spans="1:45">
      <c r="A402">
        <f>IF(Allocation!BI402="","",Allocation!BI402)</f>
      </c>
      <c r="B402">
        <f>IF(Allocation!BJ402="","",Allocation!BJ402)</f>
      </c>
      <c r="C402">
        <f>IF(Allocation!BK402="","",Allocation!BK402)</f>
      </c>
      <c r="D402">
        <f>IF(Allocation!BL402="","",Allocation!BL402)</f>
      </c>
      <c r="E402">
        <f>IF(Allocation!BM402="","",Allocation!BM402)</f>
      </c>
      <c r="F402">
        <f>IF(Allocation!BN402="","",Allocation!BN402)</f>
      </c>
      <c r="G402">
        <f>IF(Allocation!BO402="","",Allocation!BO402)</f>
      </c>
      <c r="H402">
        <f>IF(Allocation!BP402="","",Allocation!BP402)</f>
      </c>
      <c r="I402">
        <f>IF(Allocation!BQ402="","",Allocation!BQ402)</f>
      </c>
      <c r="J402">
        <f>IF(Allocation!CC402="","",Allocation!CC402)</f>
      </c>
      <c r="K402">
        <f>IF($A402="","",$H402*IF(AND(LEFT($D402,3)="BAC",$F402="INIT"),600,IF(LEFT($D402,3)="BAC",480,IF(AND(LEFT($D402,3)="MAS",$F402="INIT"),520,IF(LEFT($D402,3)="MAS",420,IF($F402="INIT",1000,700))))))</f>
      </c>
      <c r="L402">
        <f>IF($A402="","",SUMIFS($G$1:$G$349,$AS$1:$AS$349,$AS402,$B$1:$B$349,$B402))</f>
      </c>
      <c r="M402">
        <f>IF($A402="","",SUMIFS($H$1:$H$349,$AS$1:$AS$349,$AS402,$B$1:$B$349,$B402))</f>
      </c>
      <c r="N402">
        <f>IF($A402="","",SUMIFS($I$1:$I$349,$AS$1:$AS$349,$AS402,$B$1:$B$349,$B402))</f>
      </c>
      <c r="O402">
        <f>IF($A402="","",SUMIFS($K$1:$K$349,$AS$1:$AS$349,$AS402,$B$1:$B$349,$B402))</f>
      </c>
      <c r="P402">
        <f>IF($A402="","",SUMIFS($J$1:$J$349,$AS$1:$AS$349,$AS402,$B$1:$B$349,$B402))</f>
      </c>
      <c r="Q402">
        <f>IF($A402="","",SUMIFS($G$1:$G$349,$AS$1:$AS$349,$AS402,$C$1:$C$349,$C402))</f>
      </c>
      <c r="R402">
        <f>IF($A402="","",SUMIFS($H$1:$H$349,$AS$1:$AS$349,$AS402,$C$1:$C$349,$C402))</f>
      </c>
      <c r="S402">
        <f>IF($A402="","",SUMIFS($I$1:$I$349,$AS$1:$AS$349,$AS402,$C$1:$C$349,$C402))</f>
      </c>
      <c r="T402">
        <f>IF($A402="","",SUMIFS($G$1:$G$349,$AS$1:$AS$349,$AS402))</f>
      </c>
      <c r="U402">
        <f>IF($A402="","",SUMIFS($H$1:$H$349,$AS$1:$AS$349,$AS402))</f>
      </c>
      <c r="V402">
        <f>IF($A402="","",SUMIFS($I$1:$I$349,$AS$1:$AS$349,$AS402))</f>
      </c>
      <c r="W402">
        <f>IF($A402="","",Allocation!CD402)</f>
      </c>
      <c r="X402">
        <f>IF($A402="","",Allocation!CE402)</f>
      </c>
      <c r="Y402">
        <f>IF($A402="","",Allocation!CF402)</f>
      </c>
      <c r="Z402">
        <f>IF($A402="","",Allocation!CG402)</f>
      </c>
      <c r="AA402">
        <f>IF($A402="","",Allocation!CH402)</f>
      </c>
      <c r="AB402">
        <f>IF($A402="","",Allocation!CI402)</f>
      </c>
      <c r="AC402">
        <f>IF($A402="","",IF(Allocation!$N$4="VOL_EFF",$G402,IF(Allocation!$N$4="VOL_CLASS",$H402,$I402)))</f>
      </c>
      <c r="AD402">
        <f>IF($A402="","",IF(Allocation!$N$4="VOL_EFF",$L402,IF(Allocation!$N$4="VOL_CLASS",$M402,$N402)))</f>
      </c>
      <c r="AE402">
        <f>IF($A402="","",IF(Allocation!$N$3="VOL_EFF",$L402,IF(Allocation!$N$3="VOL_CLASS",$M402,$N402)))</f>
      </c>
      <c r="AF402">
        <f>IF($A402="","",IF(Allocation!$N$3="VOL_EFF",$Q402,IF(Allocation!$N$3="VOL_CLASS",$R402,$S402)))</f>
      </c>
      <c r="AG402">
        <f>IF($A402="","",IF(Allocation!$N$1="VOL_EFF",$Q402,IF(Allocation!$N$1="VOL_CLASS",$R402,$S402)))</f>
      </c>
      <c r="AH402">
        <f>IF($A402="","",IF(Allocation!$N$1="VOL_EFF",$T402,IF(Allocation!$N$1="VOL_CLASS",$U402,$V402)))</f>
      </c>
      <c r="AI402">
        <f>IF($A402="","",$W402*IFERROR($K402/$O402,0))</f>
      </c>
      <c r="AJ402">
        <f>IF($A402="","",$X402*IFERROR($K402/$O402,0))</f>
      </c>
      <c r="AK402">
        <f>IF($A402="","",$Y402*IFERROR($G402/$L402,0)+$Z402*IFERROR($J402/$P402,0))</f>
      </c>
      <c r="AL402">
        <f>IF($A402="","",$AA402*IFERROR($AC402/$AD402,0))</f>
      </c>
      <c r="AM402">
        <f>IF($A402="","",$AB402*IFERROR($AG402/$AH402,0)*IFERROR($AE402/$AF402,0)*IFERROR($AC402/$AD402,0))</f>
      </c>
      <c r="AN402">
        <f>IF($A402="","",$I402-($AI402+$AJ402+$AK402+$AL402+$AM402+$AR402))</f>
      </c>
      <c r="AO402">
        <f>IF($A402="","",Allocation!CJ402)</f>
      </c>
      <c r="AP402">
        <f>IF($A402="","",IF(Allocation!$N$2="VOL_EFF",$Q402,IF(Allocation!$N$2="VOL_CLASS",$R402,$S402)))</f>
      </c>
      <c r="AQ402">
        <f>IF($A402="","",IF(Allocation!$N$2="VOL_EFF",$T402,IF(Allocation!$N$2="VOL_CLASS",$U402,$V402)))</f>
      </c>
      <c r="AR402">
        <f>IF($A402="","",$AO402*IFERROR($AP402/$AQ402,0)*IFERROR($AE402/$AF402,0)*IFERROR($AC402/$AD402,0))</f>
      </c>
      <c r="AS402">
        <f>IF($A402="","",$A402&amp;"|"&amp;Allocation!BG402)</f>
      </c>
    </row>
    <row r="403" spans="1:45">
      <c r="A403">
        <f>IF(Allocation!BI403="","",Allocation!BI403)</f>
      </c>
      <c r="B403">
        <f>IF(Allocation!BJ403="","",Allocation!BJ403)</f>
      </c>
      <c r="C403">
        <f>IF(Allocation!BK403="","",Allocation!BK403)</f>
      </c>
      <c r="D403">
        <f>IF(Allocation!BL403="","",Allocation!BL403)</f>
      </c>
      <c r="E403">
        <f>IF(Allocation!BM403="","",Allocation!BM403)</f>
      </c>
      <c r="F403">
        <f>IF(Allocation!BN403="","",Allocation!BN403)</f>
      </c>
      <c r="G403">
        <f>IF(Allocation!BO403="","",Allocation!BO403)</f>
      </c>
      <c r="H403">
        <f>IF(Allocation!BP403="","",Allocation!BP403)</f>
      </c>
      <c r="I403">
        <f>IF(Allocation!BQ403="","",Allocation!BQ403)</f>
      </c>
      <c r="J403">
        <f>IF(Allocation!CC403="","",Allocation!CC403)</f>
      </c>
      <c r="K403">
        <f>IF($A403="","",$H403*IF(AND(LEFT($D403,3)="BAC",$F403="INIT"),600,IF(LEFT($D403,3)="BAC",480,IF(AND(LEFT($D403,3)="MAS",$F403="INIT"),520,IF(LEFT($D403,3)="MAS",420,IF($F403="INIT",1000,700))))))</f>
      </c>
      <c r="L403">
        <f>IF($A403="","",SUMIFS($G$1:$G$349,$AS$1:$AS$349,$AS403,$B$1:$B$349,$B403))</f>
      </c>
      <c r="M403">
        <f>IF($A403="","",SUMIFS($H$1:$H$349,$AS$1:$AS$349,$AS403,$B$1:$B$349,$B403))</f>
      </c>
      <c r="N403">
        <f>IF($A403="","",SUMIFS($I$1:$I$349,$AS$1:$AS$349,$AS403,$B$1:$B$349,$B403))</f>
      </c>
      <c r="O403">
        <f>IF($A403="","",SUMIFS($K$1:$K$349,$AS$1:$AS$349,$AS403,$B$1:$B$349,$B403))</f>
      </c>
      <c r="P403">
        <f>IF($A403="","",SUMIFS($J$1:$J$349,$AS$1:$AS$349,$AS403,$B$1:$B$349,$B403))</f>
      </c>
      <c r="Q403">
        <f>IF($A403="","",SUMIFS($G$1:$G$349,$AS$1:$AS$349,$AS403,$C$1:$C$349,$C403))</f>
      </c>
      <c r="R403">
        <f>IF($A403="","",SUMIFS($H$1:$H$349,$AS$1:$AS$349,$AS403,$C$1:$C$349,$C403))</f>
      </c>
      <c r="S403">
        <f>IF($A403="","",SUMIFS($I$1:$I$349,$AS$1:$AS$349,$AS403,$C$1:$C$349,$C403))</f>
      </c>
      <c r="T403">
        <f>IF($A403="","",SUMIFS($G$1:$G$349,$AS$1:$AS$349,$AS403))</f>
      </c>
      <c r="U403">
        <f>IF($A403="","",SUMIFS($H$1:$H$349,$AS$1:$AS$349,$AS403))</f>
      </c>
      <c r="V403">
        <f>IF($A403="","",SUMIFS($I$1:$I$349,$AS$1:$AS$349,$AS403))</f>
      </c>
      <c r="W403">
        <f>IF($A403="","",Allocation!CD403)</f>
      </c>
      <c r="X403">
        <f>IF($A403="","",Allocation!CE403)</f>
      </c>
      <c r="Y403">
        <f>IF($A403="","",Allocation!CF403)</f>
      </c>
      <c r="Z403">
        <f>IF($A403="","",Allocation!CG403)</f>
      </c>
      <c r="AA403">
        <f>IF($A403="","",Allocation!CH403)</f>
      </c>
      <c r="AB403">
        <f>IF($A403="","",Allocation!CI403)</f>
      </c>
      <c r="AC403">
        <f>IF($A403="","",IF(Allocation!$N$4="VOL_EFF",$G403,IF(Allocation!$N$4="VOL_CLASS",$H403,$I403)))</f>
      </c>
      <c r="AD403">
        <f>IF($A403="","",IF(Allocation!$N$4="VOL_EFF",$L403,IF(Allocation!$N$4="VOL_CLASS",$M403,$N403)))</f>
      </c>
      <c r="AE403">
        <f>IF($A403="","",IF(Allocation!$N$3="VOL_EFF",$L403,IF(Allocation!$N$3="VOL_CLASS",$M403,$N403)))</f>
      </c>
      <c r="AF403">
        <f>IF($A403="","",IF(Allocation!$N$3="VOL_EFF",$Q403,IF(Allocation!$N$3="VOL_CLASS",$R403,$S403)))</f>
      </c>
      <c r="AG403">
        <f>IF($A403="","",IF(Allocation!$N$1="VOL_EFF",$Q403,IF(Allocation!$N$1="VOL_CLASS",$R403,$S403)))</f>
      </c>
      <c r="AH403">
        <f>IF($A403="","",IF(Allocation!$N$1="VOL_EFF",$T403,IF(Allocation!$N$1="VOL_CLASS",$U403,$V403)))</f>
      </c>
      <c r="AI403">
        <f>IF($A403="","",$W403*IFERROR($K403/$O403,0))</f>
      </c>
      <c r="AJ403">
        <f>IF($A403="","",$X403*IFERROR($K403/$O403,0))</f>
      </c>
      <c r="AK403">
        <f>IF($A403="","",$Y403*IFERROR($G403/$L403,0)+$Z403*IFERROR($J403/$P403,0))</f>
      </c>
      <c r="AL403">
        <f>IF($A403="","",$AA403*IFERROR($AC403/$AD403,0))</f>
      </c>
      <c r="AM403">
        <f>IF($A403="","",$AB403*IFERROR($AG403/$AH403,0)*IFERROR($AE403/$AF403,0)*IFERROR($AC403/$AD403,0))</f>
      </c>
      <c r="AN403">
        <f>IF($A403="","",$I403-($AI403+$AJ403+$AK403+$AL403+$AM403+$AR403))</f>
      </c>
      <c r="AO403">
        <f>IF($A403="","",Allocation!CJ403)</f>
      </c>
      <c r="AP403">
        <f>IF($A403="","",IF(Allocation!$N$2="VOL_EFF",$Q403,IF(Allocation!$N$2="VOL_CLASS",$R403,$S403)))</f>
      </c>
      <c r="AQ403">
        <f>IF($A403="","",IF(Allocation!$N$2="VOL_EFF",$T403,IF(Allocation!$N$2="VOL_CLASS",$U403,$V403)))</f>
      </c>
      <c r="AR403">
        <f>IF($A403="","",$AO403*IFERROR($AP403/$AQ403,0)*IFERROR($AE403/$AF403,0)*IFERROR($AC403/$AD403,0))</f>
      </c>
      <c r="AS403">
        <f>IF($A403="","",$A403&amp;"|"&amp;Allocation!BG403)</f>
      </c>
    </row>
    <row r="404" spans="1:45">
      <c r="A404">
        <f>IF(Allocation!BI404="","",Allocation!BI404)</f>
      </c>
      <c r="B404">
        <f>IF(Allocation!BJ404="","",Allocation!BJ404)</f>
      </c>
      <c r="C404">
        <f>IF(Allocation!BK404="","",Allocation!BK404)</f>
      </c>
      <c r="D404">
        <f>IF(Allocation!BL404="","",Allocation!BL404)</f>
      </c>
      <c r="E404">
        <f>IF(Allocation!BM404="","",Allocation!BM404)</f>
      </c>
      <c r="F404">
        <f>IF(Allocation!BN404="","",Allocation!BN404)</f>
      </c>
      <c r="G404">
        <f>IF(Allocation!BO404="","",Allocation!BO404)</f>
      </c>
      <c r="H404">
        <f>IF(Allocation!BP404="","",Allocation!BP404)</f>
      </c>
      <c r="I404">
        <f>IF(Allocation!BQ404="","",Allocation!BQ404)</f>
      </c>
      <c r="J404">
        <f>IF(Allocation!CC404="","",Allocation!CC404)</f>
      </c>
      <c r="K404">
        <f>IF($A404="","",$H404*IF(AND(LEFT($D404,3)="BAC",$F404="INIT"),600,IF(LEFT($D404,3)="BAC",480,IF(AND(LEFT($D404,3)="MAS",$F404="INIT"),520,IF(LEFT($D404,3)="MAS",420,IF($F404="INIT",1000,700))))))</f>
      </c>
      <c r="L404">
        <f>IF($A404="","",SUMIFS($G$1:$G$349,$AS$1:$AS$349,$AS404,$B$1:$B$349,$B404))</f>
      </c>
      <c r="M404">
        <f>IF($A404="","",SUMIFS($H$1:$H$349,$AS$1:$AS$349,$AS404,$B$1:$B$349,$B404))</f>
      </c>
      <c r="N404">
        <f>IF($A404="","",SUMIFS($I$1:$I$349,$AS$1:$AS$349,$AS404,$B$1:$B$349,$B404))</f>
      </c>
      <c r="O404">
        <f>IF($A404="","",SUMIFS($K$1:$K$349,$AS$1:$AS$349,$AS404,$B$1:$B$349,$B404))</f>
      </c>
      <c r="P404">
        <f>IF($A404="","",SUMIFS($J$1:$J$349,$AS$1:$AS$349,$AS404,$B$1:$B$349,$B404))</f>
      </c>
      <c r="Q404">
        <f>IF($A404="","",SUMIFS($G$1:$G$349,$AS$1:$AS$349,$AS404,$C$1:$C$349,$C404))</f>
      </c>
      <c r="R404">
        <f>IF($A404="","",SUMIFS($H$1:$H$349,$AS$1:$AS$349,$AS404,$C$1:$C$349,$C404))</f>
      </c>
      <c r="S404">
        <f>IF($A404="","",SUMIFS($I$1:$I$349,$AS$1:$AS$349,$AS404,$C$1:$C$349,$C404))</f>
      </c>
      <c r="T404">
        <f>IF($A404="","",SUMIFS($G$1:$G$349,$AS$1:$AS$349,$AS404))</f>
      </c>
      <c r="U404">
        <f>IF($A404="","",SUMIFS($H$1:$H$349,$AS$1:$AS$349,$AS404))</f>
      </c>
      <c r="V404">
        <f>IF($A404="","",SUMIFS($I$1:$I$349,$AS$1:$AS$349,$AS404))</f>
      </c>
      <c r="W404">
        <f>IF($A404="","",Allocation!CD404)</f>
      </c>
      <c r="X404">
        <f>IF($A404="","",Allocation!CE404)</f>
      </c>
      <c r="Y404">
        <f>IF($A404="","",Allocation!CF404)</f>
      </c>
      <c r="Z404">
        <f>IF($A404="","",Allocation!CG404)</f>
      </c>
      <c r="AA404">
        <f>IF($A404="","",Allocation!CH404)</f>
      </c>
      <c r="AB404">
        <f>IF($A404="","",Allocation!CI404)</f>
      </c>
      <c r="AC404">
        <f>IF($A404="","",IF(Allocation!$N$4="VOL_EFF",$G404,IF(Allocation!$N$4="VOL_CLASS",$H404,$I404)))</f>
      </c>
      <c r="AD404">
        <f>IF($A404="","",IF(Allocation!$N$4="VOL_EFF",$L404,IF(Allocation!$N$4="VOL_CLASS",$M404,$N404)))</f>
      </c>
      <c r="AE404">
        <f>IF($A404="","",IF(Allocation!$N$3="VOL_EFF",$L404,IF(Allocation!$N$3="VOL_CLASS",$M404,$N404)))</f>
      </c>
      <c r="AF404">
        <f>IF($A404="","",IF(Allocation!$N$3="VOL_EFF",$Q404,IF(Allocation!$N$3="VOL_CLASS",$R404,$S404)))</f>
      </c>
      <c r="AG404">
        <f>IF($A404="","",IF(Allocation!$N$1="VOL_EFF",$Q404,IF(Allocation!$N$1="VOL_CLASS",$R404,$S404)))</f>
      </c>
      <c r="AH404">
        <f>IF($A404="","",IF(Allocation!$N$1="VOL_EFF",$T404,IF(Allocation!$N$1="VOL_CLASS",$U404,$V404)))</f>
      </c>
      <c r="AI404">
        <f>IF($A404="","",$W404*IFERROR($K404/$O404,0))</f>
      </c>
      <c r="AJ404">
        <f>IF($A404="","",$X404*IFERROR($K404/$O404,0))</f>
      </c>
      <c r="AK404">
        <f>IF($A404="","",$Y404*IFERROR($G404/$L404,0)+$Z404*IFERROR($J404/$P404,0))</f>
      </c>
      <c r="AL404">
        <f>IF($A404="","",$AA404*IFERROR($AC404/$AD404,0))</f>
      </c>
      <c r="AM404">
        <f>IF($A404="","",$AB404*IFERROR($AG404/$AH404,0)*IFERROR($AE404/$AF404,0)*IFERROR($AC404/$AD404,0))</f>
      </c>
      <c r="AN404">
        <f>IF($A404="","",$I404-($AI404+$AJ404+$AK404+$AL404+$AM404+$AR404))</f>
      </c>
      <c r="AO404">
        <f>IF($A404="","",Allocation!CJ404)</f>
      </c>
      <c r="AP404">
        <f>IF($A404="","",IF(Allocation!$N$2="VOL_EFF",$Q404,IF(Allocation!$N$2="VOL_CLASS",$R404,$S404)))</f>
      </c>
      <c r="AQ404">
        <f>IF($A404="","",IF(Allocation!$N$2="VOL_EFF",$T404,IF(Allocation!$N$2="VOL_CLASS",$U404,$V404)))</f>
      </c>
      <c r="AR404">
        <f>IF($A404="","",$AO404*IFERROR($AP404/$AQ404,0)*IFERROR($AE404/$AF404,0)*IFERROR($AC404/$AD404,0))</f>
      </c>
      <c r="AS404">
        <f>IF($A404="","",$A404&amp;"|"&amp;Allocation!BG404)</f>
      </c>
    </row>
    <row r="405" spans="1:45">
      <c r="A405">
        <f>IF(Allocation!BI405="","",Allocation!BI405)</f>
      </c>
      <c r="B405">
        <f>IF(Allocation!BJ405="","",Allocation!BJ405)</f>
      </c>
      <c r="C405">
        <f>IF(Allocation!BK405="","",Allocation!BK405)</f>
      </c>
      <c r="D405">
        <f>IF(Allocation!BL405="","",Allocation!BL405)</f>
      </c>
      <c r="E405">
        <f>IF(Allocation!BM405="","",Allocation!BM405)</f>
      </c>
      <c r="F405">
        <f>IF(Allocation!BN405="","",Allocation!BN405)</f>
      </c>
      <c r="G405">
        <f>IF(Allocation!BO405="","",Allocation!BO405)</f>
      </c>
      <c r="H405">
        <f>IF(Allocation!BP405="","",Allocation!BP405)</f>
      </c>
      <c r="I405">
        <f>IF(Allocation!BQ405="","",Allocation!BQ405)</f>
      </c>
      <c r="J405">
        <f>IF(Allocation!CC405="","",Allocation!CC405)</f>
      </c>
      <c r="K405">
        <f>IF($A405="","",$H405*IF(AND(LEFT($D405,3)="BAC",$F405="INIT"),600,IF(LEFT($D405,3)="BAC",480,IF(AND(LEFT($D405,3)="MAS",$F405="INIT"),520,IF(LEFT($D405,3)="MAS",420,IF($F405="INIT",1000,700))))))</f>
      </c>
      <c r="L405">
        <f>IF($A405="","",SUMIFS($G$1:$G$349,$AS$1:$AS$349,$AS405,$B$1:$B$349,$B405))</f>
      </c>
      <c r="M405">
        <f>IF($A405="","",SUMIFS($H$1:$H$349,$AS$1:$AS$349,$AS405,$B$1:$B$349,$B405))</f>
      </c>
      <c r="N405">
        <f>IF($A405="","",SUMIFS($I$1:$I$349,$AS$1:$AS$349,$AS405,$B$1:$B$349,$B405))</f>
      </c>
      <c r="O405">
        <f>IF($A405="","",SUMIFS($K$1:$K$349,$AS$1:$AS$349,$AS405,$B$1:$B$349,$B405))</f>
      </c>
      <c r="P405">
        <f>IF($A405="","",SUMIFS($J$1:$J$349,$AS$1:$AS$349,$AS405,$B$1:$B$349,$B405))</f>
      </c>
      <c r="Q405">
        <f>IF($A405="","",SUMIFS($G$1:$G$349,$AS$1:$AS$349,$AS405,$C$1:$C$349,$C405))</f>
      </c>
      <c r="R405">
        <f>IF($A405="","",SUMIFS($H$1:$H$349,$AS$1:$AS$349,$AS405,$C$1:$C$349,$C405))</f>
      </c>
      <c r="S405">
        <f>IF($A405="","",SUMIFS($I$1:$I$349,$AS$1:$AS$349,$AS405,$C$1:$C$349,$C405))</f>
      </c>
      <c r="T405">
        <f>IF($A405="","",SUMIFS($G$1:$G$349,$AS$1:$AS$349,$AS405))</f>
      </c>
      <c r="U405">
        <f>IF($A405="","",SUMIFS($H$1:$H$349,$AS$1:$AS$349,$AS405))</f>
      </c>
      <c r="V405">
        <f>IF($A405="","",SUMIFS($I$1:$I$349,$AS$1:$AS$349,$AS405))</f>
      </c>
      <c r="W405">
        <f>IF($A405="","",Allocation!CD405)</f>
      </c>
      <c r="X405">
        <f>IF($A405="","",Allocation!CE405)</f>
      </c>
      <c r="Y405">
        <f>IF($A405="","",Allocation!CF405)</f>
      </c>
      <c r="Z405">
        <f>IF($A405="","",Allocation!CG405)</f>
      </c>
      <c r="AA405">
        <f>IF($A405="","",Allocation!CH405)</f>
      </c>
      <c r="AB405">
        <f>IF($A405="","",Allocation!CI405)</f>
      </c>
      <c r="AC405">
        <f>IF($A405="","",IF(Allocation!$N$4="VOL_EFF",$G405,IF(Allocation!$N$4="VOL_CLASS",$H405,$I405)))</f>
      </c>
      <c r="AD405">
        <f>IF($A405="","",IF(Allocation!$N$4="VOL_EFF",$L405,IF(Allocation!$N$4="VOL_CLASS",$M405,$N405)))</f>
      </c>
      <c r="AE405">
        <f>IF($A405="","",IF(Allocation!$N$3="VOL_EFF",$L405,IF(Allocation!$N$3="VOL_CLASS",$M405,$N405)))</f>
      </c>
      <c r="AF405">
        <f>IF($A405="","",IF(Allocation!$N$3="VOL_EFF",$Q405,IF(Allocation!$N$3="VOL_CLASS",$R405,$S405)))</f>
      </c>
      <c r="AG405">
        <f>IF($A405="","",IF(Allocation!$N$1="VOL_EFF",$Q405,IF(Allocation!$N$1="VOL_CLASS",$R405,$S405)))</f>
      </c>
      <c r="AH405">
        <f>IF($A405="","",IF(Allocation!$N$1="VOL_EFF",$T405,IF(Allocation!$N$1="VOL_CLASS",$U405,$V405)))</f>
      </c>
      <c r="AI405">
        <f>IF($A405="","",$W405*IFERROR($K405/$O405,0))</f>
      </c>
      <c r="AJ405">
        <f>IF($A405="","",$X405*IFERROR($K405/$O405,0))</f>
      </c>
      <c r="AK405">
        <f>IF($A405="","",$Y405*IFERROR($G405/$L405,0)+$Z405*IFERROR($J405/$P405,0))</f>
      </c>
      <c r="AL405">
        <f>IF($A405="","",$AA405*IFERROR($AC405/$AD405,0))</f>
      </c>
      <c r="AM405">
        <f>IF($A405="","",$AB405*IFERROR($AG405/$AH405,0)*IFERROR($AE405/$AF405,0)*IFERROR($AC405/$AD405,0))</f>
      </c>
      <c r="AN405">
        <f>IF($A405="","",$I405-($AI405+$AJ405+$AK405+$AL405+$AM405+$AR405))</f>
      </c>
      <c r="AO405">
        <f>IF($A405="","",Allocation!CJ405)</f>
      </c>
      <c r="AP405">
        <f>IF($A405="","",IF(Allocation!$N$2="VOL_EFF",$Q405,IF(Allocation!$N$2="VOL_CLASS",$R405,$S405)))</f>
      </c>
      <c r="AQ405">
        <f>IF($A405="","",IF(Allocation!$N$2="VOL_EFF",$T405,IF(Allocation!$N$2="VOL_CLASS",$U405,$V405)))</f>
      </c>
      <c r="AR405">
        <f>IF($A405="","",$AO405*IFERROR($AP405/$AQ405,0)*IFERROR($AE405/$AF405,0)*IFERROR($AC405/$AD405,0))</f>
      </c>
      <c r="AS405">
        <f>IF($A405="","",$A405&amp;"|"&amp;Allocation!BG405)</f>
      </c>
    </row>
    <row r="406" spans="1:45">
      <c r="A406">
        <f>IF(Allocation!BI406="","",Allocation!BI406)</f>
      </c>
      <c r="B406">
        <f>IF(Allocation!BJ406="","",Allocation!BJ406)</f>
      </c>
      <c r="C406">
        <f>IF(Allocation!BK406="","",Allocation!BK406)</f>
      </c>
      <c r="D406">
        <f>IF(Allocation!BL406="","",Allocation!BL406)</f>
      </c>
      <c r="E406">
        <f>IF(Allocation!BM406="","",Allocation!BM406)</f>
      </c>
      <c r="F406">
        <f>IF(Allocation!BN406="","",Allocation!BN406)</f>
      </c>
      <c r="G406">
        <f>IF(Allocation!BO406="","",Allocation!BO406)</f>
      </c>
      <c r="H406">
        <f>IF(Allocation!BP406="","",Allocation!BP406)</f>
      </c>
      <c r="I406">
        <f>IF(Allocation!BQ406="","",Allocation!BQ406)</f>
      </c>
      <c r="J406">
        <f>IF(Allocation!CC406="","",Allocation!CC406)</f>
      </c>
      <c r="K406">
        <f>IF($A406="","",$H406*IF(AND(LEFT($D406,3)="BAC",$F406="INIT"),600,IF(LEFT($D406,3)="BAC",480,IF(AND(LEFT($D406,3)="MAS",$F406="INIT"),520,IF(LEFT($D406,3)="MAS",420,IF($F406="INIT",1000,700))))))</f>
      </c>
      <c r="L406">
        <f>IF($A406="","",SUMIFS($G$1:$G$349,$AS$1:$AS$349,$AS406,$B$1:$B$349,$B406))</f>
      </c>
      <c r="M406">
        <f>IF($A406="","",SUMIFS($H$1:$H$349,$AS$1:$AS$349,$AS406,$B$1:$B$349,$B406))</f>
      </c>
      <c r="N406">
        <f>IF($A406="","",SUMIFS($I$1:$I$349,$AS$1:$AS$349,$AS406,$B$1:$B$349,$B406))</f>
      </c>
      <c r="O406">
        <f>IF($A406="","",SUMIFS($K$1:$K$349,$AS$1:$AS$349,$AS406,$B$1:$B$349,$B406))</f>
      </c>
      <c r="P406">
        <f>IF($A406="","",SUMIFS($J$1:$J$349,$AS$1:$AS$349,$AS406,$B$1:$B$349,$B406))</f>
      </c>
      <c r="Q406">
        <f>IF($A406="","",SUMIFS($G$1:$G$349,$AS$1:$AS$349,$AS406,$C$1:$C$349,$C406))</f>
      </c>
      <c r="R406">
        <f>IF($A406="","",SUMIFS($H$1:$H$349,$AS$1:$AS$349,$AS406,$C$1:$C$349,$C406))</f>
      </c>
      <c r="S406">
        <f>IF($A406="","",SUMIFS($I$1:$I$349,$AS$1:$AS$349,$AS406,$C$1:$C$349,$C406))</f>
      </c>
      <c r="T406">
        <f>IF($A406="","",SUMIFS($G$1:$G$349,$AS$1:$AS$349,$AS406))</f>
      </c>
      <c r="U406">
        <f>IF($A406="","",SUMIFS($H$1:$H$349,$AS$1:$AS$349,$AS406))</f>
      </c>
      <c r="V406">
        <f>IF($A406="","",SUMIFS($I$1:$I$349,$AS$1:$AS$349,$AS406))</f>
      </c>
      <c r="W406">
        <f>IF($A406="","",Allocation!CD406)</f>
      </c>
      <c r="X406">
        <f>IF($A406="","",Allocation!CE406)</f>
      </c>
      <c r="Y406">
        <f>IF($A406="","",Allocation!CF406)</f>
      </c>
      <c r="Z406">
        <f>IF($A406="","",Allocation!CG406)</f>
      </c>
      <c r="AA406">
        <f>IF($A406="","",Allocation!CH406)</f>
      </c>
      <c r="AB406">
        <f>IF($A406="","",Allocation!CI406)</f>
      </c>
      <c r="AC406">
        <f>IF($A406="","",IF(Allocation!$N$4="VOL_EFF",$G406,IF(Allocation!$N$4="VOL_CLASS",$H406,$I406)))</f>
      </c>
      <c r="AD406">
        <f>IF($A406="","",IF(Allocation!$N$4="VOL_EFF",$L406,IF(Allocation!$N$4="VOL_CLASS",$M406,$N406)))</f>
      </c>
      <c r="AE406">
        <f>IF($A406="","",IF(Allocation!$N$3="VOL_EFF",$L406,IF(Allocation!$N$3="VOL_CLASS",$M406,$N406)))</f>
      </c>
      <c r="AF406">
        <f>IF($A406="","",IF(Allocation!$N$3="VOL_EFF",$Q406,IF(Allocation!$N$3="VOL_CLASS",$R406,$S406)))</f>
      </c>
      <c r="AG406">
        <f>IF($A406="","",IF(Allocation!$N$1="VOL_EFF",$Q406,IF(Allocation!$N$1="VOL_CLASS",$R406,$S406)))</f>
      </c>
      <c r="AH406">
        <f>IF($A406="","",IF(Allocation!$N$1="VOL_EFF",$T406,IF(Allocation!$N$1="VOL_CLASS",$U406,$V406)))</f>
      </c>
      <c r="AI406">
        <f>IF($A406="","",$W406*IFERROR($K406/$O406,0))</f>
      </c>
      <c r="AJ406">
        <f>IF($A406="","",$X406*IFERROR($K406/$O406,0))</f>
      </c>
      <c r="AK406">
        <f>IF($A406="","",$Y406*IFERROR($G406/$L406,0)+$Z406*IFERROR($J406/$P406,0))</f>
      </c>
      <c r="AL406">
        <f>IF($A406="","",$AA406*IFERROR($AC406/$AD406,0))</f>
      </c>
      <c r="AM406">
        <f>IF($A406="","",$AB406*IFERROR($AG406/$AH406,0)*IFERROR($AE406/$AF406,0)*IFERROR($AC406/$AD406,0))</f>
      </c>
      <c r="AN406">
        <f>IF($A406="","",$I406-($AI406+$AJ406+$AK406+$AL406+$AM406+$AR406))</f>
      </c>
      <c r="AO406">
        <f>IF($A406="","",Allocation!CJ406)</f>
      </c>
      <c r="AP406">
        <f>IF($A406="","",IF(Allocation!$N$2="VOL_EFF",$Q406,IF(Allocation!$N$2="VOL_CLASS",$R406,$S406)))</f>
      </c>
      <c r="AQ406">
        <f>IF($A406="","",IF(Allocation!$N$2="VOL_EFF",$T406,IF(Allocation!$N$2="VOL_CLASS",$U406,$V406)))</f>
      </c>
      <c r="AR406">
        <f>IF($A406="","",$AO406*IFERROR($AP406/$AQ406,0)*IFERROR($AE406/$AF406,0)*IFERROR($AC406/$AD406,0))</f>
      </c>
      <c r="AS406">
        <f>IF($A406="","",$A406&amp;"|"&amp;Allocation!BG406)</f>
      </c>
    </row>
    <row r="407" spans="1:45">
      <c r="A407">
        <f>IF(Allocation!BI407="","",Allocation!BI407)</f>
      </c>
      <c r="B407">
        <f>IF(Allocation!BJ407="","",Allocation!BJ407)</f>
      </c>
      <c r="C407">
        <f>IF(Allocation!BK407="","",Allocation!BK407)</f>
      </c>
      <c r="D407">
        <f>IF(Allocation!BL407="","",Allocation!BL407)</f>
      </c>
      <c r="E407">
        <f>IF(Allocation!BM407="","",Allocation!BM407)</f>
      </c>
      <c r="F407">
        <f>IF(Allocation!BN407="","",Allocation!BN407)</f>
      </c>
      <c r="G407">
        <f>IF(Allocation!BO407="","",Allocation!BO407)</f>
      </c>
      <c r="H407">
        <f>IF(Allocation!BP407="","",Allocation!BP407)</f>
      </c>
      <c r="I407">
        <f>IF(Allocation!BQ407="","",Allocation!BQ407)</f>
      </c>
      <c r="J407">
        <f>IF(Allocation!CC407="","",Allocation!CC407)</f>
      </c>
      <c r="K407">
        <f>IF($A407="","",$H407*IF(AND(LEFT($D407,3)="BAC",$F407="INIT"),600,IF(LEFT($D407,3)="BAC",480,IF(AND(LEFT($D407,3)="MAS",$F407="INIT"),520,IF(LEFT($D407,3)="MAS",420,IF($F407="INIT",1000,700))))))</f>
      </c>
      <c r="L407">
        <f>IF($A407="","",SUMIFS($G$1:$G$349,$AS$1:$AS$349,$AS407,$B$1:$B$349,$B407))</f>
      </c>
      <c r="M407">
        <f>IF($A407="","",SUMIFS($H$1:$H$349,$AS$1:$AS$349,$AS407,$B$1:$B$349,$B407))</f>
      </c>
      <c r="N407">
        <f>IF($A407="","",SUMIFS($I$1:$I$349,$AS$1:$AS$349,$AS407,$B$1:$B$349,$B407))</f>
      </c>
      <c r="O407">
        <f>IF($A407="","",SUMIFS($K$1:$K$349,$AS$1:$AS$349,$AS407,$B$1:$B$349,$B407))</f>
      </c>
      <c r="P407">
        <f>IF($A407="","",SUMIFS($J$1:$J$349,$AS$1:$AS$349,$AS407,$B$1:$B$349,$B407))</f>
      </c>
      <c r="Q407">
        <f>IF($A407="","",SUMIFS($G$1:$G$349,$AS$1:$AS$349,$AS407,$C$1:$C$349,$C407))</f>
      </c>
      <c r="R407">
        <f>IF($A407="","",SUMIFS($H$1:$H$349,$AS$1:$AS$349,$AS407,$C$1:$C$349,$C407))</f>
      </c>
      <c r="S407">
        <f>IF($A407="","",SUMIFS($I$1:$I$349,$AS$1:$AS$349,$AS407,$C$1:$C$349,$C407))</f>
      </c>
      <c r="T407">
        <f>IF($A407="","",SUMIFS($G$1:$G$349,$AS$1:$AS$349,$AS407))</f>
      </c>
      <c r="U407">
        <f>IF($A407="","",SUMIFS($H$1:$H$349,$AS$1:$AS$349,$AS407))</f>
      </c>
      <c r="V407">
        <f>IF($A407="","",SUMIFS($I$1:$I$349,$AS$1:$AS$349,$AS407))</f>
      </c>
      <c r="W407">
        <f>IF($A407="","",Allocation!CD407)</f>
      </c>
      <c r="X407">
        <f>IF($A407="","",Allocation!CE407)</f>
      </c>
      <c r="Y407">
        <f>IF($A407="","",Allocation!CF407)</f>
      </c>
      <c r="Z407">
        <f>IF($A407="","",Allocation!CG407)</f>
      </c>
      <c r="AA407">
        <f>IF($A407="","",Allocation!CH407)</f>
      </c>
      <c r="AB407">
        <f>IF($A407="","",Allocation!CI407)</f>
      </c>
      <c r="AC407">
        <f>IF($A407="","",IF(Allocation!$N$4="VOL_EFF",$G407,IF(Allocation!$N$4="VOL_CLASS",$H407,$I407)))</f>
      </c>
      <c r="AD407">
        <f>IF($A407="","",IF(Allocation!$N$4="VOL_EFF",$L407,IF(Allocation!$N$4="VOL_CLASS",$M407,$N407)))</f>
      </c>
      <c r="AE407">
        <f>IF($A407="","",IF(Allocation!$N$3="VOL_EFF",$L407,IF(Allocation!$N$3="VOL_CLASS",$M407,$N407)))</f>
      </c>
      <c r="AF407">
        <f>IF($A407="","",IF(Allocation!$N$3="VOL_EFF",$Q407,IF(Allocation!$N$3="VOL_CLASS",$R407,$S407)))</f>
      </c>
      <c r="AG407">
        <f>IF($A407="","",IF(Allocation!$N$1="VOL_EFF",$Q407,IF(Allocation!$N$1="VOL_CLASS",$R407,$S407)))</f>
      </c>
      <c r="AH407">
        <f>IF($A407="","",IF(Allocation!$N$1="VOL_EFF",$T407,IF(Allocation!$N$1="VOL_CLASS",$U407,$V407)))</f>
      </c>
      <c r="AI407">
        <f>IF($A407="","",$W407*IFERROR($K407/$O407,0))</f>
      </c>
      <c r="AJ407">
        <f>IF($A407="","",$X407*IFERROR($K407/$O407,0))</f>
      </c>
      <c r="AK407">
        <f>IF($A407="","",$Y407*IFERROR($G407/$L407,0)+$Z407*IFERROR($J407/$P407,0))</f>
      </c>
      <c r="AL407">
        <f>IF($A407="","",$AA407*IFERROR($AC407/$AD407,0))</f>
      </c>
      <c r="AM407">
        <f>IF($A407="","",$AB407*IFERROR($AG407/$AH407,0)*IFERROR($AE407/$AF407,0)*IFERROR($AC407/$AD407,0))</f>
      </c>
      <c r="AN407">
        <f>IF($A407="","",$I407-($AI407+$AJ407+$AK407+$AL407+$AM407+$AR407))</f>
      </c>
      <c r="AO407">
        <f>IF($A407="","",Allocation!CJ407)</f>
      </c>
      <c r="AP407">
        <f>IF($A407="","",IF(Allocation!$N$2="VOL_EFF",$Q407,IF(Allocation!$N$2="VOL_CLASS",$R407,$S407)))</f>
      </c>
      <c r="AQ407">
        <f>IF($A407="","",IF(Allocation!$N$2="VOL_EFF",$T407,IF(Allocation!$N$2="VOL_CLASS",$U407,$V407)))</f>
      </c>
      <c r="AR407">
        <f>IF($A407="","",$AO407*IFERROR($AP407/$AQ407,0)*IFERROR($AE407/$AF407,0)*IFERROR($AC407/$AD407,0))</f>
      </c>
      <c r="AS407">
        <f>IF($A407="","",$A407&amp;"|"&amp;Allocation!BG407)</f>
      </c>
    </row>
    <row r="408" spans="1:45">
      <c r="A408">
        <f>IF(Allocation!BI408="","",Allocation!BI408)</f>
      </c>
      <c r="B408">
        <f>IF(Allocation!BJ408="","",Allocation!BJ408)</f>
      </c>
      <c r="C408">
        <f>IF(Allocation!BK408="","",Allocation!BK408)</f>
      </c>
      <c r="D408">
        <f>IF(Allocation!BL408="","",Allocation!BL408)</f>
      </c>
      <c r="E408">
        <f>IF(Allocation!BM408="","",Allocation!BM408)</f>
      </c>
      <c r="F408">
        <f>IF(Allocation!BN408="","",Allocation!BN408)</f>
      </c>
      <c r="G408">
        <f>IF(Allocation!BO408="","",Allocation!BO408)</f>
      </c>
      <c r="H408">
        <f>IF(Allocation!BP408="","",Allocation!BP408)</f>
      </c>
      <c r="I408">
        <f>IF(Allocation!BQ408="","",Allocation!BQ408)</f>
      </c>
      <c r="J408">
        <f>IF(Allocation!CC408="","",Allocation!CC408)</f>
      </c>
      <c r="K408">
        <f>IF($A408="","",$H408*IF(AND(LEFT($D408,3)="BAC",$F408="INIT"),600,IF(LEFT($D408,3)="BAC",480,IF(AND(LEFT($D408,3)="MAS",$F408="INIT"),520,IF(LEFT($D408,3)="MAS",420,IF($F408="INIT",1000,700))))))</f>
      </c>
      <c r="L408">
        <f>IF($A408="","",SUMIFS($G$1:$G$349,$AS$1:$AS$349,$AS408,$B$1:$B$349,$B408))</f>
      </c>
      <c r="M408">
        <f>IF($A408="","",SUMIFS($H$1:$H$349,$AS$1:$AS$349,$AS408,$B$1:$B$349,$B408))</f>
      </c>
      <c r="N408">
        <f>IF($A408="","",SUMIFS($I$1:$I$349,$AS$1:$AS$349,$AS408,$B$1:$B$349,$B408))</f>
      </c>
      <c r="O408">
        <f>IF($A408="","",SUMIFS($K$1:$K$349,$AS$1:$AS$349,$AS408,$B$1:$B$349,$B408))</f>
      </c>
      <c r="P408">
        <f>IF($A408="","",SUMIFS($J$1:$J$349,$AS$1:$AS$349,$AS408,$B$1:$B$349,$B408))</f>
      </c>
      <c r="Q408">
        <f>IF($A408="","",SUMIFS($G$1:$G$349,$AS$1:$AS$349,$AS408,$C$1:$C$349,$C408))</f>
      </c>
      <c r="R408">
        <f>IF($A408="","",SUMIFS($H$1:$H$349,$AS$1:$AS$349,$AS408,$C$1:$C$349,$C408))</f>
      </c>
      <c r="S408">
        <f>IF($A408="","",SUMIFS($I$1:$I$349,$AS$1:$AS$349,$AS408,$C$1:$C$349,$C408))</f>
      </c>
      <c r="T408">
        <f>IF($A408="","",SUMIFS($G$1:$G$349,$AS$1:$AS$349,$AS408))</f>
      </c>
      <c r="U408">
        <f>IF($A408="","",SUMIFS($H$1:$H$349,$AS$1:$AS$349,$AS408))</f>
      </c>
      <c r="V408">
        <f>IF($A408="","",SUMIFS($I$1:$I$349,$AS$1:$AS$349,$AS408))</f>
      </c>
      <c r="W408">
        <f>IF($A408="","",Allocation!CD408)</f>
      </c>
      <c r="X408">
        <f>IF($A408="","",Allocation!CE408)</f>
      </c>
      <c r="Y408">
        <f>IF($A408="","",Allocation!CF408)</f>
      </c>
      <c r="Z408">
        <f>IF($A408="","",Allocation!CG408)</f>
      </c>
      <c r="AA408">
        <f>IF($A408="","",Allocation!CH408)</f>
      </c>
      <c r="AB408">
        <f>IF($A408="","",Allocation!CI408)</f>
      </c>
      <c r="AC408">
        <f>IF($A408="","",IF(Allocation!$N$4="VOL_EFF",$G408,IF(Allocation!$N$4="VOL_CLASS",$H408,$I408)))</f>
      </c>
      <c r="AD408">
        <f>IF($A408="","",IF(Allocation!$N$4="VOL_EFF",$L408,IF(Allocation!$N$4="VOL_CLASS",$M408,$N408)))</f>
      </c>
      <c r="AE408">
        <f>IF($A408="","",IF(Allocation!$N$3="VOL_EFF",$L408,IF(Allocation!$N$3="VOL_CLASS",$M408,$N408)))</f>
      </c>
      <c r="AF408">
        <f>IF($A408="","",IF(Allocation!$N$3="VOL_EFF",$Q408,IF(Allocation!$N$3="VOL_CLASS",$R408,$S408)))</f>
      </c>
      <c r="AG408">
        <f>IF($A408="","",IF(Allocation!$N$1="VOL_EFF",$Q408,IF(Allocation!$N$1="VOL_CLASS",$R408,$S408)))</f>
      </c>
      <c r="AH408">
        <f>IF($A408="","",IF(Allocation!$N$1="VOL_EFF",$T408,IF(Allocation!$N$1="VOL_CLASS",$U408,$V408)))</f>
      </c>
      <c r="AI408">
        <f>IF($A408="","",$W408*IFERROR($K408/$O408,0))</f>
      </c>
      <c r="AJ408">
        <f>IF($A408="","",$X408*IFERROR($K408/$O408,0))</f>
      </c>
      <c r="AK408">
        <f>IF($A408="","",$Y408*IFERROR($G408/$L408,0)+$Z408*IFERROR($J408/$P408,0))</f>
      </c>
      <c r="AL408">
        <f>IF($A408="","",$AA408*IFERROR($AC408/$AD408,0))</f>
      </c>
      <c r="AM408">
        <f>IF($A408="","",$AB408*IFERROR($AG408/$AH408,0)*IFERROR($AE408/$AF408,0)*IFERROR($AC408/$AD408,0))</f>
      </c>
      <c r="AN408">
        <f>IF($A408="","",$I408-($AI408+$AJ408+$AK408+$AL408+$AM408+$AR408))</f>
      </c>
      <c r="AO408">
        <f>IF($A408="","",Allocation!CJ408)</f>
      </c>
      <c r="AP408">
        <f>IF($A408="","",IF(Allocation!$N$2="VOL_EFF",$Q408,IF(Allocation!$N$2="VOL_CLASS",$R408,$S408)))</f>
      </c>
      <c r="AQ408">
        <f>IF($A408="","",IF(Allocation!$N$2="VOL_EFF",$T408,IF(Allocation!$N$2="VOL_CLASS",$U408,$V408)))</f>
      </c>
      <c r="AR408">
        <f>IF($A408="","",$AO408*IFERROR($AP408/$AQ408,0)*IFERROR($AE408/$AF408,0)*IFERROR($AC408/$AD408,0))</f>
      </c>
      <c r="AS408">
        <f>IF($A408="","",$A408&amp;"|"&amp;Allocation!BG408)</f>
      </c>
    </row>
    <row r="409" spans="1:45">
      <c r="A409">
        <f>IF(Allocation!BI409="","",Allocation!BI409)</f>
      </c>
      <c r="B409">
        <f>IF(Allocation!BJ409="","",Allocation!BJ409)</f>
      </c>
      <c r="C409">
        <f>IF(Allocation!BK409="","",Allocation!BK409)</f>
      </c>
      <c r="D409">
        <f>IF(Allocation!BL409="","",Allocation!BL409)</f>
      </c>
      <c r="E409">
        <f>IF(Allocation!BM409="","",Allocation!BM409)</f>
      </c>
      <c r="F409">
        <f>IF(Allocation!BN409="","",Allocation!BN409)</f>
      </c>
      <c r="G409">
        <f>IF(Allocation!BO409="","",Allocation!BO409)</f>
      </c>
      <c r="H409">
        <f>IF(Allocation!BP409="","",Allocation!BP409)</f>
      </c>
      <c r="I409">
        <f>IF(Allocation!BQ409="","",Allocation!BQ409)</f>
      </c>
      <c r="J409">
        <f>IF(Allocation!CC409="","",Allocation!CC409)</f>
      </c>
      <c r="K409">
        <f>IF($A409="","",$H409*IF(AND(LEFT($D409,3)="BAC",$F409="INIT"),600,IF(LEFT($D409,3)="BAC",480,IF(AND(LEFT($D409,3)="MAS",$F409="INIT"),520,IF(LEFT($D409,3)="MAS",420,IF($F409="INIT",1000,700))))))</f>
      </c>
      <c r="L409">
        <f>IF($A409="","",SUMIFS($G$1:$G$349,$AS$1:$AS$349,$AS409,$B$1:$B$349,$B409))</f>
      </c>
      <c r="M409">
        <f>IF($A409="","",SUMIFS($H$1:$H$349,$AS$1:$AS$349,$AS409,$B$1:$B$349,$B409))</f>
      </c>
      <c r="N409">
        <f>IF($A409="","",SUMIFS($I$1:$I$349,$AS$1:$AS$349,$AS409,$B$1:$B$349,$B409))</f>
      </c>
      <c r="O409">
        <f>IF($A409="","",SUMIFS($K$1:$K$349,$AS$1:$AS$349,$AS409,$B$1:$B$349,$B409))</f>
      </c>
      <c r="P409">
        <f>IF($A409="","",SUMIFS($J$1:$J$349,$AS$1:$AS$349,$AS409,$B$1:$B$349,$B409))</f>
      </c>
      <c r="Q409">
        <f>IF($A409="","",SUMIFS($G$1:$G$349,$AS$1:$AS$349,$AS409,$C$1:$C$349,$C409))</f>
      </c>
      <c r="R409">
        <f>IF($A409="","",SUMIFS($H$1:$H$349,$AS$1:$AS$349,$AS409,$C$1:$C$349,$C409))</f>
      </c>
      <c r="S409">
        <f>IF($A409="","",SUMIFS($I$1:$I$349,$AS$1:$AS$349,$AS409,$C$1:$C$349,$C409))</f>
      </c>
      <c r="T409">
        <f>IF($A409="","",SUMIFS($G$1:$G$349,$AS$1:$AS$349,$AS409))</f>
      </c>
      <c r="U409">
        <f>IF($A409="","",SUMIFS($H$1:$H$349,$AS$1:$AS$349,$AS409))</f>
      </c>
      <c r="V409">
        <f>IF($A409="","",SUMIFS($I$1:$I$349,$AS$1:$AS$349,$AS409))</f>
      </c>
      <c r="W409">
        <f>IF($A409="","",Allocation!CD409)</f>
      </c>
      <c r="X409">
        <f>IF($A409="","",Allocation!CE409)</f>
      </c>
      <c r="Y409">
        <f>IF($A409="","",Allocation!CF409)</f>
      </c>
      <c r="Z409">
        <f>IF($A409="","",Allocation!CG409)</f>
      </c>
      <c r="AA409">
        <f>IF($A409="","",Allocation!CH409)</f>
      </c>
      <c r="AB409">
        <f>IF($A409="","",Allocation!CI409)</f>
      </c>
      <c r="AC409">
        <f>IF($A409="","",IF(Allocation!$N$4="VOL_EFF",$G409,IF(Allocation!$N$4="VOL_CLASS",$H409,$I409)))</f>
      </c>
      <c r="AD409">
        <f>IF($A409="","",IF(Allocation!$N$4="VOL_EFF",$L409,IF(Allocation!$N$4="VOL_CLASS",$M409,$N409)))</f>
      </c>
      <c r="AE409">
        <f>IF($A409="","",IF(Allocation!$N$3="VOL_EFF",$L409,IF(Allocation!$N$3="VOL_CLASS",$M409,$N409)))</f>
      </c>
      <c r="AF409">
        <f>IF($A409="","",IF(Allocation!$N$3="VOL_EFF",$Q409,IF(Allocation!$N$3="VOL_CLASS",$R409,$S409)))</f>
      </c>
      <c r="AG409">
        <f>IF($A409="","",IF(Allocation!$N$1="VOL_EFF",$Q409,IF(Allocation!$N$1="VOL_CLASS",$R409,$S409)))</f>
      </c>
      <c r="AH409">
        <f>IF($A409="","",IF(Allocation!$N$1="VOL_EFF",$T409,IF(Allocation!$N$1="VOL_CLASS",$U409,$V409)))</f>
      </c>
      <c r="AI409">
        <f>IF($A409="","",$W409*IFERROR($K409/$O409,0))</f>
      </c>
      <c r="AJ409">
        <f>IF($A409="","",$X409*IFERROR($K409/$O409,0))</f>
      </c>
      <c r="AK409">
        <f>IF($A409="","",$Y409*IFERROR($G409/$L409,0)+$Z409*IFERROR($J409/$P409,0))</f>
      </c>
      <c r="AL409">
        <f>IF($A409="","",$AA409*IFERROR($AC409/$AD409,0))</f>
      </c>
      <c r="AM409">
        <f>IF($A409="","",$AB409*IFERROR($AG409/$AH409,0)*IFERROR($AE409/$AF409,0)*IFERROR($AC409/$AD409,0))</f>
      </c>
      <c r="AN409">
        <f>IF($A409="","",$I409-($AI409+$AJ409+$AK409+$AL409+$AM409+$AR409))</f>
      </c>
      <c r="AO409">
        <f>IF($A409="","",Allocation!CJ409)</f>
      </c>
      <c r="AP409">
        <f>IF($A409="","",IF(Allocation!$N$2="VOL_EFF",$Q409,IF(Allocation!$N$2="VOL_CLASS",$R409,$S409)))</f>
      </c>
      <c r="AQ409">
        <f>IF($A409="","",IF(Allocation!$N$2="VOL_EFF",$T409,IF(Allocation!$N$2="VOL_CLASS",$U409,$V409)))</f>
      </c>
      <c r="AR409">
        <f>IF($A409="","",$AO409*IFERROR($AP409/$AQ409,0)*IFERROR($AE409/$AF409,0)*IFERROR($AC409/$AD409,0))</f>
      </c>
      <c r="AS409">
        <f>IF($A409="","",$A409&amp;"|"&amp;Allocation!BG409)</f>
      </c>
    </row>
    <row r="410" spans="1:45">
      <c r="A410">
        <f>IF(Allocation!BI410="","",Allocation!BI410)</f>
      </c>
      <c r="B410">
        <f>IF(Allocation!BJ410="","",Allocation!BJ410)</f>
      </c>
      <c r="C410">
        <f>IF(Allocation!BK410="","",Allocation!BK410)</f>
      </c>
      <c r="D410">
        <f>IF(Allocation!BL410="","",Allocation!BL410)</f>
      </c>
      <c r="E410">
        <f>IF(Allocation!BM410="","",Allocation!BM410)</f>
      </c>
      <c r="F410">
        <f>IF(Allocation!BN410="","",Allocation!BN410)</f>
      </c>
      <c r="G410">
        <f>IF(Allocation!BO410="","",Allocation!BO410)</f>
      </c>
      <c r="H410">
        <f>IF(Allocation!BP410="","",Allocation!BP410)</f>
      </c>
      <c r="I410">
        <f>IF(Allocation!BQ410="","",Allocation!BQ410)</f>
      </c>
      <c r="J410">
        <f>IF(Allocation!CC410="","",Allocation!CC410)</f>
      </c>
      <c r="K410">
        <f>IF($A410="","",$H410*IF(AND(LEFT($D410,3)="BAC",$F410="INIT"),600,IF(LEFT($D410,3)="BAC",480,IF(AND(LEFT($D410,3)="MAS",$F410="INIT"),520,IF(LEFT($D410,3)="MAS",420,IF($F410="INIT",1000,700))))))</f>
      </c>
      <c r="L410">
        <f>IF($A410="","",SUMIFS($G$1:$G$349,$AS$1:$AS$349,$AS410,$B$1:$B$349,$B410))</f>
      </c>
      <c r="M410">
        <f>IF($A410="","",SUMIFS($H$1:$H$349,$AS$1:$AS$349,$AS410,$B$1:$B$349,$B410))</f>
      </c>
      <c r="N410">
        <f>IF($A410="","",SUMIFS($I$1:$I$349,$AS$1:$AS$349,$AS410,$B$1:$B$349,$B410))</f>
      </c>
      <c r="O410">
        <f>IF($A410="","",SUMIFS($K$1:$K$349,$AS$1:$AS$349,$AS410,$B$1:$B$349,$B410))</f>
      </c>
      <c r="P410">
        <f>IF($A410="","",SUMIFS($J$1:$J$349,$AS$1:$AS$349,$AS410,$B$1:$B$349,$B410))</f>
      </c>
      <c r="Q410">
        <f>IF($A410="","",SUMIFS($G$1:$G$349,$AS$1:$AS$349,$AS410,$C$1:$C$349,$C410))</f>
      </c>
      <c r="R410">
        <f>IF($A410="","",SUMIFS($H$1:$H$349,$AS$1:$AS$349,$AS410,$C$1:$C$349,$C410))</f>
      </c>
      <c r="S410">
        <f>IF($A410="","",SUMIFS($I$1:$I$349,$AS$1:$AS$349,$AS410,$C$1:$C$349,$C410))</f>
      </c>
      <c r="T410">
        <f>IF($A410="","",SUMIFS($G$1:$G$349,$AS$1:$AS$349,$AS410))</f>
      </c>
      <c r="U410">
        <f>IF($A410="","",SUMIFS($H$1:$H$349,$AS$1:$AS$349,$AS410))</f>
      </c>
      <c r="V410">
        <f>IF($A410="","",SUMIFS($I$1:$I$349,$AS$1:$AS$349,$AS410))</f>
      </c>
      <c r="W410">
        <f>IF($A410="","",Allocation!CD410)</f>
      </c>
      <c r="X410">
        <f>IF($A410="","",Allocation!CE410)</f>
      </c>
      <c r="Y410">
        <f>IF($A410="","",Allocation!CF410)</f>
      </c>
      <c r="Z410">
        <f>IF($A410="","",Allocation!CG410)</f>
      </c>
      <c r="AA410">
        <f>IF($A410="","",Allocation!CH410)</f>
      </c>
      <c r="AB410">
        <f>IF($A410="","",Allocation!CI410)</f>
      </c>
      <c r="AC410">
        <f>IF($A410="","",IF(Allocation!$N$4="VOL_EFF",$G410,IF(Allocation!$N$4="VOL_CLASS",$H410,$I410)))</f>
      </c>
      <c r="AD410">
        <f>IF($A410="","",IF(Allocation!$N$4="VOL_EFF",$L410,IF(Allocation!$N$4="VOL_CLASS",$M410,$N410)))</f>
      </c>
      <c r="AE410">
        <f>IF($A410="","",IF(Allocation!$N$3="VOL_EFF",$L410,IF(Allocation!$N$3="VOL_CLASS",$M410,$N410)))</f>
      </c>
      <c r="AF410">
        <f>IF($A410="","",IF(Allocation!$N$3="VOL_EFF",$Q410,IF(Allocation!$N$3="VOL_CLASS",$R410,$S410)))</f>
      </c>
      <c r="AG410">
        <f>IF($A410="","",IF(Allocation!$N$1="VOL_EFF",$Q410,IF(Allocation!$N$1="VOL_CLASS",$R410,$S410)))</f>
      </c>
      <c r="AH410">
        <f>IF($A410="","",IF(Allocation!$N$1="VOL_EFF",$T410,IF(Allocation!$N$1="VOL_CLASS",$U410,$V410)))</f>
      </c>
      <c r="AI410">
        <f>IF($A410="","",$W410*IFERROR($K410/$O410,0))</f>
      </c>
      <c r="AJ410">
        <f>IF($A410="","",$X410*IFERROR($K410/$O410,0))</f>
      </c>
      <c r="AK410">
        <f>IF($A410="","",$Y410*IFERROR($G410/$L410,0)+$Z410*IFERROR($J410/$P410,0))</f>
      </c>
      <c r="AL410">
        <f>IF($A410="","",$AA410*IFERROR($AC410/$AD410,0))</f>
      </c>
      <c r="AM410">
        <f>IF($A410="","",$AB410*IFERROR($AG410/$AH410,0)*IFERROR($AE410/$AF410,0)*IFERROR($AC410/$AD410,0))</f>
      </c>
      <c r="AN410">
        <f>IF($A410="","",$I410-($AI410+$AJ410+$AK410+$AL410+$AM410+$AR410))</f>
      </c>
      <c r="AO410">
        <f>IF($A410="","",Allocation!CJ410)</f>
      </c>
      <c r="AP410">
        <f>IF($A410="","",IF(Allocation!$N$2="VOL_EFF",$Q410,IF(Allocation!$N$2="VOL_CLASS",$R410,$S410)))</f>
      </c>
      <c r="AQ410">
        <f>IF($A410="","",IF(Allocation!$N$2="VOL_EFF",$T410,IF(Allocation!$N$2="VOL_CLASS",$U410,$V410)))</f>
      </c>
      <c r="AR410">
        <f>IF($A410="","",$AO410*IFERROR($AP410/$AQ410,0)*IFERROR($AE410/$AF410,0)*IFERROR($AC410/$AD410,0))</f>
      </c>
      <c r="AS410">
        <f>IF($A410="","",$A410&amp;"|"&amp;Allocation!BG410)</f>
      </c>
    </row>
    <row r="411" spans="1:45">
      <c r="A411">
        <f>IF(Allocation!BI411="","",Allocation!BI411)</f>
      </c>
      <c r="B411">
        <f>IF(Allocation!BJ411="","",Allocation!BJ411)</f>
      </c>
      <c r="C411">
        <f>IF(Allocation!BK411="","",Allocation!BK411)</f>
      </c>
      <c r="D411">
        <f>IF(Allocation!BL411="","",Allocation!BL411)</f>
      </c>
      <c r="E411">
        <f>IF(Allocation!BM411="","",Allocation!BM411)</f>
      </c>
      <c r="F411">
        <f>IF(Allocation!BN411="","",Allocation!BN411)</f>
      </c>
      <c r="G411">
        <f>IF(Allocation!BO411="","",Allocation!BO411)</f>
      </c>
      <c r="H411">
        <f>IF(Allocation!BP411="","",Allocation!BP411)</f>
      </c>
      <c r="I411">
        <f>IF(Allocation!BQ411="","",Allocation!BQ411)</f>
      </c>
      <c r="J411">
        <f>IF(Allocation!CC411="","",Allocation!CC411)</f>
      </c>
      <c r="K411">
        <f>IF($A411="","",$H411*IF(AND(LEFT($D411,3)="BAC",$F411="INIT"),600,IF(LEFT($D411,3)="BAC",480,IF(AND(LEFT($D411,3)="MAS",$F411="INIT"),520,IF(LEFT($D411,3)="MAS",420,IF($F411="INIT",1000,700))))))</f>
      </c>
      <c r="L411">
        <f>IF($A411="","",SUMIFS($G$1:$G$349,$AS$1:$AS$349,$AS411,$B$1:$B$349,$B411))</f>
      </c>
      <c r="M411">
        <f>IF($A411="","",SUMIFS($H$1:$H$349,$AS$1:$AS$349,$AS411,$B$1:$B$349,$B411))</f>
      </c>
      <c r="N411">
        <f>IF($A411="","",SUMIFS($I$1:$I$349,$AS$1:$AS$349,$AS411,$B$1:$B$349,$B411))</f>
      </c>
      <c r="O411">
        <f>IF($A411="","",SUMIFS($K$1:$K$349,$AS$1:$AS$349,$AS411,$B$1:$B$349,$B411))</f>
      </c>
      <c r="P411">
        <f>IF($A411="","",SUMIFS($J$1:$J$349,$AS$1:$AS$349,$AS411,$B$1:$B$349,$B411))</f>
      </c>
      <c r="Q411">
        <f>IF($A411="","",SUMIFS($G$1:$G$349,$AS$1:$AS$349,$AS411,$C$1:$C$349,$C411))</f>
      </c>
      <c r="R411">
        <f>IF($A411="","",SUMIFS($H$1:$H$349,$AS$1:$AS$349,$AS411,$C$1:$C$349,$C411))</f>
      </c>
      <c r="S411">
        <f>IF($A411="","",SUMIFS($I$1:$I$349,$AS$1:$AS$349,$AS411,$C$1:$C$349,$C411))</f>
      </c>
      <c r="T411">
        <f>IF($A411="","",SUMIFS($G$1:$G$349,$AS$1:$AS$349,$AS411))</f>
      </c>
      <c r="U411">
        <f>IF($A411="","",SUMIFS($H$1:$H$349,$AS$1:$AS$349,$AS411))</f>
      </c>
      <c r="V411">
        <f>IF($A411="","",SUMIFS($I$1:$I$349,$AS$1:$AS$349,$AS411))</f>
      </c>
      <c r="W411">
        <f>IF($A411="","",Allocation!CD411)</f>
      </c>
      <c r="X411">
        <f>IF($A411="","",Allocation!CE411)</f>
      </c>
      <c r="Y411">
        <f>IF($A411="","",Allocation!CF411)</f>
      </c>
      <c r="Z411">
        <f>IF($A411="","",Allocation!CG411)</f>
      </c>
      <c r="AA411">
        <f>IF($A411="","",Allocation!CH411)</f>
      </c>
      <c r="AB411">
        <f>IF($A411="","",Allocation!CI411)</f>
      </c>
      <c r="AC411">
        <f>IF($A411="","",IF(Allocation!$N$4="VOL_EFF",$G411,IF(Allocation!$N$4="VOL_CLASS",$H411,$I411)))</f>
      </c>
      <c r="AD411">
        <f>IF($A411="","",IF(Allocation!$N$4="VOL_EFF",$L411,IF(Allocation!$N$4="VOL_CLASS",$M411,$N411)))</f>
      </c>
      <c r="AE411">
        <f>IF($A411="","",IF(Allocation!$N$3="VOL_EFF",$L411,IF(Allocation!$N$3="VOL_CLASS",$M411,$N411)))</f>
      </c>
      <c r="AF411">
        <f>IF($A411="","",IF(Allocation!$N$3="VOL_EFF",$Q411,IF(Allocation!$N$3="VOL_CLASS",$R411,$S411)))</f>
      </c>
      <c r="AG411">
        <f>IF($A411="","",IF(Allocation!$N$1="VOL_EFF",$Q411,IF(Allocation!$N$1="VOL_CLASS",$R411,$S411)))</f>
      </c>
      <c r="AH411">
        <f>IF($A411="","",IF(Allocation!$N$1="VOL_EFF",$T411,IF(Allocation!$N$1="VOL_CLASS",$U411,$V411)))</f>
      </c>
      <c r="AI411">
        <f>IF($A411="","",$W411*IFERROR($K411/$O411,0))</f>
      </c>
      <c r="AJ411">
        <f>IF($A411="","",$X411*IFERROR($K411/$O411,0))</f>
      </c>
      <c r="AK411">
        <f>IF($A411="","",$Y411*IFERROR($G411/$L411,0)+$Z411*IFERROR($J411/$P411,0))</f>
      </c>
      <c r="AL411">
        <f>IF($A411="","",$AA411*IFERROR($AC411/$AD411,0))</f>
      </c>
      <c r="AM411">
        <f>IF($A411="","",$AB411*IFERROR($AG411/$AH411,0)*IFERROR($AE411/$AF411,0)*IFERROR($AC411/$AD411,0))</f>
      </c>
      <c r="AN411">
        <f>IF($A411="","",$I411-($AI411+$AJ411+$AK411+$AL411+$AM411+$AR411))</f>
      </c>
      <c r="AO411">
        <f>IF($A411="","",Allocation!CJ411)</f>
      </c>
      <c r="AP411">
        <f>IF($A411="","",IF(Allocation!$N$2="VOL_EFF",$Q411,IF(Allocation!$N$2="VOL_CLASS",$R411,$S411)))</f>
      </c>
      <c r="AQ411">
        <f>IF($A411="","",IF(Allocation!$N$2="VOL_EFF",$T411,IF(Allocation!$N$2="VOL_CLASS",$U411,$V411)))</f>
      </c>
      <c r="AR411">
        <f>IF($A411="","",$AO411*IFERROR($AP411/$AQ411,0)*IFERROR($AE411/$AF411,0)*IFERROR($AC411/$AD411,0))</f>
      </c>
      <c r="AS411">
        <f>IF($A411="","",$A411&amp;"|"&amp;Allocation!BG411)</f>
      </c>
    </row>
    <row r="412" spans="1:45">
      <c r="A412">
        <f>IF(Allocation!BI412="","",Allocation!BI412)</f>
      </c>
      <c r="B412">
        <f>IF(Allocation!BJ412="","",Allocation!BJ412)</f>
      </c>
      <c r="C412">
        <f>IF(Allocation!BK412="","",Allocation!BK412)</f>
      </c>
      <c r="D412">
        <f>IF(Allocation!BL412="","",Allocation!BL412)</f>
      </c>
      <c r="E412">
        <f>IF(Allocation!BM412="","",Allocation!BM412)</f>
      </c>
      <c r="F412">
        <f>IF(Allocation!BN412="","",Allocation!BN412)</f>
      </c>
      <c r="G412">
        <f>IF(Allocation!BO412="","",Allocation!BO412)</f>
      </c>
      <c r="H412">
        <f>IF(Allocation!BP412="","",Allocation!BP412)</f>
      </c>
      <c r="I412">
        <f>IF(Allocation!BQ412="","",Allocation!BQ412)</f>
      </c>
      <c r="J412">
        <f>IF(Allocation!CC412="","",Allocation!CC412)</f>
      </c>
      <c r="K412">
        <f>IF($A412="","",$H412*IF(AND(LEFT($D412,3)="BAC",$F412="INIT"),600,IF(LEFT($D412,3)="BAC",480,IF(AND(LEFT($D412,3)="MAS",$F412="INIT"),520,IF(LEFT($D412,3)="MAS",420,IF($F412="INIT",1000,700))))))</f>
      </c>
      <c r="L412">
        <f>IF($A412="","",SUMIFS($G$1:$G$349,$AS$1:$AS$349,$AS412,$B$1:$B$349,$B412))</f>
      </c>
      <c r="M412">
        <f>IF($A412="","",SUMIFS($H$1:$H$349,$AS$1:$AS$349,$AS412,$B$1:$B$349,$B412))</f>
      </c>
      <c r="N412">
        <f>IF($A412="","",SUMIFS($I$1:$I$349,$AS$1:$AS$349,$AS412,$B$1:$B$349,$B412))</f>
      </c>
      <c r="O412">
        <f>IF($A412="","",SUMIFS($K$1:$K$349,$AS$1:$AS$349,$AS412,$B$1:$B$349,$B412))</f>
      </c>
      <c r="P412">
        <f>IF($A412="","",SUMIFS($J$1:$J$349,$AS$1:$AS$349,$AS412,$B$1:$B$349,$B412))</f>
      </c>
      <c r="Q412">
        <f>IF($A412="","",SUMIFS($G$1:$G$349,$AS$1:$AS$349,$AS412,$C$1:$C$349,$C412))</f>
      </c>
      <c r="R412">
        <f>IF($A412="","",SUMIFS($H$1:$H$349,$AS$1:$AS$349,$AS412,$C$1:$C$349,$C412))</f>
      </c>
      <c r="S412">
        <f>IF($A412="","",SUMIFS($I$1:$I$349,$AS$1:$AS$349,$AS412,$C$1:$C$349,$C412))</f>
      </c>
      <c r="T412">
        <f>IF($A412="","",SUMIFS($G$1:$G$349,$AS$1:$AS$349,$AS412))</f>
      </c>
      <c r="U412">
        <f>IF($A412="","",SUMIFS($H$1:$H$349,$AS$1:$AS$349,$AS412))</f>
      </c>
      <c r="V412">
        <f>IF($A412="","",SUMIFS($I$1:$I$349,$AS$1:$AS$349,$AS412))</f>
      </c>
      <c r="W412">
        <f>IF($A412="","",Allocation!CD412)</f>
      </c>
      <c r="X412">
        <f>IF($A412="","",Allocation!CE412)</f>
      </c>
      <c r="Y412">
        <f>IF($A412="","",Allocation!CF412)</f>
      </c>
      <c r="Z412">
        <f>IF($A412="","",Allocation!CG412)</f>
      </c>
      <c r="AA412">
        <f>IF($A412="","",Allocation!CH412)</f>
      </c>
      <c r="AB412">
        <f>IF($A412="","",Allocation!CI412)</f>
      </c>
      <c r="AC412">
        <f>IF($A412="","",IF(Allocation!$N$4="VOL_EFF",$G412,IF(Allocation!$N$4="VOL_CLASS",$H412,$I412)))</f>
      </c>
      <c r="AD412">
        <f>IF($A412="","",IF(Allocation!$N$4="VOL_EFF",$L412,IF(Allocation!$N$4="VOL_CLASS",$M412,$N412)))</f>
      </c>
      <c r="AE412">
        <f>IF($A412="","",IF(Allocation!$N$3="VOL_EFF",$L412,IF(Allocation!$N$3="VOL_CLASS",$M412,$N412)))</f>
      </c>
      <c r="AF412">
        <f>IF($A412="","",IF(Allocation!$N$3="VOL_EFF",$Q412,IF(Allocation!$N$3="VOL_CLASS",$R412,$S412)))</f>
      </c>
      <c r="AG412">
        <f>IF($A412="","",IF(Allocation!$N$1="VOL_EFF",$Q412,IF(Allocation!$N$1="VOL_CLASS",$R412,$S412)))</f>
      </c>
      <c r="AH412">
        <f>IF($A412="","",IF(Allocation!$N$1="VOL_EFF",$T412,IF(Allocation!$N$1="VOL_CLASS",$U412,$V412)))</f>
      </c>
      <c r="AI412">
        <f>IF($A412="","",$W412*IFERROR($K412/$O412,0))</f>
      </c>
      <c r="AJ412">
        <f>IF($A412="","",$X412*IFERROR($K412/$O412,0))</f>
      </c>
      <c r="AK412">
        <f>IF($A412="","",$Y412*IFERROR($G412/$L412,0)+$Z412*IFERROR($J412/$P412,0))</f>
      </c>
      <c r="AL412">
        <f>IF($A412="","",$AA412*IFERROR($AC412/$AD412,0))</f>
      </c>
      <c r="AM412">
        <f>IF($A412="","",$AB412*IFERROR($AG412/$AH412,0)*IFERROR($AE412/$AF412,0)*IFERROR($AC412/$AD412,0))</f>
      </c>
      <c r="AN412">
        <f>IF($A412="","",$I412-($AI412+$AJ412+$AK412+$AL412+$AM412+$AR412))</f>
      </c>
      <c r="AO412">
        <f>IF($A412="","",Allocation!CJ412)</f>
      </c>
      <c r="AP412">
        <f>IF($A412="","",IF(Allocation!$N$2="VOL_EFF",$Q412,IF(Allocation!$N$2="VOL_CLASS",$R412,$S412)))</f>
      </c>
      <c r="AQ412">
        <f>IF($A412="","",IF(Allocation!$N$2="VOL_EFF",$T412,IF(Allocation!$N$2="VOL_CLASS",$U412,$V412)))</f>
      </c>
      <c r="AR412">
        <f>IF($A412="","",$AO412*IFERROR($AP412/$AQ412,0)*IFERROR($AE412/$AF412,0)*IFERROR($AC412/$AD412,0))</f>
      </c>
      <c r="AS412">
        <f>IF($A412="","",$A412&amp;"|"&amp;Allocation!BG412)</f>
      </c>
    </row>
    <row r="413" spans="1:45">
      <c r="A413">
        <f>IF(Allocation!BI413="","",Allocation!BI413)</f>
      </c>
      <c r="B413">
        <f>IF(Allocation!BJ413="","",Allocation!BJ413)</f>
      </c>
      <c r="C413">
        <f>IF(Allocation!BK413="","",Allocation!BK413)</f>
      </c>
      <c r="D413">
        <f>IF(Allocation!BL413="","",Allocation!BL413)</f>
      </c>
      <c r="E413">
        <f>IF(Allocation!BM413="","",Allocation!BM413)</f>
      </c>
      <c r="F413">
        <f>IF(Allocation!BN413="","",Allocation!BN413)</f>
      </c>
      <c r="G413">
        <f>IF(Allocation!BO413="","",Allocation!BO413)</f>
      </c>
      <c r="H413">
        <f>IF(Allocation!BP413="","",Allocation!BP413)</f>
      </c>
      <c r="I413">
        <f>IF(Allocation!BQ413="","",Allocation!BQ413)</f>
      </c>
      <c r="J413">
        <f>IF(Allocation!CC413="","",Allocation!CC413)</f>
      </c>
      <c r="K413">
        <f>IF($A413="","",$H413*IF(AND(LEFT($D413,3)="BAC",$F413="INIT"),600,IF(LEFT($D413,3)="BAC",480,IF(AND(LEFT($D413,3)="MAS",$F413="INIT"),520,IF(LEFT($D413,3)="MAS",420,IF($F413="INIT",1000,700))))))</f>
      </c>
      <c r="L413">
        <f>IF($A413="","",SUMIFS($G$1:$G$349,$AS$1:$AS$349,$AS413,$B$1:$B$349,$B413))</f>
      </c>
      <c r="M413">
        <f>IF($A413="","",SUMIFS($H$1:$H$349,$AS$1:$AS$349,$AS413,$B$1:$B$349,$B413))</f>
      </c>
      <c r="N413">
        <f>IF($A413="","",SUMIFS($I$1:$I$349,$AS$1:$AS$349,$AS413,$B$1:$B$349,$B413))</f>
      </c>
      <c r="O413">
        <f>IF($A413="","",SUMIFS($K$1:$K$349,$AS$1:$AS$349,$AS413,$B$1:$B$349,$B413))</f>
      </c>
      <c r="P413">
        <f>IF($A413="","",SUMIFS($J$1:$J$349,$AS$1:$AS$349,$AS413,$B$1:$B$349,$B413))</f>
      </c>
      <c r="Q413">
        <f>IF($A413="","",SUMIFS($G$1:$G$349,$AS$1:$AS$349,$AS413,$C$1:$C$349,$C413))</f>
      </c>
      <c r="R413">
        <f>IF($A413="","",SUMIFS($H$1:$H$349,$AS$1:$AS$349,$AS413,$C$1:$C$349,$C413))</f>
      </c>
      <c r="S413">
        <f>IF($A413="","",SUMIFS($I$1:$I$349,$AS$1:$AS$349,$AS413,$C$1:$C$349,$C413))</f>
      </c>
      <c r="T413">
        <f>IF($A413="","",SUMIFS($G$1:$G$349,$AS$1:$AS$349,$AS413))</f>
      </c>
      <c r="U413">
        <f>IF($A413="","",SUMIFS($H$1:$H$349,$AS$1:$AS$349,$AS413))</f>
      </c>
      <c r="V413">
        <f>IF($A413="","",SUMIFS($I$1:$I$349,$AS$1:$AS$349,$AS413))</f>
      </c>
      <c r="W413">
        <f>IF($A413="","",Allocation!CD413)</f>
      </c>
      <c r="X413">
        <f>IF($A413="","",Allocation!CE413)</f>
      </c>
      <c r="Y413">
        <f>IF($A413="","",Allocation!CF413)</f>
      </c>
      <c r="Z413">
        <f>IF($A413="","",Allocation!CG413)</f>
      </c>
      <c r="AA413">
        <f>IF($A413="","",Allocation!CH413)</f>
      </c>
      <c r="AB413">
        <f>IF($A413="","",Allocation!CI413)</f>
      </c>
      <c r="AC413">
        <f>IF($A413="","",IF(Allocation!$N$4="VOL_EFF",$G413,IF(Allocation!$N$4="VOL_CLASS",$H413,$I413)))</f>
      </c>
      <c r="AD413">
        <f>IF($A413="","",IF(Allocation!$N$4="VOL_EFF",$L413,IF(Allocation!$N$4="VOL_CLASS",$M413,$N413)))</f>
      </c>
      <c r="AE413">
        <f>IF($A413="","",IF(Allocation!$N$3="VOL_EFF",$L413,IF(Allocation!$N$3="VOL_CLASS",$M413,$N413)))</f>
      </c>
      <c r="AF413">
        <f>IF($A413="","",IF(Allocation!$N$3="VOL_EFF",$Q413,IF(Allocation!$N$3="VOL_CLASS",$R413,$S413)))</f>
      </c>
      <c r="AG413">
        <f>IF($A413="","",IF(Allocation!$N$1="VOL_EFF",$Q413,IF(Allocation!$N$1="VOL_CLASS",$R413,$S413)))</f>
      </c>
      <c r="AH413">
        <f>IF($A413="","",IF(Allocation!$N$1="VOL_EFF",$T413,IF(Allocation!$N$1="VOL_CLASS",$U413,$V413)))</f>
      </c>
      <c r="AI413">
        <f>IF($A413="","",$W413*IFERROR($K413/$O413,0))</f>
      </c>
      <c r="AJ413">
        <f>IF($A413="","",$X413*IFERROR($K413/$O413,0))</f>
      </c>
      <c r="AK413">
        <f>IF($A413="","",$Y413*IFERROR($G413/$L413,0)+$Z413*IFERROR($J413/$P413,0))</f>
      </c>
      <c r="AL413">
        <f>IF($A413="","",$AA413*IFERROR($AC413/$AD413,0))</f>
      </c>
      <c r="AM413">
        <f>IF($A413="","",$AB413*IFERROR($AG413/$AH413,0)*IFERROR($AE413/$AF413,0)*IFERROR($AC413/$AD413,0))</f>
      </c>
      <c r="AN413">
        <f>IF($A413="","",$I413-($AI413+$AJ413+$AK413+$AL413+$AM413+$AR413))</f>
      </c>
      <c r="AO413">
        <f>IF($A413="","",Allocation!CJ413)</f>
      </c>
      <c r="AP413">
        <f>IF($A413="","",IF(Allocation!$N$2="VOL_EFF",$Q413,IF(Allocation!$N$2="VOL_CLASS",$R413,$S413)))</f>
      </c>
      <c r="AQ413">
        <f>IF($A413="","",IF(Allocation!$N$2="VOL_EFF",$T413,IF(Allocation!$N$2="VOL_CLASS",$U413,$V413)))</f>
      </c>
      <c r="AR413">
        <f>IF($A413="","",$AO413*IFERROR($AP413/$AQ413,0)*IFERROR($AE413/$AF413,0)*IFERROR($AC413/$AD413,0))</f>
      </c>
      <c r="AS413">
        <f>IF($A413="","",$A413&amp;"|"&amp;Allocation!BG413)</f>
      </c>
    </row>
    <row r="414" spans="1:45">
      <c r="A414">
        <f>IF(Allocation!BI414="","",Allocation!BI414)</f>
      </c>
      <c r="B414">
        <f>IF(Allocation!BJ414="","",Allocation!BJ414)</f>
      </c>
      <c r="C414">
        <f>IF(Allocation!BK414="","",Allocation!BK414)</f>
      </c>
      <c r="D414">
        <f>IF(Allocation!BL414="","",Allocation!BL414)</f>
      </c>
      <c r="E414">
        <f>IF(Allocation!BM414="","",Allocation!BM414)</f>
      </c>
      <c r="F414">
        <f>IF(Allocation!BN414="","",Allocation!BN414)</f>
      </c>
      <c r="G414">
        <f>IF(Allocation!BO414="","",Allocation!BO414)</f>
      </c>
      <c r="H414">
        <f>IF(Allocation!BP414="","",Allocation!BP414)</f>
      </c>
      <c r="I414">
        <f>IF(Allocation!BQ414="","",Allocation!BQ414)</f>
      </c>
      <c r="J414">
        <f>IF(Allocation!CC414="","",Allocation!CC414)</f>
      </c>
      <c r="K414">
        <f>IF($A414="","",$H414*IF(AND(LEFT($D414,3)="BAC",$F414="INIT"),600,IF(LEFT($D414,3)="BAC",480,IF(AND(LEFT($D414,3)="MAS",$F414="INIT"),520,IF(LEFT($D414,3)="MAS",420,IF($F414="INIT",1000,700))))))</f>
      </c>
      <c r="L414">
        <f>IF($A414="","",SUMIFS($G$1:$G$349,$AS$1:$AS$349,$AS414,$B$1:$B$349,$B414))</f>
      </c>
      <c r="M414">
        <f>IF($A414="","",SUMIFS($H$1:$H$349,$AS$1:$AS$349,$AS414,$B$1:$B$349,$B414))</f>
      </c>
      <c r="N414">
        <f>IF($A414="","",SUMIFS($I$1:$I$349,$AS$1:$AS$349,$AS414,$B$1:$B$349,$B414))</f>
      </c>
      <c r="O414">
        <f>IF($A414="","",SUMIFS($K$1:$K$349,$AS$1:$AS$349,$AS414,$B$1:$B$349,$B414))</f>
      </c>
      <c r="P414">
        <f>IF($A414="","",SUMIFS($J$1:$J$349,$AS$1:$AS$349,$AS414,$B$1:$B$349,$B414))</f>
      </c>
      <c r="Q414">
        <f>IF($A414="","",SUMIFS($G$1:$G$349,$AS$1:$AS$349,$AS414,$C$1:$C$349,$C414))</f>
      </c>
      <c r="R414">
        <f>IF($A414="","",SUMIFS($H$1:$H$349,$AS$1:$AS$349,$AS414,$C$1:$C$349,$C414))</f>
      </c>
      <c r="S414">
        <f>IF($A414="","",SUMIFS($I$1:$I$349,$AS$1:$AS$349,$AS414,$C$1:$C$349,$C414))</f>
      </c>
      <c r="T414">
        <f>IF($A414="","",SUMIFS($G$1:$G$349,$AS$1:$AS$349,$AS414))</f>
      </c>
      <c r="U414">
        <f>IF($A414="","",SUMIFS($H$1:$H$349,$AS$1:$AS$349,$AS414))</f>
      </c>
      <c r="V414">
        <f>IF($A414="","",SUMIFS($I$1:$I$349,$AS$1:$AS$349,$AS414))</f>
      </c>
      <c r="W414">
        <f>IF($A414="","",Allocation!CD414)</f>
      </c>
      <c r="X414">
        <f>IF($A414="","",Allocation!CE414)</f>
      </c>
      <c r="Y414">
        <f>IF($A414="","",Allocation!CF414)</f>
      </c>
      <c r="Z414">
        <f>IF($A414="","",Allocation!CG414)</f>
      </c>
      <c r="AA414">
        <f>IF($A414="","",Allocation!CH414)</f>
      </c>
      <c r="AB414">
        <f>IF($A414="","",Allocation!CI414)</f>
      </c>
      <c r="AC414">
        <f>IF($A414="","",IF(Allocation!$N$4="VOL_EFF",$G414,IF(Allocation!$N$4="VOL_CLASS",$H414,$I414)))</f>
      </c>
      <c r="AD414">
        <f>IF($A414="","",IF(Allocation!$N$4="VOL_EFF",$L414,IF(Allocation!$N$4="VOL_CLASS",$M414,$N414)))</f>
      </c>
      <c r="AE414">
        <f>IF($A414="","",IF(Allocation!$N$3="VOL_EFF",$L414,IF(Allocation!$N$3="VOL_CLASS",$M414,$N414)))</f>
      </c>
      <c r="AF414">
        <f>IF($A414="","",IF(Allocation!$N$3="VOL_EFF",$Q414,IF(Allocation!$N$3="VOL_CLASS",$R414,$S414)))</f>
      </c>
      <c r="AG414">
        <f>IF($A414="","",IF(Allocation!$N$1="VOL_EFF",$Q414,IF(Allocation!$N$1="VOL_CLASS",$R414,$S414)))</f>
      </c>
      <c r="AH414">
        <f>IF($A414="","",IF(Allocation!$N$1="VOL_EFF",$T414,IF(Allocation!$N$1="VOL_CLASS",$U414,$V414)))</f>
      </c>
      <c r="AI414">
        <f>IF($A414="","",$W414*IFERROR($K414/$O414,0))</f>
      </c>
      <c r="AJ414">
        <f>IF($A414="","",$X414*IFERROR($K414/$O414,0))</f>
      </c>
      <c r="AK414">
        <f>IF($A414="","",$Y414*IFERROR($G414/$L414,0)+$Z414*IFERROR($J414/$P414,0))</f>
      </c>
      <c r="AL414">
        <f>IF($A414="","",$AA414*IFERROR($AC414/$AD414,0))</f>
      </c>
      <c r="AM414">
        <f>IF($A414="","",$AB414*IFERROR($AG414/$AH414,0)*IFERROR($AE414/$AF414,0)*IFERROR($AC414/$AD414,0))</f>
      </c>
      <c r="AN414">
        <f>IF($A414="","",$I414-($AI414+$AJ414+$AK414+$AL414+$AM414+$AR414))</f>
      </c>
      <c r="AO414">
        <f>IF($A414="","",Allocation!CJ414)</f>
      </c>
      <c r="AP414">
        <f>IF($A414="","",IF(Allocation!$N$2="VOL_EFF",$Q414,IF(Allocation!$N$2="VOL_CLASS",$R414,$S414)))</f>
      </c>
      <c r="AQ414">
        <f>IF($A414="","",IF(Allocation!$N$2="VOL_EFF",$T414,IF(Allocation!$N$2="VOL_CLASS",$U414,$V414)))</f>
      </c>
      <c r="AR414">
        <f>IF($A414="","",$AO414*IFERROR($AP414/$AQ414,0)*IFERROR($AE414/$AF414,0)*IFERROR($AC414/$AD414,0))</f>
      </c>
      <c r="AS414">
        <f>IF($A414="","",$A414&amp;"|"&amp;Allocation!BG414)</f>
      </c>
    </row>
    <row r="415" spans="1:45">
      <c r="A415">
        <f>IF(Allocation!BI415="","",Allocation!BI415)</f>
      </c>
      <c r="B415">
        <f>IF(Allocation!BJ415="","",Allocation!BJ415)</f>
      </c>
      <c r="C415">
        <f>IF(Allocation!BK415="","",Allocation!BK415)</f>
      </c>
      <c r="D415">
        <f>IF(Allocation!BL415="","",Allocation!BL415)</f>
      </c>
      <c r="E415">
        <f>IF(Allocation!BM415="","",Allocation!BM415)</f>
      </c>
      <c r="F415">
        <f>IF(Allocation!BN415="","",Allocation!BN415)</f>
      </c>
      <c r="G415">
        <f>IF(Allocation!BO415="","",Allocation!BO415)</f>
      </c>
      <c r="H415">
        <f>IF(Allocation!BP415="","",Allocation!BP415)</f>
      </c>
      <c r="I415">
        <f>IF(Allocation!BQ415="","",Allocation!BQ415)</f>
      </c>
      <c r="J415">
        <f>IF(Allocation!CC415="","",Allocation!CC415)</f>
      </c>
      <c r="K415">
        <f>IF($A415="","",$H415*IF(AND(LEFT($D415,3)="BAC",$F415="INIT"),600,IF(LEFT($D415,3)="BAC",480,IF(AND(LEFT($D415,3)="MAS",$F415="INIT"),520,IF(LEFT($D415,3)="MAS",420,IF($F415="INIT",1000,700))))))</f>
      </c>
      <c r="L415">
        <f>IF($A415="","",SUMIFS($G$1:$G$349,$AS$1:$AS$349,$AS415,$B$1:$B$349,$B415))</f>
      </c>
      <c r="M415">
        <f>IF($A415="","",SUMIFS($H$1:$H$349,$AS$1:$AS$349,$AS415,$B$1:$B$349,$B415))</f>
      </c>
      <c r="N415">
        <f>IF($A415="","",SUMIFS($I$1:$I$349,$AS$1:$AS$349,$AS415,$B$1:$B$349,$B415))</f>
      </c>
      <c r="O415">
        <f>IF($A415="","",SUMIFS($K$1:$K$349,$AS$1:$AS$349,$AS415,$B$1:$B$349,$B415))</f>
      </c>
      <c r="P415">
        <f>IF($A415="","",SUMIFS($J$1:$J$349,$AS$1:$AS$349,$AS415,$B$1:$B$349,$B415))</f>
      </c>
      <c r="Q415">
        <f>IF($A415="","",SUMIFS($G$1:$G$349,$AS$1:$AS$349,$AS415,$C$1:$C$349,$C415))</f>
      </c>
      <c r="R415">
        <f>IF($A415="","",SUMIFS($H$1:$H$349,$AS$1:$AS$349,$AS415,$C$1:$C$349,$C415))</f>
      </c>
      <c r="S415">
        <f>IF($A415="","",SUMIFS($I$1:$I$349,$AS$1:$AS$349,$AS415,$C$1:$C$349,$C415))</f>
      </c>
      <c r="T415">
        <f>IF($A415="","",SUMIFS($G$1:$G$349,$AS$1:$AS$349,$AS415))</f>
      </c>
      <c r="U415">
        <f>IF($A415="","",SUMIFS($H$1:$H$349,$AS$1:$AS$349,$AS415))</f>
      </c>
      <c r="V415">
        <f>IF($A415="","",SUMIFS($I$1:$I$349,$AS$1:$AS$349,$AS415))</f>
      </c>
      <c r="W415">
        <f>IF($A415="","",Allocation!CD415)</f>
      </c>
      <c r="X415">
        <f>IF($A415="","",Allocation!CE415)</f>
      </c>
      <c r="Y415">
        <f>IF($A415="","",Allocation!CF415)</f>
      </c>
      <c r="Z415">
        <f>IF($A415="","",Allocation!CG415)</f>
      </c>
      <c r="AA415">
        <f>IF($A415="","",Allocation!CH415)</f>
      </c>
      <c r="AB415">
        <f>IF($A415="","",Allocation!CI415)</f>
      </c>
      <c r="AC415">
        <f>IF($A415="","",IF(Allocation!$N$4="VOL_EFF",$G415,IF(Allocation!$N$4="VOL_CLASS",$H415,$I415)))</f>
      </c>
      <c r="AD415">
        <f>IF($A415="","",IF(Allocation!$N$4="VOL_EFF",$L415,IF(Allocation!$N$4="VOL_CLASS",$M415,$N415)))</f>
      </c>
      <c r="AE415">
        <f>IF($A415="","",IF(Allocation!$N$3="VOL_EFF",$L415,IF(Allocation!$N$3="VOL_CLASS",$M415,$N415)))</f>
      </c>
      <c r="AF415">
        <f>IF($A415="","",IF(Allocation!$N$3="VOL_EFF",$Q415,IF(Allocation!$N$3="VOL_CLASS",$R415,$S415)))</f>
      </c>
      <c r="AG415">
        <f>IF($A415="","",IF(Allocation!$N$1="VOL_EFF",$Q415,IF(Allocation!$N$1="VOL_CLASS",$R415,$S415)))</f>
      </c>
      <c r="AH415">
        <f>IF($A415="","",IF(Allocation!$N$1="VOL_EFF",$T415,IF(Allocation!$N$1="VOL_CLASS",$U415,$V415)))</f>
      </c>
      <c r="AI415">
        <f>IF($A415="","",$W415*IFERROR($K415/$O415,0))</f>
      </c>
      <c r="AJ415">
        <f>IF($A415="","",$X415*IFERROR($K415/$O415,0))</f>
      </c>
      <c r="AK415">
        <f>IF($A415="","",$Y415*IFERROR($G415/$L415,0)+$Z415*IFERROR($J415/$P415,0))</f>
      </c>
      <c r="AL415">
        <f>IF($A415="","",$AA415*IFERROR($AC415/$AD415,0))</f>
      </c>
      <c r="AM415">
        <f>IF($A415="","",$AB415*IFERROR($AG415/$AH415,0)*IFERROR($AE415/$AF415,0)*IFERROR($AC415/$AD415,0))</f>
      </c>
      <c r="AN415">
        <f>IF($A415="","",$I415-($AI415+$AJ415+$AK415+$AL415+$AM415+$AR415))</f>
      </c>
      <c r="AO415">
        <f>IF($A415="","",Allocation!CJ415)</f>
      </c>
      <c r="AP415">
        <f>IF($A415="","",IF(Allocation!$N$2="VOL_EFF",$Q415,IF(Allocation!$N$2="VOL_CLASS",$R415,$S415)))</f>
      </c>
      <c r="AQ415">
        <f>IF($A415="","",IF(Allocation!$N$2="VOL_EFF",$T415,IF(Allocation!$N$2="VOL_CLASS",$U415,$V415)))</f>
      </c>
      <c r="AR415">
        <f>IF($A415="","",$AO415*IFERROR($AP415/$AQ415,0)*IFERROR($AE415/$AF415,0)*IFERROR($AC415/$AD415,0))</f>
      </c>
      <c r="AS415">
        <f>IF($A415="","",$A415&amp;"|"&amp;Allocation!BG415)</f>
      </c>
    </row>
    <row r="416" spans="1:45">
      <c r="A416">
        <f>IF(Allocation!BI416="","",Allocation!BI416)</f>
      </c>
      <c r="B416">
        <f>IF(Allocation!BJ416="","",Allocation!BJ416)</f>
      </c>
      <c r="C416">
        <f>IF(Allocation!BK416="","",Allocation!BK416)</f>
      </c>
      <c r="D416">
        <f>IF(Allocation!BL416="","",Allocation!BL416)</f>
      </c>
      <c r="E416">
        <f>IF(Allocation!BM416="","",Allocation!BM416)</f>
      </c>
      <c r="F416">
        <f>IF(Allocation!BN416="","",Allocation!BN416)</f>
      </c>
      <c r="G416">
        <f>IF(Allocation!BO416="","",Allocation!BO416)</f>
      </c>
      <c r="H416">
        <f>IF(Allocation!BP416="","",Allocation!BP416)</f>
      </c>
      <c r="I416">
        <f>IF(Allocation!BQ416="","",Allocation!BQ416)</f>
      </c>
      <c r="J416">
        <f>IF(Allocation!CC416="","",Allocation!CC416)</f>
      </c>
      <c r="K416">
        <f>IF($A416="","",$H416*IF(AND(LEFT($D416,3)="BAC",$F416="INIT"),600,IF(LEFT($D416,3)="BAC",480,IF(AND(LEFT($D416,3)="MAS",$F416="INIT"),520,IF(LEFT($D416,3)="MAS",420,IF($F416="INIT",1000,700))))))</f>
      </c>
      <c r="L416">
        <f>IF($A416="","",SUMIFS($G$1:$G$349,$AS$1:$AS$349,$AS416,$B$1:$B$349,$B416))</f>
      </c>
      <c r="M416">
        <f>IF($A416="","",SUMIFS($H$1:$H$349,$AS$1:$AS$349,$AS416,$B$1:$B$349,$B416))</f>
      </c>
      <c r="N416">
        <f>IF($A416="","",SUMIFS($I$1:$I$349,$AS$1:$AS$349,$AS416,$B$1:$B$349,$B416))</f>
      </c>
      <c r="O416">
        <f>IF($A416="","",SUMIFS($K$1:$K$349,$AS$1:$AS$349,$AS416,$B$1:$B$349,$B416))</f>
      </c>
      <c r="P416">
        <f>IF($A416="","",SUMIFS($J$1:$J$349,$AS$1:$AS$349,$AS416,$B$1:$B$349,$B416))</f>
      </c>
      <c r="Q416">
        <f>IF($A416="","",SUMIFS($G$1:$G$349,$AS$1:$AS$349,$AS416,$C$1:$C$349,$C416))</f>
      </c>
      <c r="R416">
        <f>IF($A416="","",SUMIFS($H$1:$H$349,$AS$1:$AS$349,$AS416,$C$1:$C$349,$C416))</f>
      </c>
      <c r="S416">
        <f>IF($A416="","",SUMIFS($I$1:$I$349,$AS$1:$AS$349,$AS416,$C$1:$C$349,$C416))</f>
      </c>
      <c r="T416">
        <f>IF($A416="","",SUMIFS($G$1:$G$349,$AS$1:$AS$349,$AS416))</f>
      </c>
      <c r="U416">
        <f>IF($A416="","",SUMIFS($H$1:$H$349,$AS$1:$AS$349,$AS416))</f>
      </c>
      <c r="V416">
        <f>IF($A416="","",SUMIFS($I$1:$I$349,$AS$1:$AS$349,$AS416))</f>
      </c>
      <c r="W416">
        <f>IF($A416="","",Allocation!CD416)</f>
      </c>
      <c r="X416">
        <f>IF($A416="","",Allocation!CE416)</f>
      </c>
      <c r="Y416">
        <f>IF($A416="","",Allocation!CF416)</f>
      </c>
      <c r="Z416">
        <f>IF($A416="","",Allocation!CG416)</f>
      </c>
      <c r="AA416">
        <f>IF($A416="","",Allocation!CH416)</f>
      </c>
      <c r="AB416">
        <f>IF($A416="","",Allocation!CI416)</f>
      </c>
      <c r="AC416">
        <f>IF($A416="","",IF(Allocation!$N$4="VOL_EFF",$G416,IF(Allocation!$N$4="VOL_CLASS",$H416,$I416)))</f>
      </c>
      <c r="AD416">
        <f>IF($A416="","",IF(Allocation!$N$4="VOL_EFF",$L416,IF(Allocation!$N$4="VOL_CLASS",$M416,$N416)))</f>
      </c>
      <c r="AE416">
        <f>IF($A416="","",IF(Allocation!$N$3="VOL_EFF",$L416,IF(Allocation!$N$3="VOL_CLASS",$M416,$N416)))</f>
      </c>
      <c r="AF416">
        <f>IF($A416="","",IF(Allocation!$N$3="VOL_EFF",$Q416,IF(Allocation!$N$3="VOL_CLASS",$R416,$S416)))</f>
      </c>
      <c r="AG416">
        <f>IF($A416="","",IF(Allocation!$N$1="VOL_EFF",$Q416,IF(Allocation!$N$1="VOL_CLASS",$R416,$S416)))</f>
      </c>
      <c r="AH416">
        <f>IF($A416="","",IF(Allocation!$N$1="VOL_EFF",$T416,IF(Allocation!$N$1="VOL_CLASS",$U416,$V416)))</f>
      </c>
      <c r="AI416">
        <f>IF($A416="","",$W416*IFERROR($K416/$O416,0))</f>
      </c>
      <c r="AJ416">
        <f>IF($A416="","",$X416*IFERROR($K416/$O416,0))</f>
      </c>
      <c r="AK416">
        <f>IF($A416="","",$Y416*IFERROR($G416/$L416,0)+$Z416*IFERROR($J416/$P416,0))</f>
      </c>
      <c r="AL416">
        <f>IF($A416="","",$AA416*IFERROR($AC416/$AD416,0))</f>
      </c>
      <c r="AM416">
        <f>IF($A416="","",$AB416*IFERROR($AG416/$AH416,0)*IFERROR($AE416/$AF416,0)*IFERROR($AC416/$AD416,0))</f>
      </c>
      <c r="AN416">
        <f>IF($A416="","",$I416-($AI416+$AJ416+$AK416+$AL416+$AM416+$AR416))</f>
      </c>
      <c r="AO416">
        <f>IF($A416="","",Allocation!CJ416)</f>
      </c>
      <c r="AP416">
        <f>IF($A416="","",IF(Allocation!$N$2="VOL_EFF",$Q416,IF(Allocation!$N$2="VOL_CLASS",$R416,$S416)))</f>
      </c>
      <c r="AQ416">
        <f>IF($A416="","",IF(Allocation!$N$2="VOL_EFF",$T416,IF(Allocation!$N$2="VOL_CLASS",$U416,$V416)))</f>
      </c>
      <c r="AR416">
        <f>IF($A416="","",$AO416*IFERROR($AP416/$AQ416,0)*IFERROR($AE416/$AF416,0)*IFERROR($AC416/$AD416,0))</f>
      </c>
      <c r="AS416">
        <f>IF($A416="","",$A416&amp;"|"&amp;Allocation!BG416)</f>
      </c>
    </row>
    <row r="417" spans="1:45">
      <c r="A417">
        <f>IF(Allocation!BI417="","",Allocation!BI417)</f>
      </c>
      <c r="B417">
        <f>IF(Allocation!BJ417="","",Allocation!BJ417)</f>
      </c>
      <c r="C417">
        <f>IF(Allocation!BK417="","",Allocation!BK417)</f>
      </c>
      <c r="D417">
        <f>IF(Allocation!BL417="","",Allocation!BL417)</f>
      </c>
      <c r="E417">
        <f>IF(Allocation!BM417="","",Allocation!BM417)</f>
      </c>
      <c r="F417">
        <f>IF(Allocation!BN417="","",Allocation!BN417)</f>
      </c>
      <c r="G417">
        <f>IF(Allocation!BO417="","",Allocation!BO417)</f>
      </c>
      <c r="H417">
        <f>IF(Allocation!BP417="","",Allocation!BP417)</f>
      </c>
      <c r="I417">
        <f>IF(Allocation!BQ417="","",Allocation!BQ417)</f>
      </c>
      <c r="J417">
        <f>IF(Allocation!CC417="","",Allocation!CC417)</f>
      </c>
      <c r="K417">
        <f>IF($A417="","",$H417*IF(AND(LEFT($D417,3)="BAC",$F417="INIT"),600,IF(LEFT($D417,3)="BAC",480,IF(AND(LEFT($D417,3)="MAS",$F417="INIT"),520,IF(LEFT($D417,3)="MAS",420,IF($F417="INIT",1000,700))))))</f>
      </c>
      <c r="L417">
        <f>IF($A417="","",SUMIFS($G$1:$G$349,$AS$1:$AS$349,$AS417,$B$1:$B$349,$B417))</f>
      </c>
      <c r="M417">
        <f>IF($A417="","",SUMIFS($H$1:$H$349,$AS$1:$AS$349,$AS417,$B$1:$B$349,$B417))</f>
      </c>
      <c r="N417">
        <f>IF($A417="","",SUMIFS($I$1:$I$349,$AS$1:$AS$349,$AS417,$B$1:$B$349,$B417))</f>
      </c>
      <c r="O417">
        <f>IF($A417="","",SUMIFS($K$1:$K$349,$AS$1:$AS$349,$AS417,$B$1:$B$349,$B417))</f>
      </c>
      <c r="P417">
        <f>IF($A417="","",SUMIFS($J$1:$J$349,$AS$1:$AS$349,$AS417,$B$1:$B$349,$B417))</f>
      </c>
      <c r="Q417">
        <f>IF($A417="","",SUMIFS($G$1:$G$349,$AS$1:$AS$349,$AS417,$C$1:$C$349,$C417))</f>
      </c>
      <c r="R417">
        <f>IF($A417="","",SUMIFS($H$1:$H$349,$AS$1:$AS$349,$AS417,$C$1:$C$349,$C417))</f>
      </c>
      <c r="S417">
        <f>IF($A417="","",SUMIFS($I$1:$I$349,$AS$1:$AS$349,$AS417,$C$1:$C$349,$C417))</f>
      </c>
      <c r="T417">
        <f>IF($A417="","",SUMIFS($G$1:$G$349,$AS$1:$AS$349,$AS417))</f>
      </c>
      <c r="U417">
        <f>IF($A417="","",SUMIFS($H$1:$H$349,$AS$1:$AS$349,$AS417))</f>
      </c>
      <c r="V417">
        <f>IF($A417="","",SUMIFS($I$1:$I$349,$AS$1:$AS$349,$AS417))</f>
      </c>
      <c r="W417">
        <f>IF($A417="","",Allocation!CD417)</f>
      </c>
      <c r="X417">
        <f>IF($A417="","",Allocation!CE417)</f>
      </c>
      <c r="Y417">
        <f>IF($A417="","",Allocation!CF417)</f>
      </c>
      <c r="Z417">
        <f>IF($A417="","",Allocation!CG417)</f>
      </c>
      <c r="AA417">
        <f>IF($A417="","",Allocation!CH417)</f>
      </c>
      <c r="AB417">
        <f>IF($A417="","",Allocation!CI417)</f>
      </c>
      <c r="AC417">
        <f>IF($A417="","",IF(Allocation!$N$4="VOL_EFF",$G417,IF(Allocation!$N$4="VOL_CLASS",$H417,$I417)))</f>
      </c>
      <c r="AD417">
        <f>IF($A417="","",IF(Allocation!$N$4="VOL_EFF",$L417,IF(Allocation!$N$4="VOL_CLASS",$M417,$N417)))</f>
      </c>
      <c r="AE417">
        <f>IF($A417="","",IF(Allocation!$N$3="VOL_EFF",$L417,IF(Allocation!$N$3="VOL_CLASS",$M417,$N417)))</f>
      </c>
      <c r="AF417">
        <f>IF($A417="","",IF(Allocation!$N$3="VOL_EFF",$Q417,IF(Allocation!$N$3="VOL_CLASS",$R417,$S417)))</f>
      </c>
      <c r="AG417">
        <f>IF($A417="","",IF(Allocation!$N$1="VOL_EFF",$Q417,IF(Allocation!$N$1="VOL_CLASS",$R417,$S417)))</f>
      </c>
      <c r="AH417">
        <f>IF($A417="","",IF(Allocation!$N$1="VOL_EFF",$T417,IF(Allocation!$N$1="VOL_CLASS",$U417,$V417)))</f>
      </c>
      <c r="AI417">
        <f>IF($A417="","",$W417*IFERROR($K417/$O417,0))</f>
      </c>
      <c r="AJ417">
        <f>IF($A417="","",$X417*IFERROR($K417/$O417,0))</f>
      </c>
      <c r="AK417">
        <f>IF($A417="","",$Y417*IFERROR($G417/$L417,0)+$Z417*IFERROR($J417/$P417,0))</f>
      </c>
      <c r="AL417">
        <f>IF($A417="","",$AA417*IFERROR($AC417/$AD417,0))</f>
      </c>
      <c r="AM417">
        <f>IF($A417="","",$AB417*IFERROR($AG417/$AH417,0)*IFERROR($AE417/$AF417,0)*IFERROR($AC417/$AD417,0))</f>
      </c>
      <c r="AN417">
        <f>IF($A417="","",$I417-($AI417+$AJ417+$AK417+$AL417+$AM417+$AR417))</f>
      </c>
      <c r="AO417">
        <f>IF($A417="","",Allocation!CJ417)</f>
      </c>
      <c r="AP417">
        <f>IF($A417="","",IF(Allocation!$N$2="VOL_EFF",$Q417,IF(Allocation!$N$2="VOL_CLASS",$R417,$S417)))</f>
      </c>
      <c r="AQ417">
        <f>IF($A417="","",IF(Allocation!$N$2="VOL_EFF",$T417,IF(Allocation!$N$2="VOL_CLASS",$U417,$V417)))</f>
      </c>
      <c r="AR417">
        <f>IF($A417="","",$AO417*IFERROR($AP417/$AQ417,0)*IFERROR($AE417/$AF417,0)*IFERROR($AC417/$AD417,0))</f>
      </c>
      <c r="AS417">
        <f>IF($A417="","",$A417&amp;"|"&amp;Allocation!BG417)</f>
      </c>
    </row>
    <row r="418" spans="1:45">
      <c r="A418">
        <f>IF(Allocation!BI418="","",Allocation!BI418)</f>
      </c>
      <c r="B418">
        <f>IF(Allocation!BJ418="","",Allocation!BJ418)</f>
      </c>
      <c r="C418">
        <f>IF(Allocation!BK418="","",Allocation!BK418)</f>
      </c>
      <c r="D418">
        <f>IF(Allocation!BL418="","",Allocation!BL418)</f>
      </c>
      <c r="E418">
        <f>IF(Allocation!BM418="","",Allocation!BM418)</f>
      </c>
      <c r="F418">
        <f>IF(Allocation!BN418="","",Allocation!BN418)</f>
      </c>
      <c r="G418">
        <f>IF(Allocation!BO418="","",Allocation!BO418)</f>
      </c>
      <c r="H418">
        <f>IF(Allocation!BP418="","",Allocation!BP418)</f>
      </c>
      <c r="I418">
        <f>IF(Allocation!BQ418="","",Allocation!BQ418)</f>
      </c>
      <c r="J418">
        <f>IF(Allocation!CC418="","",Allocation!CC418)</f>
      </c>
      <c r="K418">
        <f>IF($A418="","",$H418*IF(AND(LEFT($D418,3)="BAC",$F418="INIT"),600,IF(LEFT($D418,3)="BAC",480,IF(AND(LEFT($D418,3)="MAS",$F418="INIT"),520,IF(LEFT($D418,3)="MAS",420,IF($F418="INIT",1000,700))))))</f>
      </c>
      <c r="L418">
        <f>IF($A418="","",SUMIFS($G$1:$G$349,$AS$1:$AS$349,$AS418,$B$1:$B$349,$B418))</f>
      </c>
      <c r="M418">
        <f>IF($A418="","",SUMIFS($H$1:$H$349,$AS$1:$AS$349,$AS418,$B$1:$B$349,$B418))</f>
      </c>
      <c r="N418">
        <f>IF($A418="","",SUMIFS($I$1:$I$349,$AS$1:$AS$349,$AS418,$B$1:$B$349,$B418))</f>
      </c>
      <c r="O418">
        <f>IF($A418="","",SUMIFS($K$1:$K$349,$AS$1:$AS$349,$AS418,$B$1:$B$349,$B418))</f>
      </c>
      <c r="P418">
        <f>IF($A418="","",SUMIFS($J$1:$J$349,$AS$1:$AS$349,$AS418,$B$1:$B$349,$B418))</f>
      </c>
      <c r="Q418">
        <f>IF($A418="","",SUMIFS($G$1:$G$349,$AS$1:$AS$349,$AS418,$C$1:$C$349,$C418))</f>
      </c>
      <c r="R418">
        <f>IF($A418="","",SUMIFS($H$1:$H$349,$AS$1:$AS$349,$AS418,$C$1:$C$349,$C418))</f>
      </c>
      <c r="S418">
        <f>IF($A418="","",SUMIFS($I$1:$I$349,$AS$1:$AS$349,$AS418,$C$1:$C$349,$C418))</f>
      </c>
      <c r="T418">
        <f>IF($A418="","",SUMIFS($G$1:$G$349,$AS$1:$AS$349,$AS418))</f>
      </c>
      <c r="U418">
        <f>IF($A418="","",SUMIFS($H$1:$H$349,$AS$1:$AS$349,$AS418))</f>
      </c>
      <c r="V418">
        <f>IF($A418="","",SUMIFS($I$1:$I$349,$AS$1:$AS$349,$AS418))</f>
      </c>
      <c r="W418">
        <f>IF($A418="","",Allocation!CD418)</f>
      </c>
      <c r="X418">
        <f>IF($A418="","",Allocation!CE418)</f>
      </c>
      <c r="Y418">
        <f>IF($A418="","",Allocation!CF418)</f>
      </c>
      <c r="Z418">
        <f>IF($A418="","",Allocation!CG418)</f>
      </c>
      <c r="AA418">
        <f>IF($A418="","",Allocation!CH418)</f>
      </c>
      <c r="AB418">
        <f>IF($A418="","",Allocation!CI418)</f>
      </c>
      <c r="AC418">
        <f>IF($A418="","",IF(Allocation!$N$4="VOL_EFF",$G418,IF(Allocation!$N$4="VOL_CLASS",$H418,$I418)))</f>
      </c>
      <c r="AD418">
        <f>IF($A418="","",IF(Allocation!$N$4="VOL_EFF",$L418,IF(Allocation!$N$4="VOL_CLASS",$M418,$N418)))</f>
      </c>
      <c r="AE418">
        <f>IF($A418="","",IF(Allocation!$N$3="VOL_EFF",$L418,IF(Allocation!$N$3="VOL_CLASS",$M418,$N418)))</f>
      </c>
      <c r="AF418">
        <f>IF($A418="","",IF(Allocation!$N$3="VOL_EFF",$Q418,IF(Allocation!$N$3="VOL_CLASS",$R418,$S418)))</f>
      </c>
      <c r="AG418">
        <f>IF($A418="","",IF(Allocation!$N$1="VOL_EFF",$Q418,IF(Allocation!$N$1="VOL_CLASS",$R418,$S418)))</f>
      </c>
      <c r="AH418">
        <f>IF($A418="","",IF(Allocation!$N$1="VOL_EFF",$T418,IF(Allocation!$N$1="VOL_CLASS",$U418,$V418)))</f>
      </c>
      <c r="AI418">
        <f>IF($A418="","",$W418*IFERROR($K418/$O418,0))</f>
      </c>
      <c r="AJ418">
        <f>IF($A418="","",$X418*IFERROR($K418/$O418,0))</f>
      </c>
      <c r="AK418">
        <f>IF($A418="","",$Y418*IFERROR($G418/$L418,0)+$Z418*IFERROR($J418/$P418,0))</f>
      </c>
      <c r="AL418">
        <f>IF($A418="","",$AA418*IFERROR($AC418/$AD418,0))</f>
      </c>
      <c r="AM418">
        <f>IF($A418="","",$AB418*IFERROR($AG418/$AH418,0)*IFERROR($AE418/$AF418,0)*IFERROR($AC418/$AD418,0))</f>
      </c>
      <c r="AN418">
        <f>IF($A418="","",$I418-($AI418+$AJ418+$AK418+$AL418+$AM418+$AR418))</f>
      </c>
      <c r="AO418">
        <f>IF($A418="","",Allocation!CJ418)</f>
      </c>
      <c r="AP418">
        <f>IF($A418="","",IF(Allocation!$N$2="VOL_EFF",$Q418,IF(Allocation!$N$2="VOL_CLASS",$R418,$S418)))</f>
      </c>
      <c r="AQ418">
        <f>IF($A418="","",IF(Allocation!$N$2="VOL_EFF",$T418,IF(Allocation!$N$2="VOL_CLASS",$U418,$V418)))</f>
      </c>
      <c r="AR418">
        <f>IF($A418="","",$AO418*IFERROR($AP418/$AQ418,0)*IFERROR($AE418/$AF418,0)*IFERROR($AC418/$AD418,0))</f>
      </c>
      <c r="AS418">
        <f>IF($A418="","",$A418&amp;"|"&amp;Allocation!BG418)</f>
      </c>
    </row>
    <row r="419" spans="1:45">
      <c r="A419">
        <f>IF(Allocation!BI419="","",Allocation!BI419)</f>
      </c>
      <c r="B419">
        <f>IF(Allocation!BJ419="","",Allocation!BJ419)</f>
      </c>
      <c r="C419">
        <f>IF(Allocation!BK419="","",Allocation!BK419)</f>
      </c>
      <c r="D419">
        <f>IF(Allocation!BL419="","",Allocation!BL419)</f>
      </c>
      <c r="E419">
        <f>IF(Allocation!BM419="","",Allocation!BM419)</f>
      </c>
      <c r="F419">
        <f>IF(Allocation!BN419="","",Allocation!BN419)</f>
      </c>
      <c r="G419">
        <f>IF(Allocation!BO419="","",Allocation!BO419)</f>
      </c>
      <c r="H419">
        <f>IF(Allocation!BP419="","",Allocation!BP419)</f>
      </c>
      <c r="I419">
        <f>IF(Allocation!BQ419="","",Allocation!BQ419)</f>
      </c>
      <c r="J419">
        <f>IF(Allocation!CC419="","",Allocation!CC419)</f>
      </c>
      <c r="K419">
        <f>IF($A419="","",$H419*IF(AND(LEFT($D419,3)="BAC",$F419="INIT"),600,IF(LEFT($D419,3)="BAC",480,IF(AND(LEFT($D419,3)="MAS",$F419="INIT"),520,IF(LEFT($D419,3)="MAS",420,IF($F419="INIT",1000,700))))))</f>
      </c>
      <c r="L419">
        <f>IF($A419="","",SUMIFS($G$1:$G$349,$AS$1:$AS$349,$AS419,$B$1:$B$349,$B419))</f>
      </c>
      <c r="M419">
        <f>IF($A419="","",SUMIFS($H$1:$H$349,$AS$1:$AS$349,$AS419,$B$1:$B$349,$B419))</f>
      </c>
      <c r="N419">
        <f>IF($A419="","",SUMIFS($I$1:$I$349,$AS$1:$AS$349,$AS419,$B$1:$B$349,$B419))</f>
      </c>
      <c r="O419">
        <f>IF($A419="","",SUMIFS($K$1:$K$349,$AS$1:$AS$349,$AS419,$B$1:$B$349,$B419))</f>
      </c>
      <c r="P419">
        <f>IF($A419="","",SUMIFS($J$1:$J$349,$AS$1:$AS$349,$AS419,$B$1:$B$349,$B419))</f>
      </c>
      <c r="Q419">
        <f>IF($A419="","",SUMIFS($G$1:$G$349,$AS$1:$AS$349,$AS419,$C$1:$C$349,$C419))</f>
      </c>
      <c r="R419">
        <f>IF($A419="","",SUMIFS($H$1:$H$349,$AS$1:$AS$349,$AS419,$C$1:$C$349,$C419))</f>
      </c>
      <c r="S419">
        <f>IF($A419="","",SUMIFS($I$1:$I$349,$AS$1:$AS$349,$AS419,$C$1:$C$349,$C419))</f>
      </c>
      <c r="T419">
        <f>IF($A419="","",SUMIFS($G$1:$G$349,$AS$1:$AS$349,$AS419))</f>
      </c>
      <c r="U419">
        <f>IF($A419="","",SUMIFS($H$1:$H$349,$AS$1:$AS$349,$AS419))</f>
      </c>
      <c r="V419">
        <f>IF($A419="","",SUMIFS($I$1:$I$349,$AS$1:$AS$349,$AS419))</f>
      </c>
      <c r="W419">
        <f>IF($A419="","",Allocation!CD419)</f>
      </c>
      <c r="X419">
        <f>IF($A419="","",Allocation!CE419)</f>
      </c>
      <c r="Y419">
        <f>IF($A419="","",Allocation!CF419)</f>
      </c>
      <c r="Z419">
        <f>IF($A419="","",Allocation!CG419)</f>
      </c>
      <c r="AA419">
        <f>IF($A419="","",Allocation!CH419)</f>
      </c>
      <c r="AB419">
        <f>IF($A419="","",Allocation!CI419)</f>
      </c>
      <c r="AC419">
        <f>IF($A419="","",IF(Allocation!$N$4="VOL_EFF",$G419,IF(Allocation!$N$4="VOL_CLASS",$H419,$I419)))</f>
      </c>
      <c r="AD419">
        <f>IF($A419="","",IF(Allocation!$N$4="VOL_EFF",$L419,IF(Allocation!$N$4="VOL_CLASS",$M419,$N419)))</f>
      </c>
      <c r="AE419">
        <f>IF($A419="","",IF(Allocation!$N$3="VOL_EFF",$L419,IF(Allocation!$N$3="VOL_CLASS",$M419,$N419)))</f>
      </c>
      <c r="AF419">
        <f>IF($A419="","",IF(Allocation!$N$3="VOL_EFF",$Q419,IF(Allocation!$N$3="VOL_CLASS",$R419,$S419)))</f>
      </c>
      <c r="AG419">
        <f>IF($A419="","",IF(Allocation!$N$1="VOL_EFF",$Q419,IF(Allocation!$N$1="VOL_CLASS",$R419,$S419)))</f>
      </c>
      <c r="AH419">
        <f>IF($A419="","",IF(Allocation!$N$1="VOL_EFF",$T419,IF(Allocation!$N$1="VOL_CLASS",$U419,$V419)))</f>
      </c>
      <c r="AI419">
        <f>IF($A419="","",$W419*IFERROR($K419/$O419,0))</f>
      </c>
      <c r="AJ419">
        <f>IF($A419="","",$X419*IFERROR($K419/$O419,0))</f>
      </c>
      <c r="AK419">
        <f>IF($A419="","",$Y419*IFERROR($G419/$L419,0)+$Z419*IFERROR($J419/$P419,0))</f>
      </c>
      <c r="AL419">
        <f>IF($A419="","",$AA419*IFERROR($AC419/$AD419,0))</f>
      </c>
      <c r="AM419">
        <f>IF($A419="","",$AB419*IFERROR($AG419/$AH419,0)*IFERROR($AE419/$AF419,0)*IFERROR($AC419/$AD419,0))</f>
      </c>
      <c r="AN419">
        <f>IF($A419="","",$I419-($AI419+$AJ419+$AK419+$AL419+$AM419+$AR419))</f>
      </c>
      <c r="AO419">
        <f>IF($A419="","",Allocation!CJ419)</f>
      </c>
      <c r="AP419">
        <f>IF($A419="","",IF(Allocation!$N$2="VOL_EFF",$Q419,IF(Allocation!$N$2="VOL_CLASS",$R419,$S419)))</f>
      </c>
      <c r="AQ419">
        <f>IF($A419="","",IF(Allocation!$N$2="VOL_EFF",$T419,IF(Allocation!$N$2="VOL_CLASS",$U419,$V419)))</f>
      </c>
      <c r="AR419">
        <f>IF($A419="","",$AO419*IFERROR($AP419/$AQ419,0)*IFERROR($AE419/$AF419,0)*IFERROR($AC419/$AD419,0))</f>
      </c>
      <c r="AS419">
        <f>IF($A419="","",$A419&amp;"|"&amp;Allocation!BG419)</f>
      </c>
    </row>
    <row r="420" spans="1:45">
      <c r="A420">
        <f>IF(Allocation!BI420="","",Allocation!BI420)</f>
      </c>
      <c r="B420">
        <f>IF(Allocation!BJ420="","",Allocation!BJ420)</f>
      </c>
      <c r="C420">
        <f>IF(Allocation!BK420="","",Allocation!BK420)</f>
      </c>
      <c r="D420">
        <f>IF(Allocation!BL420="","",Allocation!BL420)</f>
      </c>
      <c r="E420">
        <f>IF(Allocation!BM420="","",Allocation!BM420)</f>
      </c>
      <c r="F420">
        <f>IF(Allocation!BN420="","",Allocation!BN420)</f>
      </c>
      <c r="G420">
        <f>IF(Allocation!BO420="","",Allocation!BO420)</f>
      </c>
      <c r="H420">
        <f>IF(Allocation!BP420="","",Allocation!BP420)</f>
      </c>
      <c r="I420">
        <f>IF(Allocation!BQ420="","",Allocation!BQ420)</f>
      </c>
      <c r="J420">
        <f>IF(Allocation!CC420="","",Allocation!CC420)</f>
      </c>
      <c r="K420">
        <f>IF($A420="","",$H420*IF(AND(LEFT($D420,3)="BAC",$F420="INIT"),600,IF(LEFT($D420,3)="BAC",480,IF(AND(LEFT($D420,3)="MAS",$F420="INIT"),520,IF(LEFT($D420,3)="MAS",420,IF($F420="INIT",1000,700))))))</f>
      </c>
      <c r="L420">
        <f>IF($A420="","",SUMIFS($G$1:$G$349,$AS$1:$AS$349,$AS420,$B$1:$B$349,$B420))</f>
      </c>
      <c r="M420">
        <f>IF($A420="","",SUMIFS($H$1:$H$349,$AS$1:$AS$349,$AS420,$B$1:$B$349,$B420))</f>
      </c>
      <c r="N420">
        <f>IF($A420="","",SUMIFS($I$1:$I$349,$AS$1:$AS$349,$AS420,$B$1:$B$349,$B420))</f>
      </c>
      <c r="O420">
        <f>IF($A420="","",SUMIFS($K$1:$K$349,$AS$1:$AS$349,$AS420,$B$1:$B$349,$B420))</f>
      </c>
      <c r="P420">
        <f>IF($A420="","",SUMIFS($J$1:$J$349,$AS$1:$AS$349,$AS420,$B$1:$B$349,$B420))</f>
      </c>
      <c r="Q420">
        <f>IF($A420="","",SUMIFS($G$1:$G$349,$AS$1:$AS$349,$AS420,$C$1:$C$349,$C420))</f>
      </c>
      <c r="R420">
        <f>IF($A420="","",SUMIFS($H$1:$H$349,$AS$1:$AS$349,$AS420,$C$1:$C$349,$C420))</f>
      </c>
      <c r="S420">
        <f>IF($A420="","",SUMIFS($I$1:$I$349,$AS$1:$AS$349,$AS420,$C$1:$C$349,$C420))</f>
      </c>
      <c r="T420">
        <f>IF($A420="","",SUMIFS($G$1:$G$349,$AS$1:$AS$349,$AS420))</f>
      </c>
      <c r="U420">
        <f>IF($A420="","",SUMIFS($H$1:$H$349,$AS$1:$AS$349,$AS420))</f>
      </c>
      <c r="V420">
        <f>IF($A420="","",SUMIFS($I$1:$I$349,$AS$1:$AS$349,$AS420))</f>
      </c>
      <c r="W420">
        <f>IF($A420="","",Allocation!CD420)</f>
      </c>
      <c r="X420">
        <f>IF($A420="","",Allocation!CE420)</f>
      </c>
      <c r="Y420">
        <f>IF($A420="","",Allocation!CF420)</f>
      </c>
      <c r="Z420">
        <f>IF($A420="","",Allocation!CG420)</f>
      </c>
      <c r="AA420">
        <f>IF($A420="","",Allocation!CH420)</f>
      </c>
      <c r="AB420">
        <f>IF($A420="","",Allocation!CI420)</f>
      </c>
      <c r="AC420">
        <f>IF($A420="","",IF(Allocation!$N$4="VOL_EFF",$G420,IF(Allocation!$N$4="VOL_CLASS",$H420,$I420)))</f>
      </c>
      <c r="AD420">
        <f>IF($A420="","",IF(Allocation!$N$4="VOL_EFF",$L420,IF(Allocation!$N$4="VOL_CLASS",$M420,$N420)))</f>
      </c>
      <c r="AE420">
        <f>IF($A420="","",IF(Allocation!$N$3="VOL_EFF",$L420,IF(Allocation!$N$3="VOL_CLASS",$M420,$N420)))</f>
      </c>
      <c r="AF420">
        <f>IF($A420="","",IF(Allocation!$N$3="VOL_EFF",$Q420,IF(Allocation!$N$3="VOL_CLASS",$R420,$S420)))</f>
      </c>
      <c r="AG420">
        <f>IF($A420="","",IF(Allocation!$N$1="VOL_EFF",$Q420,IF(Allocation!$N$1="VOL_CLASS",$R420,$S420)))</f>
      </c>
      <c r="AH420">
        <f>IF($A420="","",IF(Allocation!$N$1="VOL_EFF",$T420,IF(Allocation!$N$1="VOL_CLASS",$U420,$V420)))</f>
      </c>
      <c r="AI420">
        <f>IF($A420="","",$W420*IFERROR($K420/$O420,0))</f>
      </c>
      <c r="AJ420">
        <f>IF($A420="","",$X420*IFERROR($K420/$O420,0))</f>
      </c>
      <c r="AK420">
        <f>IF($A420="","",$Y420*IFERROR($G420/$L420,0)+$Z420*IFERROR($J420/$P420,0))</f>
      </c>
      <c r="AL420">
        <f>IF($A420="","",$AA420*IFERROR($AC420/$AD420,0))</f>
      </c>
      <c r="AM420">
        <f>IF($A420="","",$AB420*IFERROR($AG420/$AH420,0)*IFERROR($AE420/$AF420,0)*IFERROR($AC420/$AD420,0))</f>
      </c>
      <c r="AN420">
        <f>IF($A420="","",$I420-($AI420+$AJ420+$AK420+$AL420+$AM420+$AR420))</f>
      </c>
      <c r="AO420">
        <f>IF($A420="","",Allocation!CJ420)</f>
      </c>
      <c r="AP420">
        <f>IF($A420="","",IF(Allocation!$N$2="VOL_EFF",$Q420,IF(Allocation!$N$2="VOL_CLASS",$R420,$S420)))</f>
      </c>
      <c r="AQ420">
        <f>IF($A420="","",IF(Allocation!$N$2="VOL_EFF",$T420,IF(Allocation!$N$2="VOL_CLASS",$U420,$V420)))</f>
      </c>
      <c r="AR420">
        <f>IF($A420="","",$AO420*IFERROR($AP420/$AQ420,0)*IFERROR($AE420/$AF420,0)*IFERROR($AC420/$AD420,0))</f>
      </c>
      <c r="AS420">
        <f>IF($A420="","",$A420&amp;"|"&amp;Allocation!BG420)</f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<?xml version="1.0" encoding="utf-8"?>
<easyPacket version="1.0">
  <header version="35.0.0.6.tgk.20260209140819"/>
  <data>
    <be refId="0" clsId="MultiTemplateReportVO">
      <s key="code">ALLOC</s>
      <a key="desc" refId="1" ln="4" eid="SYS_STR">
        <s>Allocation</s>
        <s/>
        <s/>
        <s/>
      </a>
      <be key="options" refId="2" clsId="OpzioniProspetto">
        <b key="lockSheets">N</b>
        <s key="separator"> - </s>
        <i key="elabType">2</i>
        <i key="saveType">2</i>
        <i key="runElabType">2</i>
        <b key="enableSaveZeroValues">N</b>
        <b key="enableLogData">N</b>
        <b key="refreshAfterSave">N</b>
        <b key="closeFormOnSave">N</b>
        <b key="drillOnlyOnUsedDims">N</b>
        <b key="forceExportReport">N</b>
        <i key="colorEditRGB">13434879</i>
        <i key="colorProtectedRGB">16777164</i>
        <i key="colorIRGB">13434828</i>
        <i key="colorEditTransactionCurencyRGB">13434879</i>
        <e key="parallelizeWhat" refId="3" id="ParallWhatEnum">C</e>
        <b key="sheetNamesWithCode">N</b>
        <b key="eventsWithUnlockedSheets">N</b>
        <e key="includeTemplateInSheetName" refId="4" id="IncludeTemplateInSheetNameEnum">0</e>
        <b key="enableDrillDown">S</b>
        <u key="expControlloThreshold">1E-09</u>
        <b key="disableTGKFunctions">N</b>
        <e key="validateTransactional" refId="5" id="ValidateTransactionalEnum">C</e>
        <e key="disableLock" refId="6" id="DisableLockEnum">C</e>
        <e key="headManipPosition" refId="7" id="HeaderManipulatorPositionEnum">A</e>
        <e key="repEngine" refId="8" id="RepEngineEnum">CFG</e>
        <i key="grainSize">1000</i>
        <i key="dataLoadPSize">4</i>
        <i key="dataProcPSize">6</i>
        <b key="disableDataSaving">N</b>
      </be>
      <m key="templates" refId="9" keid="SYS_STR" veid="Reporting.com.tagetik.report.IReportTemplateVO,Reporting">
        <key>
          <s>Template09</s>
        </key>
        <val>
          <be refId="10" clsId="ReportTemplateVO">
            <s key="code">Template09</s>
            <s key="desc">Allocation</s>
            <m key="matrices" refId="11" keid="SYS_STR" veid="Reporting.com.tagetik.tables.IMatrixPositionBlockVO,Reporting">
              <key>
                <s>Matrix00 copy00</s>
              </key>
              <val>
                <be refId="12" clsId="MatrixPositionBlockVO">
                  <s key="positionID">Matrix00 copy00</s>
                  <be key="rows" refId="13" clsId="FilterNode">
                    <l key="dimensionOids" refId="14" ln="0" eid="DimensionOid"/>
                    <l key="AdHocParamDimensionOids" refId="15" ln="0" eid="DimensionOid"/>
                    <be key="data" refId="16" clsId="FilterNodeData">
                      <ref key="filterNode" refId="13"/>
                      <i key="segmentLevel">0</i>
                      <e key="segment" refId="17" id="SegmentEnum">CF</e>
                      <b key="placeHolder">N</b>
                      <e key="weight" refId="18" id="WeightEnum">S</e>
                      <be key="textMatchingCondition" refId="19" clsId="TextMatchingCondition">
                        <e key="op" refId="20" id="ComparisonOperatorEnum">=</e>
                        <s key="val"/>
                      </be>
                      <e key="change" refId="21" id="ChangeEnum">CHG_CF</e>
                      <e key="dataType" refId="22" id="DataType">TYPE_U</e>
                      <b key="prevailingDataType">N</b>
                      <e key="editability" refId="23" id="EditableEnum">X</e>
                      <b key="signChange">N</b>
                      <b key="nativeSignChange">N</b>
                      <i key="sco">0</i>
                      <b key="applyFiltersForForcedScenarioPeriodoMap">N</b>
                      <b key="lineSplit">N</b>
                      <b key="addRCRow">N</b>
                      <b key="complementary">N</b>
                      <e key="periodicCalculation" refId="24" id="PeriodicCalculationEnum">Y</e>
                      <b key="breakLevelSubtotal">N</b>
                      <b key="alreadyDrilled">N</b>
                      <b key="multiSelection">N</b>
                    </be>
                    <cust key="id" clsId="FilterOid">1</cust>
                    <s key="desc">Rows</s>
                    <i key="index">0</i>
                    <l key="children" refId="25" ln="1" eid="Framework.com.tagetik.trees.INode,framework">
                      <be refId="26" clsId="FilterNode">
                        <l key="dimensionOids" refId="27" ln="1" eid="DimensionOid">
                          <cust clsId="DimensionOid">434F55-45-434F554E544552---</cust>
                        </l>
                        <l key="AdHocParamDimensionOids" refId="28" ln="0" eid="DimensionOid"/>
                        <be key="data" refId="29" clsId="FilterNodeData">
                          <ref key="filterNode" refId="26"/>
                          <s key="dim">COU</s>
                          <i key="segmentLevel">0</i>
                          <ref key="segment" refId="17"/>
                          <b key="placeHolder">N</b>
                          <ref key="weight" refId="18"/>
                          <be key="dinamico" refId="30" clsId="ReportingDinamicita">
                            <e key="dynamicType" refId="31" id="DynamicEnum">COUNTER</e>
                            <b key="withSubtotal">N</b>
                            <b key="isPartecipatedCompany">N</b>
                            <b key="withSubtotalUntilStartingNode">N</b>
                            <b key="detailSubtotal">N</b>
                            <e key="pruning" refId="32" id="PruningEnum">N</e>
                            <i key="addictionalRowsToOpen">0</i>
                            <b key="allowOpenNewElements">N</b>
                          </be>
                          <be key="textMatchingCondition" refId="33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e key="editability" refId="34" id="EditableEnum">S</e>
                          <b key="signChange">N</b>
                          <b key="nativeSignChange">N</b>
                          <l key="nav" refId="35" ln="0" eid="ScenarioModifierValue"/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e key="periodicCalculation" refId="36" id="PeriodicCalculationEnum">A</e>
                          <b key="breakLevelSubtotal">N</b>
                          <b key="alreadyDrilled">N</b>
                          <m key="nodeTypes" refId="37" keid="SYS_STR" veid="EFReportingNodeType">
                            <key>
                              <s>434F55-45-434F554E544552---</s>
                            </key>
                            <val>
                              <e refId="38" id="EFReportingNodeType">N</e>
                            </val>
                          </m>
                          <b key="multiSelection">N</b>
                        </be>
                        <cust key="id" clsId="FilterOid">2</cust>
                        <s key="cod"/>
                        <s key="desc"/>
                        <i key="index">0</i>
                        <l key="children" refId="39" ln="0" eid="Framework.com.tagetik.trees.INode,framework"/>
                        <ref key="parent" refId="13"/>
                      </be>
                    </l>
                  </be>
                  <be key="columns" refId="40" clsId="FilterNode">
                    <l key="dimensionOids" refId="41" ln="0" eid="DimensionOid"/>
                    <l key="AdHocParamDimensionOids" refId="42" ln="0" eid="DimensionOid"/>
                    <be key="data" refId="43" clsId="FilterNodeData">
                      <ref key="filterNode" refId="40"/>
                      <i key="segmentLevel">0</i>
                      <ref key="segment" refId="17"/>
                      <b key="placeHolder">N</b>
                      <ref key="weight" refId="18"/>
                      <be key="textMatchingCondition" refId="44" clsId="TextMatchingCondition">
                        <ref key="op" refId="20"/>
                        <s key="val"/>
                      </be>
                      <ref key="change" refId="21"/>
                      <ref key="dataType" refId="22"/>
                      <b key="prevailingDataType">N</b>
                      <ref key="editability" refId="23"/>
                      <b key="signChange">N</b>
                      <b key="nativeSignChange">N</b>
                      <i key="sco">0</i>
                      <b key="applyFiltersForForcedScenarioPeriodoMap">N</b>
                      <b key="lineSplit">N</b>
                      <b key="addRCRow">N</b>
                      <b key="complementary">N</b>
                      <ref key="periodicCalculation" refId="24"/>
                      <b key="breakLevelSubtotal">N</b>
                      <b key="alreadyDrilled">N</b>
                      <b key="multiSelection">N</b>
                    </be>
                    <cust key="id" clsId="FilterOid">1</cust>
                    <s key="desc">Columns</s>
                    <i key="index">0</i>
                    <l key="children" refId="45" ln="2" eid="Framework.com.tagetik.trees.INode,framework">
                      <be refId="46" clsId="FilterNode">
                        <l key="dimensionOids" refId="47" ln="1" eid="DimensionOid">
                          <cust clsId="DimensionOid">41575F54454246534E45425443574E425052-45-5A434D4956414747534452414E4E48-484949434C4E4D535352494E574256---7C4F57537C-303030303031</cust>
                        </l>
                        <l key="AdHocParamDimensionOids" refId="48" ln="0" eid="DimensionOid"/>
                        <be key="data" refId="49" clsId="FilterNodeData">
                          <ref key="filterNode" refId="46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50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l key="nav" refId="51" ln="0" eid="ScenarioModifierValue"/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36"/>
                          <b key="breakLevelSubtotal">N</b>
                          <b key="alreadyDrilled">N</b>
                          <m key="nodeTypes" refId="52" keid="SYS_STR" veid="EFReportingNodeType">
                            <key>
                              <s>41575F54454246534E45425443574E425052-45-5A434D4956414747534452414E4E48-484949434C4E4D535352494E574256---7C4F57537C-303030303031</s>
                            </key>
                            <val>
                              <ref refId="38"/>
                            </val>
                          </m>
                          <b key="multiSelection">N</b>
                        </be>
                        <cust key="id" clsId="FilterOid">2</cust>
                        <s key="cod"/>
                        <s key="desc"/>
                        <i key="index">0</i>
                        <l key="children" refId="53" ln="0" eid="Framework.com.tagetik.trees.INode,framework"/>
                        <ref key="parent" refId="40"/>
                      </be>
                      <be refId="54" clsId="FilterNode">
                        <l key="dimensionOids" refId="55" ln="1" eid="DimensionOid">
                          <cust clsId="DimensionOid">41575F54454246534E45425443574E425052-45-544F59424A4B474B4C4E414C59504F-484949434C4E4D535352494E574256---7C4F57537C-303030303031</cust>
                        </l>
                        <l key="AdHocParamDimensionOids" refId="56" ln="0" eid="DimensionOid"/>
                        <be key="data" refId="57" clsId="FilterNodeData">
                          <ref key="filterNode" refId="54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58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l key="nav" refId="59" ln="0" eid="ScenarioModifierValue"/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36"/>
                          <b key="breakLevelSubtotal">N</b>
                          <b key="alreadyDrilled">N</b>
                          <m key="nodeTypes" refId="60" keid="SYS_STR" veid="EFReportingNodeType">
                            <key>
                              <s>41575F54454246534E45425443574E425052-45-544F59424A4B474B4C4E414C59504F-484949434C4E4D535352494E574256---7C4F57537C-303030303031</s>
                            </key>
                            <val>
                              <ref refId="38"/>
                            </val>
                          </m>
                          <b key="multiSelection">N</b>
                        </be>
                        <cust key="id" clsId="FilterOid">3</cust>
                        <s key="cod"/>
                        <s key="desc"/>
                        <i key="index">1</i>
                        <l key="children" refId="61" ln="0" eid="Framework.com.tagetik.trees.INode,framework"/>
                        <ref key="parent" refId="40"/>
                      </be>
                    </l>
                  </be>
                  <be key="matrixFilters" refId="62" clsId="FilterNode">
                    <l key="dimensionOids" refId="63" ln="0" eid="DimensionOid"/>
                    <l key="AdHocParamDimensionOids" refId="64" ln="0" eid="DimensionOid"/>
                    <be key="data" refId="65" clsId="FilterNodeData">
                      <ref key="filterNode" refId="62"/>
                      <i key="segmentLevel">0</i>
                      <ref key="segment" refId="17"/>
                      <b key="placeHolder">N</b>
                      <ref key="weight" refId="18"/>
                      <be key="textMatchingCondition" refId="66" clsId="TextMatchingCondition">
                        <ref key="op" refId="20"/>
                        <s key="val"/>
                      </be>
                      <ref key="change" refId="21"/>
                      <ref key="dataType" refId="22"/>
                      <b key="prevailingDataType">N</b>
                      <ref key="editability" refId="23"/>
                      <b key="signChange">N</b>
                      <b key="nativeSignChange">N</b>
                      <i key="sco">0</i>
                      <b key="applyFiltersForForcedScenarioPeriodoMap">N</b>
                      <b key="lineSplit">N</b>
                      <b key="addRCRow">N</b>
                      <b key="complementary">N</b>
                      <ref key="periodicCalculation" refId="24"/>
                      <b key="breakLevelSubtotal">N</b>
                      <b key="alreadyDrilled">N</b>
                      <b key="multiSelection">N</b>
                    </be>
                    <cust key="id" clsId="FilterOid">1</cust>
                    <s key="desc">Matrix</s>
                    <i key="index">0</i>
                    <l key="children" refId="67" ln="1" eid="Framework.com.tagetik.trees.INode,framework">
                      <be refId="68" clsId="FilterNode">
                        <l key="dimensionOids" refId="69" ln="1" eid="DimensionOid">
                          <cust clsId="DimensionOid">504552-45-3132---</cust>
                        </l>
                        <l key="AdHocParamDimensionOids" refId="70" ln="0" eid="DimensionOid"/>
                        <be key="data" refId="71" clsId="FilterNodeData">
                          <ref key="filterNode" refId="68"/>
                          <s key="dim">PER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72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l key="nav" refId="73" ln="0" eid="ScenarioModifierValue"/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36"/>
                          <b key="breakLevelSubtotal">N</b>
                          <b key="alreadyDrilled">N</b>
                          <b key="multiSelection">N</b>
                        </be>
                        <cust key="id" clsId="FilterOid">2</cust>
                        <s key="cod"/>
                        <s key="desc"/>
                        <i key="index">0</i>
                        <l key="children" refId="74" ln="1" eid="Framework.com.tagetik.trees.INode,framework">
                          <be refId="75" clsId="FilterNode">
                            <l key="dimensionOids" refId="76" ln="1" eid="DimensionOid">
                              <cust clsId="DimensionOid">534345-45-323032374255445F5631---</cust>
                            </l>
                            <l key="AdHocParamDimensionOids" refId="77" ln="0" eid="DimensionOid"/>
                            <be key="data" refId="78" clsId="FilterNodeData">
                              <ref key="filterNode" refId="75"/>
                              <s key="dim">SCE</s>
                              <i key="segmentLevel">0</i>
                              <ref key="segment" refId="17"/>
                              <b key="placeHolder">N</b>
                              <ref key="weight" refId="18"/>
                              <be key="textMatchingCondition" refId="79" clsId="TextMatchingCondition">
                                <ref key="op" refId="20"/>
                                <s key="val"/>
                              </be>
                              <ref key="change" refId="21"/>
                              <ref key="dataType" refId="22"/>
                              <b key="prevailingDataType">N</b>
                              <ref key="editability" refId="23"/>
                              <b key="signChange">N</b>
                              <b key="nativeSignChange">N</b>
                              <l key="nav" refId="80" ln="0" eid="ScenarioModifierValue"/>
                              <i key="sco">0</i>
                              <b key="applyFiltersForForcedScenarioPeriodoMap">N</b>
                              <b key="lineSplit">N</b>
                              <b key="addRCRow">N</b>
                              <b key="complementary">N</b>
                              <ref key="periodicCalculation" refId="36"/>
                              <b key="breakLevelSubtotal">N</b>
                              <b key="alreadyDrilled">N</b>
                              <b key="multiSelection">N</b>
                            </be>
                            <cust key="id" clsId="FilterOid">3</cust>
                            <s key="cod"/>
                            <s key="desc"/>
                            <i key="index">0</i>
                            <l key="children" refId="81" ln="1" eid="Framework.com.tagetik.trees.INode,framework">
                              <be refId="82" clsId="FilterNode">
                                <l key="dimensionOids" refId="83" ln="1" eid="DimensionOid">
                                  <cust clsId="DimensionOid">414E4C5F56455253494F4E-45-47454E---</cust>
                                </l>
                                <l key="AdHocParamDimensionOids" refId="84" ln="0" eid="DimensionOid"/>
                                <be key="data" refId="85" clsId="FilterNodeData">
                                  <ref key="filterNode" refId="82"/>
                                  <s key="dim">ANL_VERSION</s>
                                  <i key="segmentLevel">0</i>
                                  <ref key="segment" refId="17"/>
                                  <b key="placeHolder">N</b>
                                  <ref key="weight" refId="18"/>
                                  <be key="textMatchingCondition" refId="86" clsId="TextMatchingCondition">
                                    <ref key="op" refId="20"/>
                                    <s key="val"/>
                                  </be>
                                  <ref key="change" refId="21"/>
                                  <ref key="dataType" refId="22"/>
                                  <b key="prevailingDataType">N</b>
                                  <ref key="editability" refId="23"/>
                                  <b key="signChange">N</b>
                                  <b key="nativeSignChange">N</b>
                                  <l key="nav" refId="87" ln="0" eid="ScenarioModifierValue"/>
                                  <i key="sco">0</i>
                                  <b key="applyFiltersForForcedScenarioPeriodoMap">N</b>
                                  <b key="lineSplit">N</b>
                                  <b key="addRCRow">N</b>
                                  <b key="complementary">N</b>
                                  <ref key="periodicCalculation" refId="36"/>
                                  <b key="breakLevelSubtotal">N</b>
                                  <b key="alreadyDrilled">N</b>
                                  <b key="multiSelection">N</b>
                                </be>
                                <cust key="id" clsId="FilterOid">4</cust>
                                <s key="cod"/>
                                <s key="desc"/>
                                <i key="index">0</i>
                                <l key="children" refId="88" ln="1" eid="Framework.com.tagetik.trees.INode,framework">
                                  <be refId="89" clsId="FilterNode">
                                    <l key="dimensionOids" refId="90" ln="1" eid="DimensionOid">
                                      <cust clsId="DimensionOid">415A49-45-475250---</cust>
                                    </l>
                                    <l key="AdHocParamDimensionOids" refId="91" ln="0" eid="DimensionOid"/>
                                    <be key="data" refId="92" clsId="FilterNodeData">
                                      <ref key="filterNode" refId="89"/>
                                      <s key="dim">AZI</s>
                                      <i key="segmentLevel">0</i>
                                      <ref key="segment" refId="17"/>
                                      <b key="placeHolder">N</b>
                                      <ref key="weight" refId="18"/>
                                      <be key="textMatchingCondition" refId="93" clsId="TextMatchingCondition">
                                        <ref key="op" refId="20"/>
                                        <s key="val"/>
                                      </be>
                                      <ref key="change" refId="21"/>
                                      <ref key="dataType" refId="22"/>
                                      <b key="prevailingDataType">N</b>
                                      <ref key="editability" refId="23"/>
                                      <b key="signChange">N</b>
                                      <b key="nativeSignChange">N</b>
                                      <l key="nav" refId="94" ln="0" eid="ScenarioModifierValue"/>
                                      <i key="sco">0</i>
                                      <b key="applyFiltersForForcedScenarioPeriodoMap">N</b>
                                      <b key="lineSplit">N</b>
                                      <b key="addRCRow">N</b>
                                      <b key="complementary">N</b>
                                      <ref key="periodicCalculation" refId="36"/>
                                      <b key="breakLevelSubtotal">N</b>
                                      <b key="alreadyDrilled">N</b>
                                      <b key="multiSelection">N</b>
                                    </be>
                                    <cust key="id" clsId="FilterOid">6</cust>
                                    <s key="cod"/>
                                    <s key="desc"/>
                                    <i key="index">0</i>
                                    <l key="children" refId="95" ln="1" eid="Framework.com.tagetik.trees.INode,framework">
                                      <be refId="96" clsId="FilterNode">
                                        <l key="dimensionOids" refId="97" ln="4" eid="DimensionOid">
                                          <cust clsId="DimensionOid">564F435F303130-45-414C4C4F435F4252414E445F43414D50---</cust>
                                          <cust clsId="DimensionOid">564F435F303130-45-414C4C4F435F43414D505F434C415353---</cust>
                                          <cust clsId="DimensionOid">564F435F303130-45-414C4C4F435F4752505F484F4C44494E47---</cust>
                                          <cust clsId="DimensionOid">564F435F303130-45-414C4C4F435F4752505F4D4152515545---</cust>
                                        </l>
                                        <l key="AdHocParamDimensionOids" refId="98" ln="0" eid="DimensionOid"/>
                                        <be key="data" refId="99" clsId="FilterNodeData">
                                          <ref key="filterNode" refId="96"/>
                                          <s key="dim">VOC_010</s>
                                          <i key="segmentLevel">0</i>
                                          <ref key="segment" refId="17"/>
                                          <b key="placeHolder">N</b>
                                          <ref key="weight" refId="18"/>
                                          <be key="textMatchingCondition" refId="100" clsId="TextMatchingCondition">
                                            <ref key="op" refId="20"/>
                                            <s key="val"/>
                                          </be>
                                          <ref key="change" refId="21"/>
                                          <ref key="dataType" refId="22"/>
                                          <b key="prevailingDataType">N</b>
                                          <ref key="editability" refId="23"/>
                                          <b key="signChange">N</b>
                                          <b key="nativeSignChange">N</b>
                                          <i key="sco">0</i>
                                          <b key="applyFiltersForForcedScenarioPeriodoMap">N</b>
                                          <b key="lineSplit">N</b>
                                          <b key="addRCRow">N</b>
                                          <b key="complementary">N</b>
                                          <ref key="periodicCalculation" refId="36"/>
                                          <b key="breakLevelSubtotal">N</b>
                                          <b key="alreadyDrilled">N</b>
                                          <b key="multiSelection">N</b>
                                        </be>
                                        <cust key="id" clsId="FilterOid">7</cust>
                                        <i key="index">0</i>
                                        <ref key="parent" refId="89"/>
                                      </be>
                                    </l>
                                    <ref key="parent" refId="82"/>
                                  </be>
                                </l>
                                <ref key="parent" refId="75"/>
                              </be>
                            </l>
                            <ref key="parent" refId="68"/>
                          </be>
                        </l>
                        <ref key="parent" refId="62"/>
                      </be>
                    </l>
                  </be>
                  <be key="rowHeaders" refId="101" clsId="ReportingHeaders">
                    <m key="headers" refId="102" keid="SYS_PR_I" veid="System.Collections.IList"/>
                    <m key="headersDims" refId="103" keid="SYS_PR_I" veid="SYS_STR"/>
                  </be>
                  <be key="columnHeaders" refId="104" clsId="ReportingHeaders">
                    <m key="headers" refId="105" keid="SYS_PR_I" veid="System.Collections.IList"/>
                    <m key="headersDims" refId="106" keid="SYS_PR_I" veid="SYS_STR"/>
                  </be>
                  <e key="styleType" refId="107" id="MatrixStyleType">0</e>
                  <b key="subtotalOnTop">N</b>
                  <b key="leavesFirst">N</b>
                  <b key="groupSubtotal">N</b>
                  <b key="replaceWithPlaceholder">N</b>
                  <b key="onlyFirstHeader">N</b>
                  <b key="allowRangeBreak">N</b>
                  <b key="showZeros">N</b>
                  <i key="maxRows">0</i>
                  <e key="rowsExpansionMode" refId="108" id="RowColExpansionMode">0</e>
                  <i key="maxCols">0</i>
                  <ref key="colsExpansionMode" refId="108"/>
                  <e key="columnsAutofitMode" refId="109" id="ColumnsAutofitMode">0</e>
                  <b key="isEditabilityOnDemand">N</b>
                  <b key="useForcedBoundDims">N</b>
                  <e key="disableHints" refId="110" id="MatrixHintsPolicy">C</e>
                  <e key="enableOptimization" refId="111" id="EnableLaunchFormDEOptimization">C</e>
                  <e key="tipoAllineamentoLordiIC" refId="112" id="TipoAllineamentoLordiIC">X</e>
                  <set key="forcedDimensions" refId="113" ln="0" eid="SYS_STR"/>
                  <b key="bindOriginalAmountOnSave">N</b>
                  <b key="showLink">N</b>
                  <i key="index">0</i>
                  <b key="excludeValuatingSheetsWithZeroValues">N</b>
                  <m key="addictionalStyleSheets" refId="114" keid="SYS_STR" veid="StyleSheet"/>
                  <b key="allowOpenNewElements">N</b>
                  <s key="forcedBreakBackType">X</s>
                  <s key="forcedBreakBackRefLeaf">X</s>
                  <b key="autoOpenNewElements">N</b>
                  <b key="askNumRows">N</b>
                  <set key="forcedContentCells" refId="115" ln="0" eid="Reporting.com.tagetik.tables.IMatixCellLeafPositions,Reporting"/>
                  <m key="forcedEditModes" refId="116" keid="Reporting.com.tagetik.tables.IMatixCellLeafPositions,Reporting" veid="SYS_STR"/>
                  <b key="UseTxlDeFormEditor">N</b>
                  <be key="TxDeFormsEditorDescriptor" refId="117" clsId="TxDeFormsEditorDescriptor">
                    <l key="Tabs" refId="118" ln="0" eid="TxDeFormsEditorGridDescriptor"/>
                    <i key="Height">400</i>
                    <i key="Width">430</i>
                    <b key="editButton">S</b>
                    <b key="newButton">S</b>
                    <b key="deleteButton">S</b>
                  </be>
                  <be key="workspaceTableInfo" refId="119" clsId="matrixWSInfo">
                    <b key="isT">S</b>
                    <s key="wsCode">002</s>
                    <s key="tableCode">000001</s>
                  </be>
                  <be key="customFilters" refId="120" clsId="ExpCustomFiltersProspetto"/>
                </be>
              </val>
              <key>
                <s>Matrix03 copy00</s>
              </key>
              <val>
                <be refId="121" clsId="MatrixPositionBlockVO">
                  <s key="positionID">Matrix03 copy00</s>
                  <be key="rows" refId="122" clsId="FilterNode">
                    <l key="dimensionOids" refId="123" ln="0" eid="DimensionOid"/>
                    <l key="AdHocParamDimensionOids" refId="124" ln="0" eid="DimensionOid"/>
                    <be key="data" refId="125" clsId="FilterNodeData">
                      <ref key="filterNode" refId="122"/>
                      <i key="segmentLevel">0</i>
                      <ref key="segment" refId="17"/>
                      <b key="placeHolder">N</b>
                      <ref key="weight" refId="18"/>
                      <be key="textMatchingCondition" refId="126" clsId="TextMatchingCondition">
                        <ref key="op" refId="20"/>
                        <s key="val"/>
                      </be>
                      <ref key="change" refId="21"/>
                      <ref key="dataType" refId="22"/>
                      <b key="prevailingDataType">N</b>
                      <ref key="editability" refId="23"/>
                      <b key="signChange">N</b>
                      <b key="nativeSignChange">N</b>
                      <i key="sco">0</i>
                      <b key="applyFiltersForForcedScenarioPeriodoMap">N</b>
                      <b key="lineSplit">N</b>
                      <b key="addRCRow">N</b>
                      <b key="complementary">N</b>
                      <ref key="periodicCalculation" refId="24"/>
                      <b key="breakLevelSubtotal">N</b>
                      <b key="alreadyDrilled">N</b>
                      <b key="multiSelection">N</b>
                    </be>
                    <cust key="id" clsId="FilterOid">1</cust>
                    <s key="cod">ROOT</s>
                    <s key="desc">Rows</s>
                    <i key="index">0</i>
                    <l key="children" refId="127" ln="1" eid="Framework.com.tagetik.trees.INode,framework">
                      <be refId="128" clsId="FilterNode">
                        <l key="dimensionOids" refId="129" ln="1" eid="DimensionOid">
                          <cust clsId="DimensionOid">434F55-45-434F554E544552---</cust>
                        </l>
                        <l key="AdHocParamDimensionOids" refId="130" ln="0" eid="DimensionOid"/>
                        <be key="data" refId="131" clsId="FilterNodeData">
                          <ref key="filterNode" refId="128"/>
                          <s key="dim">COU</s>
                          <i key="segmentLevel">0</i>
                          <ref key="segment" refId="17"/>
                          <b key="placeHolder">N</b>
                          <ref key="weight" refId="18"/>
                          <be key="dinamico" refId="132" clsId="ReportingDinamicita">
                            <ref key="dynamicType" refId="31"/>
                            <b key="withSubtotal">N</b>
                            <b key="isPartecipatedCompany">N</b>
                            <b key="withSubtotalUntilStartingNode">N</b>
                            <b key="detailSubtotal">N</b>
                            <ref key="pruning" refId="32"/>
                            <i key="addictionalRowsToOpen">0</i>
                            <b key="allowOpenNewElements">N</b>
                          </be>
                          <be key="textMatchingCondition" refId="133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36"/>
                          <b key="breakLevelSubtotal">N</b>
                          <b key="alreadyDrilled">N</b>
                          <m key="nodeTypes" refId="134" keid="SYS_STR" veid="EFReportingNodeType">
                            <key>
                              <s>434F55-45-434F554E544552---</s>
                            </key>
                            <val>
                              <ref refId="38"/>
                            </val>
                          </m>
                          <b key="multiSelection">N</b>
                        </be>
                        <cust key="id" clsId="FilterOid">2</cust>
                        <i key="index">0</i>
                        <ref key="parent" refId="122"/>
                      </be>
                    </l>
                  </be>
                  <be key="columns" refId="135" clsId="FilterNode">
                    <l key="dimensionOids" refId="136" ln="0" eid="DimensionOid"/>
                    <l key="AdHocParamDimensionOids" refId="137" ln="0" eid="DimensionOid"/>
                    <be key="data" refId="138" clsId="FilterNodeData">
                      <ref key="filterNode" refId="135"/>
                      <i key="segmentLevel">0</i>
                      <ref key="segment" refId="17"/>
                      <b key="placeHolder">N</b>
                      <ref key="weight" refId="18"/>
                      <be key="textMatchingCondition" refId="139" clsId="TextMatchingCondition">
                        <ref key="op" refId="20"/>
                        <s key="val"/>
                      </be>
                      <ref key="change" refId="21"/>
                      <ref key="dataType" refId="22"/>
                      <b key="prevailingDataType">N</b>
                      <ref key="editability" refId="23"/>
                      <b key="signChange">N</b>
                      <b key="nativeSignChange">N</b>
                      <i key="sco">0</i>
                      <b key="applyFiltersForForcedScenarioPeriodoMap">N</b>
                      <b key="lineSplit">N</b>
                      <b key="addRCRow">N</b>
                      <b key="complementary">N</b>
                      <ref key="periodicCalculation" refId="24"/>
                      <b key="breakLevelSubtotal">N</b>
                      <b key="alreadyDrilled">N</b>
                      <b key="multiSelection">N</b>
                    </be>
                    <cust key="id" clsId="FilterOid">1</cust>
                    <s key="cod">ROOT</s>
                    <s key="desc">Columns</s>
                    <i key="index">0</i>
                    <l key="children" refId="140" ln="1" eid="Framework.com.tagetik.trees.INode,framework">
                      <be refId="141" clsId="FilterNode">
                        <l key="dimensionOids" refId="142" ln="1" eid="DimensionOid">
                          <cust clsId="DimensionOid">41575F54454246534E45425443574E425052-45-53544148525646464C5141584A484B-47524445584B594655454543454744---7C4F57537C-303030303132</cust>
                        </l>
                        <l key="AdHocParamDimensionOids" refId="143" ln="0" eid="DimensionOid"/>
                        <be key="data" refId="144" clsId="FilterNodeData">
                          <ref key="filterNode" refId="141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45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34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36"/>
                          <b key="breakLevelSubtotal">N</b>
                          <b key="alreadyDrilled">N</b>
                          <m key="nodeTypes" refId="146" keid="SYS_STR" veid="EFReportingNodeType">
                            <key>
                              <s>41575F54454246534E45425443574E425052-45-53544148525646464C5141584A484B-47524445584B594655454543454744---7C4F57537C-303030303132</s>
                            </key>
                            <val>
                              <ref refId="38"/>
                            </val>
                          </m>
                          <b key="multiSelection">N</b>
                        </be>
                        <cust key="id" clsId="FilterOid">2</cust>
                        <i key="index">0</i>
                        <ref key="parent" refId="135"/>
                      </be>
                    </l>
                  </be>
                  <be key="matrixFilters" refId="147" clsId="FilterNode">
                    <l key="dimensionOids" refId="148" ln="0" eid="DimensionOid"/>
                    <l key="AdHocParamDimensionOids" refId="149" ln="0" eid="DimensionOid"/>
                    <be key="data" refId="150" clsId="FilterNodeData">
                      <ref key="filterNode" refId="147"/>
                      <i key="segmentLevel">0</i>
                      <ref key="segment" refId="17"/>
                      <b key="placeHolder">N</b>
                      <ref key="weight" refId="18"/>
                      <be key="textMatchingCondition" refId="151" clsId="TextMatchingCondition">
                        <ref key="op" refId="20"/>
                        <s key="val"/>
                      </be>
                      <ref key="change" refId="21"/>
                      <ref key="dataType" refId="22"/>
                      <b key="prevailingDataType">N</b>
                      <ref key="editability" refId="23"/>
                      <b key="signChange">N</b>
                      <b key="nativeSignChange">N</b>
                      <i key="sco">0</i>
                      <b key="applyFiltersForForcedScenarioPeriodoMap">N</b>
                      <b key="lineSplit">N</b>
                      <b key="addRCRow">N</b>
                      <b key="complementary">N</b>
                      <ref key="periodicCalculation" refId="24"/>
                      <b key="breakLevelSubtotal">N</b>
                      <b key="alreadyDrilled">N</b>
                      <b key="multiSelection">N</b>
                    </be>
                    <cust key="id" clsId="FilterOid">1</cust>
                    <s key="cod">ROOT</s>
                    <s key="desc">Matrix</s>
                    <i key="index">0</i>
                  </be>
                  <be key="rowHeaders" refId="152" clsId="ReportingHeaders">
                    <m key="headers" refId="153" keid="SYS_PR_I" veid="System.Collections.IList"/>
                    <m key="headersDims" refId="154" keid="SYS_PR_I" veid="SYS_STR"/>
                  </be>
                  <be key="columnHeaders" refId="155" clsId="ReportingHeaders">
                    <m key="headers" refId="156" keid="SYS_PR_I" veid="System.Collections.IList"/>
                    <m key="headersDims" refId="157" keid="SYS_PR_I" veid="SYS_STR"/>
                  </be>
                  <ref key="styleType" refId="107"/>
                  <b key="subtotalOnTop">N</b>
                  <b key="leavesFirst">N</b>
                  <b key="groupSubtotal">N</b>
                  <b key="replaceWithPlaceholder">N</b>
                  <b key="onlyFirstHeader">N</b>
                  <b key="allowRangeBreak">N</b>
                  <b key="showZeros">N</b>
                  <i key="maxRows">0</i>
                  <e key="rowsExpansionMode" refId="158" id="RowColExpansionMode">1</e>
                  <i key="maxCols">0</i>
                  <ref key="colsExpansionMode" refId="158"/>
                  <ref key="columnsAutofitMode" refId="109"/>
                  <b key="isEditabilityOnDemand">N</b>
                  <b key="useForcedBoundDims">N</b>
                  <ref key="disableHints" refId="110"/>
                  <ref key="enableOptimization" refId="111"/>
                  <ref key="tipoAllineamentoLordiIC" refId="112"/>
                  <b key="bindOriginalAmountOnSave">N</b>
                  <b key="showLink">N</b>
                  <i key="index">1</i>
                  <b key="excludeValuatingSheetsWithZeroValues">N</b>
                  <m key="addictionalStyleSheets" refId="159" keid="SYS_STR" veid="StyleSheet"/>
                  <b key="allowOpenNewElements">N</b>
                  <s key="forcedBreakBackType">X</s>
                  <s key="forcedBreakBackRefLeaf">X</s>
                  <b key="autoOpenNewElements">N</b>
                  <b key="askNumRows">N</b>
                  <set key="forcedContentCells" refId="160" ln="0" eid="Reporting.com.tagetik.tables.IMatixCellLeafPositions,Reporting"/>
                  <m key="forcedEditModes" refId="161" keid="Reporting.com.tagetik.tables.IMatixCellLeafPositions,Reporting" veid="SYS_STR"/>
                  <b key="UseTxlDeFormEditor">N</b>
                  <be key="TxDeFormsEditorDescriptor" refId="162" clsId="TxDeFormsEditorDescriptor">
                    <l key="Tabs" refId="163" ln="0" eid="TxDeFormsEditorGridDescriptor"/>
                    <i key="Height">400</i>
                    <i key="Width">430</i>
                    <b key="editButton">S</b>
                    <b key="newButton">S</b>
                    <b key="deleteButton">S</b>
                  </be>
                  <be key="workspaceTableInfo" refId="164" clsId="matrixWSInfo">
                    <b key="isT">S</b>
                    <s key="wsCode">002</s>
                    <s key="tableCode">000012</s>
                  </be>
                  <be key="customFilters" refId="165" clsId="ExpCustomFiltersProspetto"/>
                </be>
              </val>
            </m>
            <m key="cellFields" refId="166" keid="SYS_STR" veid="CodeCellField"/>
            <m key="dictionary" refId="167" keid="SYS_STR" veid="CodeMultiDescVO"/>
            <m key="controlExpressions" refId="168" keid="SYS_STR" veid="CodedExpControlloProspetto"/>
            <m key="inlineParameters" refId="169" keid="SYS_STR" veid="CodedInlineParameter"/>
            <m key="queries" refId="170" keid="SYS_STR" veid="Reporting.com.tagetik.query.IUserDefinedQueryVO,Reporting">
              <key>
                <s>Query00</s>
              </key>
              <val>
                <be refId="171" clsId="UserDefinedQueryVO">
                  <s key="queryString">
                    SELECT
                    <ch cod="0a"/>
                        CASE
                    <ch cod="0a"/>
                            WHEN VERSION = 'V01' THEN 'Cadrage'
                    <ch cod="0a"/>
                            WHEN VERSION = 'V02' THEN 'Optimiste'
                    <ch cod="0a"/>
                            WHEN VERSION = 'V03' THEN 'Prudent'
                    <ch cod="0a"/>
                            ELSE VERSION
                    <ch cod="0a"/>
                        END AS "Sc?nario",
                    <ch cod="0a"/>
                        STRUCT_CAMP    AS "Structure Campus",
                    <ch cod="0a"/>
                        FRAIS_MARQUE   AS "Frais de marque",
                    <ch cod="0a"/>
                        HOLDING        AS "Holding",
                    <ch cod="0a"/>
                        TOTAL_ALLOUE   AS "Total allou?"
                    <ch cod="0a"/>
                    FROM V_ALLOC_CHARGES
                    <ch cod="0a"/>
                    WHERE VERSION IN ('V01', 'V02', 'V03')
                  </s>
                  <s key="queryType">N</s>
                  <e key="querySyntax" refId="172" id="UserDefinedQuerySyntax">SQL</e>
                  <m key="options" refId="173" keid="SYS_STR" veid="SYS_STR">
                    <key>
                      <s>VALIDATION_TYPE</s>
                    </key>
                    <val>
                      <s>PMS</s>
                    </val>
                    <key>
                      <s>SEEQUERYNAME</s>
                    </key>
                    <val>
                      <s>N</s>
                    </val>
                    <key>
                      <s>HEADERS</s>
                    </key>
                    <val>
                      <s>N</s>
                    </val>
                    <key>
                      <s>AUTOSIZE</s>
                    </key>
                    <val>
                      <s>N</s>
                    </val>
                    <key>
                      <s>DRAG_LEFT</s>
                    </key>
                    <val>
                      <s>N</s>
                    </val>
                    <key>
                      <s>DRAG_RIGHT</s>
                    </key>
                    <val>
                      <s>N</s>
                    </val>
                    <key>
                      <s>CREATE NAMED RANGE</s>
                    </key>
                    <val>
                      <s>N</s>
                    </val>
                    <key>
                      <s>PRESERVE_FORMAT</s>
                    </key>
                    <val>
                      <s>N</s>
                    </val>
                    <key>
                      <s>EXPANSION_MODE</s>
                    </key>
                    <val>
                      <s>0</s>
                    </val>
                    <key>
                      <s>REMOVE_FORMATS_AFTER_END</s>
                    </key>
                    <val>
                      <s>N</s>
                    </val>
                  </m>
                  <s key="cod">Query00</s>
                  <be key="multiDescVO" refId="174" clsId="MultiDesc">
                    <a key="desc" refId="175" ln="4" eid="SYS_STR">
                      <s>Query 00</s>
                      <s/>
                      <s/>
                      <s/>
                    </a>
                  </be>
                  <be key="initialResult" refId="176" clsId="QueryResult">
                    <rs key="recordset" refId="177" rowCount="0" fieldNames="SC?NARIO,STRUCTURE CAMPUS,FRAIS DE MARQUE,HOLDING,TOTAL ALLOU?">
                      <field name="SC?NARIO"/>
                      <field name="STRUCTURE CAMPUS"/>
                      <field name="FRAIS DE MARQUE"/>
                      <field name="HOLDING"/>
                      <field name="TOTAL ALLOU?"/>
                    </rs>
                    <a key="columnTypes" refId="178" ln="5" eid="SYS_PR_I">
                      <i>12</i>
                      <i>8</i>
                      <i>8</i>
                      <i>8</i>
                      <i>8</i>
                    </a>
                    <i key="rowsCount">0</i>
                    <a key="columnNames" refId="179" ln="5" eid="SYS_STR">
                      <s>SC?NARIO</s>
                      <s>STRUCTURE CAMPUS</s>
                      <s>FRAIS DE MARQUE</s>
                      <s>HOLDING</s>
                      <s>TOTAL ALLOU?</s>
                    </a>
                  </be>
                  <b key="hasExcelReferences">N</b>
                  <m key="ColumnDescriptors" refId="180" keid="SYS_STR" veid="QueryColumnDescriptor">
                    <key>
                      <s>SC?NARIO</s>
                    </key>
                    <val>
                      <be refId="181" clsId="QueryColumnDescriptor">
                        <s key="code">SC?NARIO</s>
                        <be key="multiDescVO" refId="182" clsId="MultiDesc">
                          <a key="desc" refId="183" ln="4" eid="SYS_STR">
                            <nl/>
                            <nl/>
                            <nl/>
                            <nl/>
                          </a>
                        </be>
                        <b key="unicode">N</b>
                        <b key="supportsLineBreak">N</b>
                      </be>
                    </val>
                    <key>
                      <s>STRUCTURE CAMPUS</s>
                    </key>
                    <val>
                      <be refId="184" clsId="QueryColumnDescriptor">
                        <s key="code">STRUCTURE CAMPUS</s>
                        <be key="multiDescVO" refId="185" clsId="MultiDesc">
                          <a key="desc" refId="186" ln="4" eid="SYS_STR">
                            <nl/>
                            <nl/>
                            <nl/>
                            <nl/>
                          </a>
                        </be>
                        <b key="unicode">N</b>
                        <b key="supportsLineBreak">N</b>
                      </be>
                    </val>
                    <key>
                      <s>FRAIS DE MARQUE</s>
                    </key>
                    <val>
                      <be refId="187" clsId="QueryColumnDescriptor">
                        <s key="code">FRAIS DE MARQUE</s>
                        <be key="multiDescVO" refId="188" clsId="MultiDesc">
                          <a key="desc" refId="189" ln="4" eid="SYS_STR">
                            <nl/>
                            <nl/>
                            <nl/>
                            <nl/>
                          </a>
                        </be>
                        <b key="unicode">N</b>
                        <b key="supportsLineBreak">N</b>
                      </be>
                    </val>
                    <key>
                      <s>HOLDING</s>
                    </key>
                    <val>
                      <be refId="190" clsId="QueryColumnDescriptor">
                        <s key="code">HOLDING</s>
                        <be key="multiDescVO" refId="191" clsId="MultiDesc">
                          <a key="desc" refId="192" ln="4" eid="SYS_STR">
                            <nl/>
                            <nl/>
                            <nl/>
                            <nl/>
                          </a>
                        </be>
                        <b key="unicode">N</b>
                        <b key="supportsLineBreak">N</b>
                      </be>
                    </val>
                    <key>
                      <s>TOTAL ALLOU?</s>
                    </key>
                    <val>
                      <be refId="193" clsId="QueryColumnDescriptor">
                        <s key="code">TOTAL ALLOU?</s>
                        <be key="multiDescVO" refId="194" clsId="MultiDesc">
                          <a key="desc" refId="195" ln="4" eid="SYS_STR">
                            <nl/>
                            <nl/>
                            <nl/>
                            <nl/>
                          </a>
                        </be>
                        <b key="unicode">N</b>
                        <b key="supportsLineBreak">N</b>
                      </be>
                    </val>
                  </m>
                  <b key="forceCodeDesc">N</b>
                  <b key="enableFreeText">N</b>
                </be>
              </val>
              <key>
                <s>Query01</s>
              </key>
              <val>
                <be refId="196" clsId="UserDefinedQueryVO">
                  <s key="queryString">select * from V_ALLOCATION </s>
                  <s key="queryType">N</s>
                  <ref key="querySyntax" refId="172"/>
                  <m key="options" refId="197" keid="SYS_STR" veid="SYS_STR">
                    <key>
                      <s>VALIDATION_TYPE</s>
                    </key>
                    <val>
                      <s>PMS</s>
                    </val>
                    <key>
                      <s>SEEQUERYNAME</s>
                    </key>
                    <val>
                      <s>N</s>
                    </val>
                    <key>
                      <s>HEADERS</s>
                    </key>
                    <val>
                      <s>S</s>
                    </val>
                    <key>
                      <s>AUTOSIZE</s>
                    </key>
                    <val>
                      <s>S</s>
                    </val>
                    <key>
                      <s>DRAG_LEFT</s>
                    </key>
                    <val>
                      <s>N</s>
                    </val>
                    <key>
                      <s>DRAG_RIGHT</s>
                    </key>
                    <val>
                      <s>N</s>
                    </val>
                    <key>
                      <s>CREATE NAMED RANGE</s>
                    </key>
                    <val>
                      <s>N</s>
                    </val>
                    <key>
                      <s>PRESERVE_FORMAT</s>
                    </key>
                    <val>
                      <s>N</s>
                    </val>
                    <key>
                      <s>EXPANSION_MODE</s>
                    </key>
                    <val>
                      <s>0</s>
                    </val>
                    <key>
                      <s>REMOVE_FORMATS_AFTER_END</s>
                    </key>
                    <val>
                      <s>N</s>
                    </val>
                  </m>
                  <s key="cod">Query01</s>
                  <be key="multiDescVO" refId="198" clsId="MultiDesc">
                    <a key="desc" refId="199" ln="4" eid="SYS_STR">
                      <s>Query 01</s>
                      <s/>
                      <s/>
                      <s/>
                    </a>
                  </be>
                  <be key="initialResult" refId="200" clsId="QueryResult">
                    <rs key="recordset" refId="201" rowCount="0" fieldNames="SCENARIO,VERSION,PERIODE,EXERCICE,ENTITY,MARQUE,PROGRAMME,AN_ETUDE,MODALITE,VOL_EFF,VOL_CLASS,CA,COST_VAC,COST_PERM,COST_ODIR,COST_STRUCT,COST_MARQUE,COST_HOLDING,COST_SIEGE,COST_VARIABLE,COST_STRUCTURE,COST_COMPLET,MARGE_COMPLETE,VOL_NEW,POOL_VAC,POOL_PERM,POOL_ODIR,POOL_MKT,POOL_STRUCT,POOL_HOLDING,POOL_FRAIS_MARQUE">
                      <field name="SCENARIO"/>
                      <field name="VERSION"/>
                      <field name="PERIODE"/>
                      <field name="EXERCICE"/>
                      <field name="ENTITY"/>
                      <field name="MARQUE"/>
                      <field name="PROGRAMME"/>
                      <field name="AN_ETUDE"/>
                      <field name="MODALITE"/>
                      <field name="VOL_EFF"/>
                      <field name="VOL_CLASS"/>
                      <field name="CA"/>
                      <field name="COST_VAC"/>
                      <field name="COST_PERM"/>
                      <field name="COST_ODIR"/>
                      <field name="COST_STRUCT"/>
                      <field name="COST_MARQUE"/>
                      <field name="COST_HOLDING"/>
                      <field name="COST_SIEGE"/>
                      <field name="COST_VARIABLE"/>
                      <field name="COST_STRUCTURE"/>
                      <field name="COST_COMPLET"/>
                      <field name="MARGE_COMPLETE"/>
                      <field name="VOL_NEW"/>
                      <field name="POOL_VAC"/>
                      <field name="POOL_PERM"/>
                      <field name="POOL_ODIR"/>
                      <field name="POOL_MKT"/>
                      <field name="POOL_STRUCT"/>
                      <field name="POOL_HOLDING"/>
                      <field name="POOL_FRAIS_MARQUE"/>
                    </rs>
                    <a key="columnTypes" refId="202" ln="31" eid="SYS_PR_I">
                      <i>12</i>
                      <i>12</i>
                      <i>12</i>
                      <i>12</i>
                      <i>12</i>
                      <i>12</i>
                      <i>12</i>
                      <i>12</i>
                      <i>12</i>
                      <i>8</i>
                      <i>3</i>
                      <i>8</i>
                      <i>8</i>
                      <i>8</i>
                      <i>8</i>
                      <i>8</i>
                      <i>8</i>
                      <i>8</i>
                      <i>8</i>
                      <i>8</i>
                      <i>8</i>
                      <i>8</i>
                      <i>8</i>
                      <i>8</i>
                      <i>8</i>
                      <i>8</i>
                      <i>8</i>
                      <i>8</i>
                      <i>8</i>
                      <i>8</i>
                      <i>8</i>
                    </a>
                    <i key="rowsCount">0</i>
                    <a key="columnNames" refId="203" ln="31" eid="SYS_STR">
                      <s>SCENARIO</s>
                      <s>VERSION</s>
                      <s>PERIODE</s>
                      <s>EXERCICE</s>
                      <s>ENTITY</s>
                      <s>MARQUE</s>
                      <s>PROGRAMME</s>
                      <s>AN_ETUDE</s>
                      <s>MODALITE</s>
                      <s>VOL_EFF</s>
                      <s>VOL_CLASS</s>
                      <s>CA</s>
                      <s>COST_VAC</s>
                      <s>COST_PERM</s>
                      <s>COST_ODIR</s>
                      <s>COST_STRUCT</s>
                      <s>COST_MARQUE</s>
                      <s>COST_HOLDING</s>
                      <s>COST_SIEGE</s>
                      <s>COST_VARIABLE</s>
                      <s>COST_STRUCTURE</s>
                      <s>COST_COMPLET</s>
                      <s>MARGE_COMPLETE</s>
                      <s>VOL_NEW</s>
                      <s>POOL_VAC</s>
                      <s>POOL_PERM</s>
                      <s>POOL_ODIR</s>
                      <s>POOL_MKT</s>
                      <s>POOL_STRUCT</s>
                      <s>POOL_HOLDING</s>
                      <s>POOL_FRAIS_MARQUE</s>
                    </a>
                  </be>
                  <b key="hasExcelReferences">N</b>
                  <m key="ColumnDescriptors" refId="204" keid="SYS_STR" veid="QueryColumnDescriptor">
                    <key>
                      <s>SCENARIO</s>
                    </key>
                    <val>
                      <be refId="205" clsId="QueryColumnDescriptor">
                        <s key="code">SCENARIO</s>
                        <be key="multiDescVO" refId="206" clsId="MultiDesc">
                          <a key="desc" refId="207" ln="4" eid="SYS_STR">
                            <nl/>
                            <nl/>
                            <nl/>
                            <nl/>
                          </a>
                        </be>
                        <b key="unicode">N</b>
                        <b key="supportsLineBreak">N</b>
                      </be>
                    </val>
                    <key>
                      <s>VERSION</s>
                    </key>
                    <val>
                      <be refId="208" clsId="QueryColumnDescriptor">
                        <s key="code">VERSION</s>
                        <be key="multiDescVO" refId="209" clsId="MultiDesc">
                          <a key="desc" refId="210" ln="4" eid="SYS_STR">
                            <nl/>
                            <nl/>
                            <nl/>
                            <nl/>
                          </a>
                        </be>
                        <b key="unicode">N</b>
                        <b key="supportsLineBreak">N</b>
                      </be>
                    </val>
                    <key>
                      <s>PERIODE</s>
                    </key>
                    <val>
                      <be refId="211" clsId="QueryColumnDescriptor">
                        <s key="code">PERIODE</s>
                        <be key="multiDescVO" refId="212" clsId="MultiDesc">
                          <a key="desc" refId="213" ln="4" eid="SYS_STR">
                            <nl/>
                            <nl/>
                            <nl/>
                            <nl/>
                          </a>
                        </be>
                        <b key="unicode">N</b>
                        <b key="supportsLineBreak">N</b>
                      </be>
                    </val>
                    <key>
                      <s>EXERCICE</s>
                    </key>
                    <val>
                      <be refId="214" clsId="QueryColumnDescriptor">
                        <s key="code">EXERCICE</s>
                        <be key="multiDescVO" refId="215" clsId="MultiDesc">
                          <a key="desc" refId="216" ln="4" eid="SYS_STR">
                            <nl/>
                            <nl/>
                            <nl/>
                            <nl/>
                          </a>
                        </be>
                        <b key="unicode">N</b>
                        <b key="supportsLineBreak">N</b>
                      </be>
                    </val>
                    <key>
                      <s>ENTITY</s>
                    </key>
                    <val>
                      <be refId="217" clsId="QueryColumnDescriptor">
                        <s key="code">ENTITY</s>
                        <be key="multiDescVO" refId="218" clsId="MultiDesc">
                          <a key="desc" refId="219" ln="4" eid="SYS_STR">
                            <nl/>
                            <nl/>
                            <nl/>
                            <nl/>
                          </a>
                        </be>
                        <b key="unicode">N</b>
                        <b key="supportsLineBreak">N</b>
                      </be>
                    </val>
                    <key>
                      <s>MARQUE</s>
                    </key>
                    <val>
                      <be refId="220" clsId="QueryColumnDescriptor">
                        <s key="code">MARQUE</s>
                        <be key="multiDescVO" refId="221" clsId="MultiDesc">
                          <a key="desc" refId="222" ln="4" eid="SYS_STR">
                            <nl/>
                            <nl/>
                            <nl/>
                            <nl/>
                          </a>
                        </be>
                        <b key="unicode">N</b>
                        <b key="supportsLineBreak">N</b>
                      </be>
                    </val>
                    <key>
                      <s>PROGRAMME</s>
                    </key>
                    <val>
                      <be refId="223" clsId="QueryColumnDescriptor">
                        <s key="code">PROGRAMME</s>
                        <be key="multiDescVO" refId="224" clsId="MultiDesc">
                          <a key="desc" refId="225" ln="4" eid="SYS_STR">
                            <nl/>
                            <nl/>
                            <nl/>
                            <nl/>
                          </a>
                        </be>
                        <b key="unicode">N</b>
                        <b key="supportsLineBreak">N</b>
                      </be>
                    </val>
                    <key>
                      <s>AN_ETUDE</s>
                    </key>
                    <val>
                      <be refId="226" clsId="QueryColumnDescriptor">
                        <s key="code">AN_ETUDE</s>
                        <be key="multiDescVO" refId="227" clsId="MultiDesc">
                          <a key="desc" refId="228" ln="4" eid="SYS_STR">
                            <nl/>
                            <nl/>
                            <nl/>
                            <nl/>
                          </a>
                        </be>
                        <b key="unicode">N</b>
                        <b key="supportsLineBreak">N</b>
                      </be>
                    </val>
                    <key>
                      <s>MODALITE</s>
                    </key>
                    <val>
                      <be refId="229" clsId="QueryColumnDescriptor">
                        <s key="code">MODALITE</s>
                        <be key="multiDescVO" refId="230" clsId="MultiDesc">
                          <a key="desc" refId="231" ln="4" eid="SYS_STR">
                            <nl/>
                            <nl/>
                            <nl/>
                            <nl/>
                          </a>
                        </be>
                        <b key="unicode">N</b>
                        <b key="supportsLineBreak">N</b>
                      </be>
                    </val>
                    <key>
                      <s>VOL_EFF</s>
                    </key>
                    <val>
                      <be refId="232" clsId="QueryColumnDescriptor">
                        <s key="code">VOL_EFF</s>
                        <be key="multiDescVO" refId="233" clsId="MultiDesc">
                          <a key="desc" refId="234" ln="4" eid="SYS_STR">
                            <nl/>
                            <nl/>
                            <nl/>
                            <nl/>
                          </a>
                        </be>
                        <b key="unicode">N</b>
                        <b key="supportsLineBreak">N</b>
                      </be>
                    </val>
                    <key>
                      <s>VOL_CLASS</s>
                    </key>
                    <val>
                      <be refId="235" clsId="QueryColumnDescriptor">
                        <s key="code">VOL_CLASS</s>
                        <be key="multiDescVO" refId="236" clsId="MultiDesc">
                          <a key="desc" refId="237" ln="4" eid="SYS_STR">
                            <nl/>
                            <nl/>
                            <nl/>
                            <nl/>
                          </a>
                        </be>
                        <b key="unicode">N</b>
                        <b key="supportsLineBreak">N</b>
                      </be>
                    </val>
                    <key>
                      <s>CA</s>
                    </key>
                    <val>
                      <be refId="238" clsId="QueryColumnDescriptor">
                        <s key="code">CA</s>
                        <be key="multiDescVO" refId="239" clsId="MultiDesc">
                          <a key="desc" refId="240" ln="4" eid="SYS_STR">
                            <nl/>
                            <nl/>
                            <nl/>
                            <nl/>
                          </a>
                        </be>
                        <b key="unicode">N</b>
                        <b key="supportsLineBreak">N</b>
                      </be>
                    </val>
                    <key>
                      <s>COST_VAC</s>
                    </key>
                    <val>
                      <be refId="241" clsId="QueryColumnDescriptor">
                        <s key="code">COST_VAC</s>
                        <be key="multiDescVO" refId="242" clsId="MultiDesc">
                          <a key="desc" refId="243" ln="4" eid="SYS_STR">
                            <nl/>
                            <nl/>
                            <nl/>
                            <nl/>
                          </a>
                        </be>
                        <b key="unicode">N</b>
                        <b key="supportsLineBreak">N</b>
                      </be>
                    </val>
                    <key>
                      <s>COST_PERM</s>
                    </key>
                    <val>
                      <be refId="244" clsId="QueryColumnDescriptor">
                        <s key="code">COST_PERM</s>
                        <be key="multiDescVO" refId="245" clsId="MultiDesc">
                          <a key="desc" refId="246" ln="4" eid="SYS_STR">
                            <nl/>
                            <nl/>
                            <nl/>
                            <nl/>
                          </a>
                        </be>
                        <b key="unicode">N</b>
                        <b key="supportsLineBreak">N</b>
                      </be>
                    </val>
                    <key>
                      <s>COST_ODIR</s>
                    </key>
                    <val>
                      <be refId="247" clsId="QueryColumnDescriptor">
                        <s key="code">COST_ODIR</s>
                        <be key="multiDescVO" refId="248" clsId="MultiDesc">
                          <a key="desc" refId="249" ln="4" eid="SYS_STR">
                            <nl/>
                            <nl/>
                            <nl/>
                            <nl/>
                          </a>
                        </be>
                        <b key="unicode">N</b>
                        <b key="supportsLineBreak">N</b>
                      </be>
                    </val>
                    <key>
                      <s>COST_STRUCT</s>
                    </key>
                    <val>
                      <be refId="250" clsId="QueryColumnDescriptor">
                        <s key="code">COST_STRUCT</s>
                        <be key="multiDescVO" refId="251" clsId="MultiDesc">
                          <a key="desc" refId="252" ln="4" eid="SYS_STR">
                            <nl/>
                            <nl/>
                            <nl/>
                            <nl/>
                          </a>
                        </be>
                        <b key="unicode">N</b>
                        <b key="supportsLineBreak">N</b>
                      </be>
                    </val>
                    <key>
                      <s>COST_MARQUE</s>
                    </key>
                    <val>
                      <be refId="253" clsId="QueryColumnDescriptor">
                        <s key="code">COST_MARQUE</s>
                        <be key="multiDescVO" refId="254" clsId="MultiDesc">
                          <a key="desc" refId="255" ln="4" eid="SYS_STR">
                            <nl/>
                            <nl/>
                            <nl/>
                            <nl/>
                          </a>
                        </be>
                        <b key="unicode">N</b>
                        <b key="supportsLineBreak">N</b>
                      </be>
                    </val>
                    <key>
                      <s>COST_HOLDING</s>
                    </key>
                    <val>
                      <be refId="256" clsId="QueryColumnDescriptor">
                        <s key="code">COST_HOLDING</s>
                        <be key="multiDescVO" refId="257" clsId="MultiDesc">
                          <a key="desc" refId="258" ln="4" eid="SYS_STR">
                            <nl/>
                            <nl/>
                            <nl/>
                            <nl/>
                          </a>
                        </be>
                        <b key="unicode">N</b>
                        <b key="supportsLineBreak">N</b>
                      </be>
                    </val>
                    <key>
                      <s>COST_SIEGE</s>
                    </key>
                    <val>
                      <be refId="259" clsId="QueryColumnDescriptor">
                        <s key="code">COST_SIEGE</s>
                        <be key="multiDescVO" refId="260" clsId="MultiDesc">
                          <a key="desc" refId="261" ln="4" eid="SYS_STR">
                            <nl/>
                            <nl/>
                            <nl/>
                            <nl/>
                          </a>
                        </be>
                        <b key="unicode">N</b>
                        <b key="supportsLineBreak">N</b>
                      </be>
                    </val>
                    <key>
                      <s>COST_VARIABLE</s>
                    </key>
                    <val>
                      <be refId="262" clsId="QueryColumnDescriptor">
                        <s key="code">COST_VARIABLE</s>
                        <be key="multiDescVO" refId="263" clsId="MultiDesc">
                          <a key="desc" refId="264" ln="4" eid="SYS_STR">
                            <nl/>
                            <nl/>
                            <nl/>
                            <nl/>
                          </a>
                        </be>
                        <b key="unicode">N</b>
                        <b key="supportsLineBreak">N</b>
                      </be>
                    </val>
                    <key>
                      <s>COST_STRUCTURE</s>
                    </key>
                    <val>
                      <be refId="265" clsId="QueryColumnDescriptor">
                        <s key="code">COST_STRUCTURE</s>
                        <be key="multiDescVO" refId="266" clsId="MultiDesc">
                          <a key="desc" refId="267" ln="4" eid="SYS_STR">
                            <nl/>
                            <nl/>
                            <nl/>
                            <nl/>
                          </a>
                        </be>
                        <b key="unicode">N</b>
                        <b key="supportsLineBreak">N</b>
                      </be>
                    </val>
                    <key>
                      <s>COST_COMPLET</s>
                    </key>
                    <val>
                      <be refId="268" clsId="QueryColumnDescriptor">
                        <s key="code">COST_COMPLET</s>
                        <be key="multiDescVO" refId="269" clsId="MultiDesc">
                          <a key="desc" refId="270" ln="4" eid="SYS_STR">
                            <nl/>
                            <nl/>
                            <nl/>
                            <nl/>
                          </a>
                        </be>
                        <b key="unicode">N</b>
                        <b key="supportsLineBreak">N</b>
                      </be>
                    </val>
                    <key>
                      <s>MARGE_COMPLETE</s>
                    </key>
                    <val>
                      <be refId="271" clsId="QueryColumnDescriptor">
                        <s key="code">MARGE_COMPLETE</s>
                        <be key="multiDescVO" refId="272" clsId="MultiDesc">
                          <a key="desc" refId="273" ln="4" eid="SYS_STR">
                            <nl/>
                            <nl/>
                            <nl/>
                            <nl/>
                          </a>
                        </be>
                        <b key="unicode">N</b>
                        <b key="supportsLineBreak">N</b>
                      </be>
                    </val>
                    <key>
                      <s>VOL_NEW</s>
                    </key>
                    <val>
                      <be refId="274" clsId="QueryColumnDescriptor">
                        <s key="code">VOL_NEW</s>
                        <be key="multiDescVO" refId="275" clsId="MultiDesc">
                          <a key="desc" refId="276" ln="4" eid="SYS_STR">
                            <nl/>
                            <nl/>
                            <nl/>
                            <nl/>
                          </a>
                        </be>
                        <b key="unicode">N</b>
                        <b key="supportsLineBreak">N</b>
                      </be>
                    </val>
                    <key>
                      <s>POOL_VAC</s>
                    </key>
                    <val>
                      <be refId="277" clsId="QueryColumnDescriptor">
                        <s key="code">POOL_VAC</s>
                        <be key="multiDescVO" refId="278" clsId="MultiDesc">
                          <a key="desc" refId="279" ln="4" eid="SYS_STR">
                            <nl/>
                            <nl/>
                            <nl/>
                            <nl/>
                          </a>
                        </be>
                        <b key="unicode">N</b>
                        <b key="supportsLineBreak">N</b>
                      </be>
                    </val>
                    <key>
                      <s>POOL_PERM</s>
                    </key>
                    <val>
                      <be refId="280" clsId="QueryColumnDescriptor">
                        <s key="code">POOL_PERM</s>
                        <be key="multiDescVO" refId="281" clsId="MultiDesc">
                          <a key="desc" refId="282" ln="4" eid="SYS_STR">
                            <nl/>
                            <nl/>
                            <nl/>
                            <nl/>
                          </a>
                        </be>
                        <b key="unicode">N</b>
                        <b key="supportsLineBreak">N</b>
                      </be>
                    </val>
                    <key>
                      <s>POOL_ODIR</s>
                    </key>
                    <val>
                      <be refId="283" clsId="QueryColumnDescriptor">
                        <s key="code">POOL_ODIR</s>
                        <be key="multiDescVO" refId="284" clsId="MultiDesc">
                          <a key="desc" refId="285" ln="4" eid="SYS_STR">
                            <nl/>
                            <nl/>
                            <nl/>
                            <nl/>
                          </a>
                        </be>
                        <b key="unicode">N</b>
                        <b key="supportsLineBreak">N</b>
                      </be>
                    </val>
                    <key>
                      <s>POOL_MKT</s>
                    </key>
                    <val>
                      <be refId="286" clsId="QueryColumnDescriptor">
                        <s key="code">POOL_MKT</s>
                        <be key="multiDescVO" refId="287" clsId="MultiDesc">
                          <a key="desc" refId="288" ln="4" eid="SYS_STR">
                            <nl/>
                            <nl/>
                            <nl/>
                            <nl/>
                          </a>
                        </be>
                        <b key="unicode">N</b>
                        <b key="supportsLineBreak">N</b>
                      </be>
                    </val>
                    <key>
                      <s>POOL_STRUCT</s>
                    </key>
                    <val>
                      <be refId="289" clsId="QueryColumnDescriptor">
                        <s key="code">POOL_STRUCT</s>
                        <be key="multiDescVO" refId="290" clsId="MultiDesc">
                          <a key="desc" refId="291" ln="4" eid="SYS_STR">
                            <nl/>
                            <nl/>
                            <nl/>
                            <nl/>
                          </a>
                        </be>
                        <b key="unicode">N</b>
                        <b key="supportsLineBreak">N</b>
                      </be>
                    </val>
                    <key>
                      <s>POOL_HOLDING</s>
                    </key>
                    <val>
                      <be refId="292" clsId="QueryColumnDescriptor">
                        <s key="code">POOL_HOLDING</s>
                        <be key="multiDescVO" refId="293" clsId="MultiDesc">
                          <a key="desc" refId="294" ln="4" eid="SYS_STR">
                            <nl/>
                            <nl/>
                            <nl/>
                            <nl/>
                          </a>
                        </be>
                        <b key="unicode">N</b>
                        <b key="supportsLineBreak">N</b>
                      </be>
                    </val>
                    <key>
                      <s>POOL_FRAIS_MARQUE</s>
                    </key>
                    <val>
                      <be refId="295" clsId="QueryColumnDescriptor">
                        <s key="code">POOL_FRAIS_MARQUE</s>
                        <be key="multiDescVO" refId="296" clsId="MultiDesc">
                          <a key="desc" refId="297" ln="4" eid="SYS_STR">
                            <nl/>
                            <nl/>
                            <nl/>
                            <nl/>
                          </a>
                        </be>
                        <b key="unicode">N</b>
                        <b key="supportsLineBreak">N</b>
                      </be>
                    </val>
                  </m>
                  <b key="forceCodeDesc">N</b>
                  <b key="enableFreeText">N</b>
                </be>
              </val>
            </m>
            <be key="sheets" refId="298" clsId="FilterNode">
              <l key="dimensionOids" refId="299" ln="0" eid="DimensionOid"/>
              <l key="AdHocParamDimensionOids" refId="300" ln="0" eid="DimensionOid"/>
              <be key="data" refId="301" clsId="FilterNodeData">
                <ref key="filterNode" refId="298"/>
                <i key="segmentLevel">0</i>
                <ref key="segment" refId="17"/>
                <b key="placeHolder">N</b>
                <ref key="weight" refId="18"/>
                <be key="textMatchingCondition" refId="302" clsId="TextMatchingCondition">
                  <ref key="op" refId="20"/>
                  <s key="val"/>
                </be>
                <ref key="change" refId="21"/>
                <ref key="dataType" refId="22"/>
                <b key="prevailingDataType">N</b>
                <ref key="editability" refId="23"/>
                <b key="signChange">N</b>
                <b key="nativeSignChange">N</b>
                <i key="sco">0</i>
                <b key="applyFiltersForForcedScenarioPeriodoMap">N</b>
                <b key="lineSplit">N</b>
                <b key="addRCRow">N</b>
                <b key="complementary">N</b>
                <ref key="periodicCalculation" refId="24"/>
                <b key="breakLevelSubtotal">N</b>
                <b key="alreadyDrilled">N</b>
                <b key="multiSelection">N</b>
              </be>
              <cust key="id" clsId="FilterOid">1</cust>
              <s key="cod">ROOT</s>
              <s key="desc">Tab filters</s>
              <i key="index">0</i>
            </be>
            <m key="launchers" refId="303" keid="SYS_STR" veid="ElaborationsLauncher"/>
            <m key="actionLists" refId="304" keid="SYS_STR" veid="Reporting.com.tagetik.actionlist.ISnapshotActionList,Reporting"/>
            <l key="areas" refId="305" ln="4" eid="SYS_STR">
              <s>ALLOC_BRAND_CAMP</s>
              <s>ALLOC_CAMP_CLASS</s>
              <s>ALLOC_GRP_BRAND</s>
              <s>ALLOC_GRP_MARQUE</s>
            </l>
            <l key="charts" refId="306" ln="0" eid="SYS_STR"/>
            <l key="pivots" refId="307" ln="0" eid="SYS_STR"/>
          </be>
        </val>
      </m>
      <m key="templateLayouts" refId="308" keid="SYS_STR" veid="Reporting.com.tagetik.report.IReportTemplateLayoutVO,Reporting">
        <key>
          <s>Template09</s>
        </key>
        <val>
          <be refId="309" clsId="ReportTemplateLayoutVO">
            <i key="index">0</i>
            <s key="code">Template09</s>
            <m key="cellFieldAddresses" refId="310" keid="SYS_STR" veid="Reporting.com.tagetik.spreadsheet.gridwrappers.IGridReaderVO,Reporting"/>
            <m key="controlExpressionsAddresses" refId="311" keid="SYS_STR" veid="Reporting.com.tagetik.spreadsheet.gridwrappers.IGridReaderVO,Reporting"/>
            <m key="inlineParameterAddresses" refId="312" keid="SYS_STR" veid="Reporting.com.tagetik.spreadsheet.gridwrappers.IGridReaderVO,Reporting"/>
            <m key="dictionaryAddresses" refId="313" keid="SYS_STR" veid="Reporting.com.tagetik.spreadsheet.gridwrappers.IGridReaderVO,Reporting"/>
            <m key="hyperlinkAddresses" refId="314" keid="SYS_STR" veid="Reporting.com.tagetik.spreadsheet.gridwrappers.IGridReaderVO,Reporting"/>
            <m key="matrixGridReaders" refId="315" keid="SYS_STR" veid="Reporting.com.tagetik.spreadsheet.gridwrappers.IGridReaderVO,Reporting">
              <key>
                <s>Matrix00 copy00</s>
              </key>
              <val>
                <be refId="316" clsId="ExcelCompactGridReaderVO">
                  <be key="element" refId="317" clsId="BasicLogicalElement">
                    <i key="columnHeadersCount">0</i>
                    <i key="rowHeadersCount">0</i>
                    <i key="valueColumns">2</i>
                    <i key="valueRows">1</i>
                  </be>
                  <s key="firstCell">B6</s>
                </be>
              </val>
              <key>
                <s>Matrix03 copy00</s>
              </key>
              <val>
                <be refId="318" clsId="ExcelCompactGridReaderVO">
                  <be key="element" refId="319" clsId="BasicLogicalElement">
                    <i key="columnHeadersCount">0</i>
                    <i key="rowHeadersCount">0</i>
                    <i key="valueColumns">1</i>
                    <i key="valueRows">1</i>
                  </be>
                  <s key="firstCell">C12</s>
                </be>
              </val>
            </m>
            <m key="queryGridReaders" refId="320" keid="SYS_STR" veid="Reporting.com.tagetik.spreadsheet.gridwrappers.IGridReaderVO,Reporting">
              <key>
                <s>Query00</s>
              </key>
              <val>
                <be refId="321" clsId="ExcelCompactGridReaderVO">
                  <be key="element" refId="322" clsId="BasicLogicalElement">
                    <i key="columnHeadersCount">0</i>
                    <i key="rowHeadersCount">0</i>
                    <i key="valueColumns">5</i>
                    <i key="valueRows">1</i>
                  </be>
                  <s key="firstCell">E5</s>
                </be>
              </val>
              <key>
                <s>Query01</s>
              </key>
              <val>
                <be refId="323" clsId="ExcelCompactGridReaderVO">
                  <be key="element" refId="324" clsId="BasicLogicalElement">
                    <i key="columnHeadersCount">1</i>
                    <i key="rowHeadersCount">0</i>
                    <i key="valueColumns">31</i>
                    <i key="valueRows">1</i>
                  </be>
                  <s key="firstCell">BF1</s>
                </be>
              </val>
            </m>
          </be>
        </val>
      </m>
      <m key="adHocParameters" refId="325" keid="SYS_STR" veid="ProspParametro"/>
      <l key="parametersToBeRequested" refId="326" ln="0" eid="ParameterInfo"/>
    </be>
  </data>
</easyPacket>
</file>

<file path=customXml/itemProps1.xml><?xml version="1.0" encoding="utf-8"?>
<ds:datastoreItem xmlns:ds="http://schemas.openxmlformats.org/officeDocument/2006/customXml" ds:itemID="{410934E5-2B78-4EE8-9A12-6F662F3E89C5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2</vt:i4>
      </vt:variant>
      <vt:variant>
        <vt:lpstr>Plages nommées</vt:lpstr>
      </vt:variant>
      <vt:variant>
        <vt:i4>4</vt:i4>
      </vt:variant>
    </vt:vector>
  </HeadingPairs>
  <TitlesOfParts>
    <vt:vector size="6" baseType="lpstr">
      <vt:lpstr>Allocation</vt:lpstr>
      <vt:lpstr>_CALC_ALLOC</vt:lpstr>
      <vt:lpstr>ALLOC_BRAND_CAMP</vt:lpstr>
      <vt:lpstr>ALLOC_CAMP_CLASS</vt:lpstr>
      <vt:lpstr>ALLOC_GRP_BRAND</vt:lpstr>
      <vt:lpstr>ALLOC_GRP_MARQUE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Hamza Bouzidi</dc:creator>
  <cp:lastModifiedBy>Saad El meziati</cp:lastModifiedBy>
  <dcterms:created xsi:type="dcterms:W3CDTF">2026-08-19T10:07:49Z</dcterms:created>
  <dcterms:modified xsi:type="dcterms:W3CDTF">2026-09-10T12:33:07Z</dcterms:modified>
</cp:coreProperties>
</file>

<file path=docProps/custom.xml><?xml version="1.0" encoding="utf-8"?>
<op:Properties xmlns:vt="http://schemas.openxmlformats.org/officeDocument/2006/docPropsVTypes" xmlns:op="http://schemas.openxmlformats.org/officeDocument/2006/custom-properties">
  <op:property fmtid="{D5CDD505-2E9C-101B-9397-08002B2CF9AE}" pid="2" name="TGK_DBID">
    <vt:lpwstr>TGK_MSSQL_07</vt:lpwstr>
  </op:property>
  <op:property fmtid="{D5CDD505-2E9C-101B-9397-08002B2CF9AE}" pid="3" name="TGK_VERSION">
    <vt:lpwstr>35.0.0.6.tgk.20260209140819</vt:lpwstr>
  </op:property>
  <op:property fmtid="{D5CDD505-2E9C-101B-9397-08002B2CF9AE}" pid="4" name="TGK_DOCID">
    <vt:lpwstr>175f7894-ec63-4b43-808a-32b99eb38e4f</vt:lpwstr>
  </op:property>
  <op:property fmtid="{D5CDD505-2E9C-101B-9397-08002B2CF9AE}" pid="5" name="TGK_STATUS">
    <vt:lpstr>ADH_TPL</vt:lpstr>
  </op:property>
  <op:property fmtid="{D5CDD505-2E9C-101B-9397-08002B2CF9AE}" pid="6" name="TGK_CUSTOM_XML">
    <vt:lpwstr>{410934E5-2B78-4EE8-9A12-6F662F3E89C5}</vt:lpwstr>
  </op:property>
</op:Properties>
</file>