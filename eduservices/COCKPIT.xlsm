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72EB71DD-CF7B-4D77-AB98-3E6089D92C26}" xr6:coauthVersionLast="47" xr6:coauthVersionMax="47" xr10:uidLastSave="{00000000-0000-0000-0000-000000000000}"/>
  <bookViews>
    <workbookView xWindow="-120" yWindow="-120" windowWidth="29040" windowHeight="15720" firstSheet="1" activeTab="1" xr2:uid="{BFD80C7C-8FCC-42DB-8334-50E9FAFEA52E}"/>
  </bookViews>
  <sheets>
    <sheet name="_TGK_HIDDEN" sheetId="2" state="veryHidden" r:id="rId1"/>
    <sheet name="2" sheetId="4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8" i="4" l="1"/>
  <c r="G38" i="4"/>
  <c r="I38" i="4"/>
  <c r="L38" i="4"/>
  <c r="M38" i="4"/>
  <c r="U38" i="4"/>
  <c r="Y38" i="4"/>
  <c r="I10" i="4" s="1"/>
  <c r="Z38" i="4"/>
  <c r="J38" i="4" l="1"/>
  <c r="M10" i="4"/>
  <c r="M9" i="4"/>
  <c r="K9" i="4"/>
  <c r="K10" i="4" s="1"/>
  <c r="I9" i="4"/>
  <c r="E9" i="4"/>
  <c r="C9" i="4"/>
  <c r="C10" i="4" l="1"/>
  <c r="E10" i="4"/>
  <c r="G9" i="4"/>
  <c r="G10" i="4" l="1"/>
  <c r="B2" i="2"/>
</calcChain>
</file>

<file path=xl/sharedStrings.xml><?xml version="1.0" encoding="utf-8"?>
<sst xmlns="http://schemas.openxmlformats.org/spreadsheetml/2006/main" count="66" uniqueCount="65">
  <si>
    <t>Forecast 2026</t>
  </si>
  <si>
    <t>EDUSERVICES</t>
  </si>
  <si>
    <t>EBITDA</t>
  </si>
  <si>
    <t>CA</t>
  </si>
  <si>
    <t>Template01</t>
  </si>
  <si>
    <t>EBITDA_N1</t>
  </si>
  <si>
    <t>CA_N1</t>
  </si>
  <si>
    <t>PLACES</t>
  </si>
  <si>
    <t>EFFECTIFS</t>
  </si>
  <si>
    <t>EFFECTIFS_ALT</t>
  </si>
  <si>
    <t>Δ CA</t>
  </si>
  <si>
    <t>SPEND_ACQ</t>
  </si>
  <si>
    <t>SPEND_ACQ_N1</t>
  </si>
  <si>
    <t>Δ EBITDA</t>
  </si>
  <si>
    <t>Part EBITDA</t>
  </si>
  <si>
    <t>Marge EBITDA</t>
  </si>
  <si>
    <t>Δ Marge</t>
  </si>
  <si>
    <t>Inscrits</t>
  </si>
  <si>
    <t>Rempl.</t>
  </si>
  <si>
    <t>Mix alt.</t>
  </si>
  <si>
    <t>Marge EBTIDA N-1</t>
  </si>
  <si>
    <t xml:space="preserve">  CHIFFRE D'AFFAIRES</t>
  </si>
  <si>
    <t xml:space="preserve">  EBITDA</t>
  </si>
  <si>
    <t xml:space="preserve">  MARGE EBITDA</t>
  </si>
  <si>
    <t xml:space="preserve">  INSCRITS (NOUVEAUX)</t>
  </si>
  <si>
    <t xml:space="preserve">  COÛT D'ACQUISITION</t>
  </si>
  <si>
    <t xml:space="preserve">  REMPLISSAGE MOYEN</t>
  </si>
  <si>
    <t>PLACES_N1</t>
  </si>
  <si>
    <t>INSCRITS_N1</t>
  </si>
  <si>
    <t>EFFECTIFS_N1</t>
  </si>
  <si>
    <t>% nouveaux inscrits</t>
  </si>
  <si>
    <t xml:space="preserve">  Scénario</t>
  </si>
  <si>
    <t>$Entity(HIERARCHY("EDU")).desc</t>
  </si>
  <si>
    <t>Version</t>
  </si>
  <si>
    <t>V_FINAL</t>
  </si>
  <si>
    <t>RANG</t>
  </si>
  <si>
    <t>ETAPE</t>
  </si>
  <si>
    <t>SOCLE</t>
  </si>
  <si>
    <t>ANCRE</t>
  </si>
  <si>
    <t>HAUSSE</t>
  </si>
  <si>
    <t>BAISSE</t>
  </si>
  <si>
    <t>EXERCICE</t>
  </si>
  <si>
    <t>CA_2024</t>
  </si>
  <si>
    <t>EBITDA_2024</t>
  </si>
  <si>
    <t>MARGE_2024</t>
  </si>
  <si>
    <t>CA_2025</t>
  </si>
  <si>
    <t>EBITDA_2025</t>
  </si>
  <si>
    <t>MARGE_2025</t>
  </si>
  <si>
    <t>CA_2026</t>
  </si>
  <si>
    <t>EBITDA_2026</t>
  </si>
  <si>
    <t>MARGE_2026</t>
  </si>
  <si>
    <t>ECART_PT</t>
  </si>
  <si>
    <t>DEPENSES</t>
  </si>
  <si>
    <t>INSCRITS</t>
  </si>
  <si>
    <t>IND_DEPENSES</t>
  </si>
  <si>
    <t>IND_INSCRITS</t>
  </si>
  <si>
    <t>CAC</t>
  </si>
  <si>
    <t>NIVEAU</t>
  </si>
  <si>
    <t>CODE</t>
  </si>
  <si>
    <t>LIBELLE</t>
  </si>
  <si>
    <t>COCKPIT EDUSERVICES — PILOTAGE DE LA MARGE</t>
  </si>
  <si>
    <t xml:space="preserve">Exercice 2026 · variation contre 2025 </t>
  </si>
  <si>
    <t>Entité</t>
  </si>
  <si>
    <t xml:space="preserve">  Pont d'EBITDA 2025 → 2026</t>
  </si>
  <si>
    <t xml:space="preserve">  Marge EBITDA par marque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</si>
</sst>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%"/>
    <numFmt numFmtId="165" formatCode="#,##0.00,"/>
    <numFmt numFmtId="166" formatCode="#,##0,"/>
    <numFmt numFmtId="167" formatCode="mm/dd/yy;@"/>
    <numFmt numFmtId="168" formatCode="_(&quot;$&quot;* #,##0_);_(&quot;$&quot;* \(#,##0\);_(&quot;$&quot;* &quot;-&quot;_);_(@_)"/>
    <numFmt numFmtId="169" formatCode="&quot;$&quot;#,##0.00"/>
    <numFmt numFmtId="170" formatCode="&quot;▲ &quot;0.0%;&quot;▼ &quot;0.0%"/>
    <numFmt numFmtId="171" formatCode="#,##0.00,,&quot; M€&quot;"/>
    <numFmt numFmtId="172" formatCode="#,##0&quot; €&quot;"/>
    <numFmt numFmtId="173" formatCode="#,##0&quot; places libres&quot;"/>
    <numFmt numFmtId="174" formatCode="0.0,,&quot; M€&quot;"/>
    <numFmt numFmtId="175" formatCode="&quot;+&quot;0.0%;&quot;-&quot;0.0%;&quot;—&quot;"/>
    <numFmt numFmtId="176" formatCode="&quot;+&quot;0.00&quot; pt&quot;;&quot;-&quot;0.00&quot; pt&quot;;&quot;—&quot;"/>
    <numFmt numFmtId="177" formatCode="&quot;+&quot;0.0%;&quot;-&quot;0.0%;&quot;&quot;"/>
    <numFmt numFmtId="178" formatCode="&quot;+&quot;0.00;&quot;-&quot;0.00;&quot;&quot;"/>
  </numFmts>
  <fonts count="3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3"/>
      <name val="Tahoma"/>
      <family val="2"/>
    </font>
    <font>
      <sz val="11"/>
      <color theme="3"/>
      <name val="Aptos Narrow"/>
      <family val="2"/>
      <scheme val="minor"/>
    </font>
    <font>
      <sz val="8"/>
      <color theme="0"/>
      <name val="Tahoma"/>
      <family val="2"/>
    </font>
    <font>
      <b/>
      <sz val="8"/>
      <color theme="3"/>
      <name val="Tahoma"/>
      <family val="2"/>
    </font>
    <font>
      <b/>
      <i/>
      <sz val="8"/>
      <color theme="3"/>
      <name val="Tahoma"/>
      <family val="2"/>
    </font>
    <font>
      <u/>
      <sz val="8"/>
      <color theme="3"/>
      <name val="Tahoma"/>
      <family val="2"/>
    </font>
    <font>
      <sz val="8"/>
      <name val="Tahoma"/>
      <family val="2"/>
    </font>
    <font>
      <sz val="11"/>
      <color rgb="FF9C6500"/>
      <name val="Aptos Narrow"/>
      <family val="2"/>
      <scheme val="minor"/>
    </font>
    <font>
      <sz val="11"/>
      <color theme="3"/>
      <name val="Tahoma"/>
      <family val="2"/>
    </font>
    <font>
      <sz val="10"/>
      <color theme="3"/>
      <name val="Webdings"/>
      <family val="1"/>
      <charset val="2"/>
    </font>
    <font>
      <b/>
      <sz val="18"/>
      <color theme="3"/>
      <name val="Aptos Display"/>
      <family val="2"/>
      <scheme val="major"/>
    </font>
    <font>
      <sz val="8"/>
      <color rgb="FFFF0000"/>
      <name val="Webdings"/>
      <family val="1"/>
      <charset val="2"/>
    </font>
    <font>
      <sz val="14"/>
      <color rgb="FFFF0000"/>
      <name val="Webdings"/>
      <family val="1"/>
      <charset val="2"/>
    </font>
    <font>
      <sz val="8"/>
      <color theme="1"/>
      <name val="Webdings"/>
      <family val="1"/>
      <charset val="2"/>
    </font>
    <font>
      <sz val="14"/>
      <color rgb="FF00B050"/>
      <name val="Webdings"/>
      <family val="1"/>
      <charset val="2"/>
    </font>
    <font>
      <b/>
      <sz val="11"/>
      <color theme="1"/>
      <name val="Aptos Narrow"/>
      <family val="2"/>
      <scheme val="minor"/>
    </font>
    <font>
      <b/>
      <sz val="9.5"/>
      <color rgb="FF131922"/>
      <name val="Segoe UI"/>
      <family val="2"/>
    </font>
    <font>
      <b/>
      <sz val="8.5"/>
      <color rgb="FF7C8798"/>
      <name val="Segoe UI"/>
      <family val="2"/>
    </font>
    <font>
      <b/>
      <sz val="20"/>
      <color rgb="FF131922"/>
      <name val="Consolas"/>
      <family val="3"/>
    </font>
    <font>
      <sz val="9"/>
      <color rgb="FF7C8798"/>
      <name val="Segoe UI"/>
      <family val="2"/>
    </font>
    <font>
      <b/>
      <i/>
      <sz val="11"/>
      <color theme="1"/>
      <name val="Aptos Narrow"/>
      <family val="2"/>
      <scheme val="minor"/>
    </font>
    <font>
      <b/>
      <sz val="15"/>
      <color rgb="FFFFFFFF"/>
      <name val="Fira Sans Medium"/>
    </font>
    <font>
      <b/>
      <sz val="8"/>
      <color rgb="FFB8C6DA"/>
      <name val="Arial"/>
      <family val="2"/>
    </font>
    <font>
      <b/>
      <sz val="7.5"/>
      <color rgb="FF526071"/>
      <name val="Arial"/>
      <family val="2"/>
    </font>
    <font>
      <b/>
      <sz val="9"/>
      <color rgb="FF202733"/>
      <name val="Arial"/>
      <family val="2"/>
    </font>
    <font>
      <b/>
      <sz val="18"/>
      <color rgb="FF202733"/>
      <name val="Fira Sans Medium"/>
    </font>
    <font>
      <b/>
      <sz val="8.5"/>
      <color rgb="FF69778B"/>
      <name val="Arial"/>
      <family val="2"/>
    </font>
    <font>
      <b/>
      <sz val="9"/>
      <color rgb="FF202733"/>
      <name val="Fira Sans Medium"/>
    </font>
    <font>
      <i/>
      <sz val="7.5"/>
      <color rgb="FF69778B"/>
      <name val="Arial"/>
      <family val="2"/>
    </font>
    <font>
      <b/>
      <sz val="8"/>
      <color rgb="FFFFFFFF"/>
      <name val="Fira Sans Medium"/>
    </font>
    <font>
      <sz val="7.5"/>
      <color rgb="FF69778B"/>
      <name val="Arial"/>
      <family val="2"/>
    </font>
    <font>
      <sz val="8.5"/>
      <color rgb="FF202733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</borders>
  <cellStyleXfs count="57">
    <xf numFmtId="0" fontId="0" fillId="0" borderId="0"/>
    <xf numFmtId="0" fontId="13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>
      <alignment horizontal="center"/>
    </xf>
    <xf numFmtId="10" fontId="1" fillId="0" borderId="0" applyFont="0" applyFill="0" applyBorder="0" applyAlignment="0"/>
    <xf numFmtId="165" fontId="3" fillId="9" borderId="1" applyNumberFormat="0" applyProtection="0">
      <alignment horizontal="center" vertical="center" wrapText="1"/>
    </xf>
    <xf numFmtId="9" fontId="1" fillId="0" borderId="0" applyNumberFormat="0" applyFont="0" applyFill="0" applyBorder="0" applyProtection="0">
      <alignment horizontal="center" vertical="center"/>
    </xf>
    <xf numFmtId="9" fontId="1" fillId="0" borderId="0" applyNumberFormat="0" applyFont="0" applyFill="0" applyBorder="0" applyProtection="0">
      <alignment horizontal="left" vertical="center"/>
    </xf>
    <xf numFmtId="9" fontId="1" fillId="0" borderId="0" applyNumberFormat="0" applyFont="0" applyFill="0" applyBorder="0" applyProtection="0">
      <alignment horizontal="center" vertical="center"/>
    </xf>
    <xf numFmtId="9" fontId="1" fillId="0" borderId="0" applyNumberFormat="0" applyFont="0" applyFill="0" applyBorder="0" applyProtection="0">
      <alignment horizontal="left" vertical="center" wrapText="1"/>
    </xf>
    <xf numFmtId="2" fontId="4" fillId="0" borderId="0" applyFont="0" applyFill="0" applyBorder="0" applyAlignment="0" applyProtection="0">
      <alignment horizontal="left"/>
    </xf>
    <xf numFmtId="9" fontId="1" fillId="0" borderId="2" applyNumberFormat="0" applyFont="0" applyFill="0" applyAlignment="0"/>
    <xf numFmtId="166" fontId="1" fillId="0" borderId="0" applyFont="0" applyFill="0" applyBorder="0" applyAlignment="0"/>
    <xf numFmtId="165" fontId="3" fillId="0" borderId="3" applyNumberFormat="0" applyFill="0" applyProtection="0">
      <alignment horizontal="center" vertical="center" wrapText="1"/>
    </xf>
    <xf numFmtId="9" fontId="5" fillId="0" borderId="0" applyNumberFormat="0" applyFill="0" applyAlignment="0"/>
    <xf numFmtId="9" fontId="6" fillId="0" borderId="0" applyNumberFormat="0" applyFill="0" applyBorder="0" applyAlignment="0" applyProtection="0"/>
    <xf numFmtId="9" fontId="7" fillId="0" borderId="0" applyNumberFormat="0" applyFill="0" applyBorder="0" applyAlignment="0" applyProtection="0"/>
    <xf numFmtId="165" fontId="1" fillId="10" borderId="4" applyNumberFormat="0" applyFont="0" applyAlignment="0"/>
    <xf numFmtId="0" fontId="3" fillId="9" borderId="5">
      <alignment horizontal="center" vertical="center" wrapText="1"/>
    </xf>
    <xf numFmtId="167" fontId="1" fillId="0" borderId="0" applyFont="0" applyFill="0" applyBorder="0" applyAlignment="0"/>
    <xf numFmtId="9" fontId="1" fillId="11" borderId="0" applyNumberFormat="0" applyFont="0" applyBorder="0" applyAlignment="0" applyProtection="0"/>
    <xf numFmtId="165" fontId="6" fillId="0" borderId="0" applyNumberFormat="0" applyFill="0" applyBorder="0" applyProtection="0">
      <alignment horizontal="right"/>
    </xf>
    <xf numFmtId="0" fontId="3" fillId="0" borderId="2" applyNumberFormat="0" applyFill="0">
      <alignment horizontal="left" vertical="center"/>
    </xf>
    <xf numFmtId="9" fontId="8" fillId="0" borderId="0" applyNumberFormat="0" applyFill="0" applyBorder="0" applyAlignment="0"/>
    <xf numFmtId="9" fontId="8" fillId="0" borderId="0" applyNumberFormat="0" applyFill="0" applyBorder="0" applyAlignment="0"/>
    <xf numFmtId="0" fontId="1" fillId="0" borderId="0" applyNumberFormat="0" applyFont="0" applyFill="0" applyBorder="0">
      <alignment horizontal="center" vertical="center" wrapText="1"/>
    </xf>
    <xf numFmtId="168" fontId="3" fillId="0" borderId="0"/>
    <xf numFmtId="169" fontId="9" fillId="0" borderId="0" applyBorder="0">
      <alignment horizontal="center"/>
    </xf>
    <xf numFmtId="0" fontId="3" fillId="0" borderId="4" applyNumberFormat="0" applyFill="0" applyAlignment="0"/>
    <xf numFmtId="9" fontId="6" fillId="0" borderId="6" applyNumberFormat="0" applyFill="0"/>
    <xf numFmtId="9" fontId="2" fillId="9" borderId="7" applyNumberFormat="0" applyAlignment="0"/>
    <xf numFmtId="3" fontId="3" fillId="0" borderId="0" applyFill="0" applyBorder="0" applyProtection="0">
      <alignment horizontal="right" vertical="center"/>
    </xf>
    <xf numFmtId="37" fontId="11" fillId="0" borderId="0" applyFill="0" applyBorder="0" applyProtection="0">
      <alignment horizontal="right" vertical="center"/>
    </xf>
    <xf numFmtId="165" fontId="3" fillId="0" borderId="0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right" vertical="center" wrapText="1"/>
    </xf>
    <xf numFmtId="9" fontId="1" fillId="12" borderId="0" applyNumberFormat="0" applyFont="0" applyAlignment="0" applyProtection="0"/>
    <xf numFmtId="9" fontId="12" fillId="0" borderId="0" applyNumberFormat="0" applyFill="0" applyBorder="0" applyAlignment="0"/>
    <xf numFmtId="9" fontId="1" fillId="0" borderId="0"/>
    <xf numFmtId="9" fontId="6" fillId="13" borderId="0" applyNumberFormat="0" applyBorder="0" applyProtection="0">
      <alignment horizontal="right" vertical="center"/>
    </xf>
    <xf numFmtId="9" fontId="6" fillId="13" borderId="0" applyNumberFormat="0" applyBorder="0" applyProtection="0">
      <alignment horizontal="left" vertical="center" wrapText="1"/>
    </xf>
    <xf numFmtId="165" fontId="6" fillId="13" borderId="8" applyNumberFormat="0" applyFill="0" applyBorder="0" applyAlignment="0"/>
    <xf numFmtId="0" fontId="4" fillId="0" borderId="0" applyNumberFormat="0" applyFill="0" applyBorder="0" applyProtection="0">
      <alignment horizontal="right"/>
    </xf>
    <xf numFmtId="9" fontId="14" fillId="0" borderId="0" applyFill="0" applyBorder="0" applyProtection="0">
      <alignment horizontal="center" vertical="center"/>
    </xf>
    <xf numFmtId="0" fontId="15" fillId="0" borderId="0">
      <alignment horizontal="center" vertical="center"/>
    </xf>
    <xf numFmtId="1" fontId="16" fillId="0" borderId="0" applyFill="0" applyBorder="0" applyProtection="0">
      <alignment horizontal="center" vertical="center"/>
    </xf>
    <xf numFmtId="0" fontId="15" fillId="0" borderId="9" applyFill="0" applyProtection="0">
      <alignment horizontal="center" vertical="center"/>
    </xf>
    <xf numFmtId="0" fontId="17" fillId="0" borderId="9" applyFill="0" applyProtection="0">
      <alignment horizontal="center"/>
    </xf>
    <xf numFmtId="9" fontId="6" fillId="0" borderId="10" applyNumberFormat="0" applyFill="0">
      <alignment horizontal="left"/>
    </xf>
    <xf numFmtId="0" fontId="3" fillId="0" borderId="2">
      <alignment horizontal="left" vertical="top" wrapText="1"/>
      <protection locked="0"/>
    </xf>
    <xf numFmtId="0" fontId="1" fillId="0" borderId="0"/>
  </cellStyleXfs>
  <cellXfs count="55">
    <xf numFmtId="0" fontId="0" fillId="0" borderId="0" xfId="0"/>
    <xf numFmtId="0" fontId="18" fillId="0" borderId="0" xfId="0" quotePrefix="1" applyFont="1"/>
    <xf numFmtId="0" fontId="23" fillId="0" borderId="0" xfId="0" quotePrefix="1" applyFont="1"/>
    <xf numFmtId="0" fontId="0" fillId="15" borderId="0" xfId="0" applyFill="1"/>
    <xf numFmtId="0" fontId="24" fillId="15" borderId="0" xfId="0" applyFont="1" applyFill="1" applyAlignment="1">
      <alignment horizontal="left" vertical="center"/>
    </xf>
    <xf numFmtId="0" fontId="25" fillId="15" borderId="0" xfId="0" applyFont="1" applyFill="1" applyAlignment="1">
      <alignment horizontal="left" vertical="center"/>
    </xf>
    <xf numFmtId="0" fontId="0" fillId="16" borderId="0" xfId="0" applyFill="1"/>
    <xf numFmtId="0" fontId="27" fillId="17" borderId="17" xfId="0" quotePrefix="1" applyFont="1" applyFill="1" applyBorder="1" applyAlignment="1">
      <alignment horizontal="left" vertical="center"/>
    </xf>
    <xf numFmtId="0" fontId="22" fillId="17" borderId="17" xfId="0" applyFont="1" applyFill="1" applyBorder="1" applyAlignment="1">
      <alignment horizontal="left" vertical="center"/>
    </xf>
    <xf numFmtId="0" fontId="27" fillId="17" borderId="17" xfId="0" applyFont="1" applyFill="1" applyBorder="1" applyAlignment="1">
      <alignment horizontal="left" vertical="center"/>
    </xf>
    <xf numFmtId="0" fontId="0" fillId="17" borderId="17" xfId="0" applyFill="1" applyBorder="1"/>
    <xf numFmtId="0" fontId="26" fillId="14" borderId="18" xfId="56" applyFont="1" applyFill="1" applyBorder="1" applyAlignment="1">
      <alignment horizontal="left" vertical="center" indent="1"/>
    </xf>
    <xf numFmtId="0" fontId="1" fillId="14" borderId="19" xfId="56" applyFill="1" applyBorder="1"/>
    <xf numFmtId="0" fontId="0" fillId="14" borderId="19" xfId="0" applyFill="1" applyBorder="1"/>
    <xf numFmtId="0" fontId="26" fillId="14" borderId="18" xfId="0" applyFont="1" applyFill="1" applyBorder="1" applyAlignment="1">
      <alignment horizontal="left" vertical="center" indent="1"/>
    </xf>
    <xf numFmtId="174" fontId="28" fillId="14" borderId="20" xfId="56" applyNumberFormat="1" applyFont="1" applyFill="1" applyBorder="1" applyAlignment="1">
      <alignment horizontal="left" vertical="center" indent="1"/>
    </xf>
    <xf numFmtId="0" fontId="1" fillId="14" borderId="21" xfId="56" applyFill="1" applyBorder="1" applyAlignment="1">
      <alignment horizontal="centerContinuous"/>
    </xf>
    <xf numFmtId="164" fontId="28" fillId="14" borderId="20" xfId="56" applyNumberFormat="1" applyFont="1" applyFill="1" applyBorder="1" applyAlignment="1">
      <alignment horizontal="left" vertical="center" indent="1"/>
    </xf>
    <xf numFmtId="3" fontId="28" fillId="14" borderId="20" xfId="56" applyNumberFormat="1" applyFont="1" applyFill="1" applyBorder="1" applyAlignment="1">
      <alignment horizontal="left" vertical="center" indent="1"/>
    </xf>
    <xf numFmtId="172" fontId="28" fillId="14" borderId="20" xfId="56" applyNumberFormat="1" applyFont="1" applyFill="1" applyBorder="1" applyAlignment="1">
      <alignment horizontal="left" vertical="center" indent="1"/>
    </xf>
    <xf numFmtId="0" fontId="0" fillId="14" borderId="21" xfId="0" applyFill="1" applyBorder="1" applyAlignment="1">
      <alignment horizontal="centerContinuous"/>
    </xf>
    <xf numFmtId="164" fontId="28" fillId="14" borderId="20" xfId="0" applyNumberFormat="1" applyFont="1" applyFill="1" applyBorder="1" applyAlignment="1">
      <alignment horizontal="left" vertical="center" indent="1"/>
    </xf>
    <xf numFmtId="0" fontId="0" fillId="14" borderId="21" xfId="0" applyFill="1" applyBorder="1"/>
    <xf numFmtId="175" fontId="29" fillId="14" borderId="22" xfId="56" applyNumberFormat="1" applyFont="1" applyFill="1" applyBorder="1" applyAlignment="1">
      <alignment horizontal="left" vertical="center" indent="1"/>
    </xf>
    <xf numFmtId="0" fontId="1" fillId="14" borderId="23" xfId="56" applyFill="1" applyBorder="1"/>
    <xf numFmtId="176" fontId="29" fillId="14" borderId="22" xfId="56" applyNumberFormat="1" applyFont="1" applyFill="1" applyBorder="1" applyAlignment="1">
      <alignment horizontal="left" vertical="center" indent="1"/>
    </xf>
    <xf numFmtId="0" fontId="0" fillId="14" borderId="23" xfId="0" applyFill="1" applyBorder="1"/>
    <xf numFmtId="173" fontId="29" fillId="14" borderId="22" xfId="0" applyNumberFormat="1" applyFont="1" applyFill="1" applyBorder="1" applyAlignment="1">
      <alignment horizontal="left" vertical="center" indent="1"/>
    </xf>
    <xf numFmtId="0" fontId="26" fillId="17" borderId="17" xfId="0" applyFont="1" applyFill="1" applyBorder="1" applyAlignment="1">
      <alignment horizontal="left" vertical="center"/>
    </xf>
    <xf numFmtId="0" fontId="26" fillId="17" borderId="17" xfId="0" applyFont="1" applyFill="1" applyBorder="1" applyAlignment="1">
      <alignment horizontal="center" vertical="center"/>
    </xf>
    <xf numFmtId="0" fontId="27" fillId="17" borderId="17" xfId="0" applyFont="1" applyFill="1" applyBorder="1" applyAlignment="1">
      <alignment horizontal="left" vertical="center" indent="1"/>
    </xf>
    <xf numFmtId="0" fontId="0" fillId="14" borderId="24" xfId="0" applyFill="1" applyBorder="1"/>
    <xf numFmtId="0" fontId="31" fillId="14" borderId="24" xfId="0" applyFont="1" applyFill="1" applyBorder="1" applyAlignment="1">
      <alignment horizontal="right" vertical="center"/>
    </xf>
    <xf numFmtId="0" fontId="0" fillId="14" borderId="20" xfId="0" applyFill="1" applyBorder="1"/>
    <xf numFmtId="0" fontId="0" fillId="14" borderId="0" xfId="0" applyFill="1"/>
    <xf numFmtId="0" fontId="0" fillId="14" borderId="22" xfId="0" applyFill="1" applyBorder="1"/>
    <xf numFmtId="0" fontId="0" fillId="14" borderId="25" xfId="0" applyFill="1" applyBorder="1"/>
    <xf numFmtId="0" fontId="20" fillId="9" borderId="11" xfId="56" applyFont="1" applyFill="1" applyBorder="1" applyAlignment="1">
      <alignment horizontal="left" vertical="center"/>
    </xf>
    <xf numFmtId="0" fontId="1" fillId="9" borderId="12" xfId="56" applyFill="1" applyBorder="1"/>
    <xf numFmtId="171" fontId="21" fillId="9" borderId="13" xfId="56" applyNumberFormat="1" applyFont="1" applyFill="1" applyBorder="1" applyAlignment="1">
      <alignment horizontal="centerContinuous" vertical="center"/>
    </xf>
    <xf numFmtId="0" fontId="1" fillId="9" borderId="14" xfId="56" applyFill="1" applyBorder="1" applyAlignment="1">
      <alignment horizontal="centerContinuous"/>
    </xf>
    <xf numFmtId="170" fontId="19" fillId="9" borderId="15" xfId="56" applyNumberFormat="1" applyFont="1" applyFill="1" applyBorder="1" applyAlignment="1">
      <alignment horizontal="left" vertical="center" indent="1"/>
    </xf>
    <xf numFmtId="0" fontId="1" fillId="9" borderId="16" xfId="56" applyFill="1" applyBorder="1"/>
    <xf numFmtId="0" fontId="30" fillId="14" borderId="18" xfId="0" applyFont="1" applyFill="1" applyBorder="1" applyAlignment="1">
      <alignment horizontal="left" vertical="center" indent="2"/>
    </xf>
    <xf numFmtId="0" fontId="32" fillId="18" borderId="26" xfId="0" applyFont="1" applyFill="1" applyBorder="1" applyAlignment="1">
      <alignment horizontal="center" vertical="center"/>
    </xf>
    <xf numFmtId="0" fontId="32" fillId="18" borderId="26" xfId="25" quotePrefix="1" applyFont="1" applyFill="1" applyBorder="1" applyAlignment="1">
      <alignment horizontal="left" vertical="center" indent="1"/>
    </xf>
    <xf numFmtId="0" fontId="32" fillId="18" borderId="26" xfId="25" quotePrefix="1" applyFont="1" applyFill="1" applyBorder="1" applyAlignment="1">
      <alignment horizontal="center" vertical="center"/>
    </xf>
    <xf numFmtId="0" fontId="33" fillId="14" borderId="25" xfId="56" quotePrefix="1" applyFont="1" applyFill="1" applyBorder="1" applyAlignment="1">
      <alignment horizontal="center" vertical="center"/>
    </xf>
    <xf numFmtId="3" fontId="34" fillId="14" borderId="25" xfId="0" quotePrefix="1" applyNumberFormat="1" applyFont="1" applyFill="1" applyBorder="1" applyAlignment="1">
      <alignment horizontal="left" vertical="center"/>
    </xf>
    <xf numFmtId="3" fontId="34" fillId="14" borderId="25" xfId="0" applyNumberFormat="1" applyFont="1" applyFill="1" applyBorder="1" applyAlignment="1">
      <alignment horizontal="right" vertical="center"/>
    </xf>
    <xf numFmtId="177" fontId="34" fillId="14" borderId="25" xfId="0" applyNumberFormat="1" applyFont="1" applyFill="1" applyBorder="1" applyAlignment="1">
      <alignment horizontal="right" vertical="center"/>
    </xf>
    <xf numFmtId="164" fontId="34" fillId="14" borderId="25" xfId="0" applyNumberFormat="1" applyFont="1" applyFill="1" applyBorder="1" applyAlignment="1">
      <alignment horizontal="right" vertical="center"/>
    </xf>
    <xf numFmtId="178" fontId="34" fillId="14" borderId="25" xfId="0" applyNumberFormat="1" applyFont="1" applyFill="1" applyBorder="1" applyAlignment="1">
      <alignment horizontal="right" vertical="center"/>
    </xf>
    <xf numFmtId="3" fontId="34" fillId="14" borderId="25" xfId="38" applyFont="1" applyFill="1" applyBorder="1">
      <alignment horizontal="right" vertical="center"/>
    </xf>
    <xf numFmtId="0" fontId="33" fillId="14" borderId="25" xfId="56" applyFont="1" applyFill="1" applyBorder="1" applyAlignment="1">
      <alignment horizontal="center" vertical="center"/>
    </xf>
  </cellXfs>
  <cellStyles count="57">
    <cellStyle name="%0." xfId="9" xr:uid="{0DAF4F15-CAF0-48EE-9554-4E789157264E}"/>
    <cellStyle name="%0.0" xfId="10" xr:uid="{567618BE-5A60-412A-B50D-1C48BEA1D00A}"/>
    <cellStyle name="%0.00" xfId="11" xr:uid="{0FA633ED-0AAF-4FB8-82AD-8DB81862C10B}"/>
    <cellStyle name="60 % - Accent1" xfId="3" builtinId="32" customBuiltin="1"/>
    <cellStyle name="60 % - Accent2" xfId="4" builtinId="36" customBuiltin="1"/>
    <cellStyle name="60 % - Accent3" xfId="5" builtinId="40" customBuiltin="1"/>
    <cellStyle name="60 % - Accent4" xfId="6" builtinId="44" customBuiltin="1"/>
    <cellStyle name="60 % - Accent5" xfId="7" builtinId="48" customBuiltin="1"/>
    <cellStyle name="60 % - Accent6" xfId="8" builtinId="52" customBuiltin="1"/>
    <cellStyle name="ACT" xfId="12" xr:uid="{929B25C5-DA52-44EB-80F0-6EA184B028EA}"/>
    <cellStyle name="Alighment Center" xfId="13" xr:uid="{A44B6316-3ECE-4513-9919-C351446E53B9}"/>
    <cellStyle name="Alighment Left" xfId="14" xr:uid="{11541B42-75B8-4C27-B044-82FDAD1241A0}"/>
    <cellStyle name="Alignment H&amp;V center" xfId="15" xr:uid="{69B8F8E8-8CBC-4D30-8F2F-4FAB8DCBF41C}"/>
    <cellStyle name="Amounts left nolocked" xfId="16" xr:uid="{28407FF5-F2B4-4873-8659-0922D641F793}"/>
    <cellStyle name="Amounts w/ 2 Decimals" xfId="17" xr:uid="{D7C5C079-15D8-4357-9328-390530FBE90C}"/>
    <cellStyle name="Amounts_Board" xfId="18" xr:uid="{54051937-040D-42F2-A365-91BFE0854521}"/>
    <cellStyle name="Amounts-1000" xfId="19" xr:uid="{F0C5AF86-7CB1-4BFF-9E17-6A6E3311646C}"/>
    <cellStyle name="BDG" xfId="20" xr:uid="{5E4C9425-32F2-4BBB-91F4-83693CD9D647}"/>
    <cellStyle name="Blank_Row" xfId="21" xr:uid="{3C35221B-EF3A-4FEE-9B9B-09B672D8BED7}"/>
    <cellStyle name="Bold" xfId="22" xr:uid="{8637E01A-9234-477F-B9AF-2B56A00F6645}"/>
    <cellStyle name="Bold+Italic" xfId="23" xr:uid="{827E84B8-BCB6-4AED-9293-1217CEB5BE24}"/>
    <cellStyle name="C_Amount_ACT" xfId="24" xr:uid="{4AABF9B3-7D01-4B04-A50E-BAB64660B6DF}"/>
    <cellStyle name="C_Head" xfId="25" xr:uid="{EA3128F7-F50B-4B13-BB8D-5FA820B00D9A}"/>
    <cellStyle name="Date" xfId="26" xr:uid="{A0736CF4-C723-4D68-8938-4B663A2477D0}"/>
    <cellStyle name="Fill light blue" xfId="27" xr:uid="{3F044181-E12A-4A79-9603-0DB135BDC80D}"/>
    <cellStyle name="Formula" xfId="28" xr:uid="{31469566-B57B-493C-84B0-6BF7342DF019}"/>
    <cellStyle name="Head_left" xfId="29" xr:uid="{9B7947C6-451C-4179-8556-C9F288CDA137}"/>
    <cellStyle name="Hyperlink for amounts" xfId="30" xr:uid="{0E69BFBE-EAA0-4F3F-9F50-8BE35850328A}"/>
    <cellStyle name="Hyperlnk row header underlined bold" xfId="31" xr:uid="{D5859D12-A632-4792-A5DF-43C7CEFF2E9E}"/>
    <cellStyle name="Middle Headers Centered" xfId="32" xr:uid="{0451219E-52F2-4193-A0A4-F5D087791A49}"/>
    <cellStyle name="NA Currency" xfId="33" xr:uid="{DDDF32B4-A667-42BA-84D6-31398D6F817C}"/>
    <cellStyle name="NA Currency 2 dec" xfId="34" xr:uid="{80B1EC4C-C47C-4B91-94FF-15FD41079E9E}"/>
    <cellStyle name="Neutre" xfId="2" builtinId="28" customBuiltin="1"/>
    <cellStyle name="Normal" xfId="0" builtinId="0"/>
    <cellStyle name="Normal 2" xfId="56" xr:uid="{6A6553C5-64D5-4BB0-BCD8-3D8D301A28D0}"/>
    <cellStyle name="Placeholder" xfId="35" xr:uid="{6EEDF83A-7011-426C-9064-8A6784CCE7FB}"/>
    <cellStyle name="Placeholder Header Underlined bold" xfId="36" xr:uid="{F174ACC8-AF21-4660-91FA-DE5B9ECAC60C}"/>
    <cellStyle name="Placeholder_column_blank" xfId="37" xr:uid="{DE73F4F1-A8C5-4C78-BD1E-1169E5883FDD}"/>
    <cellStyle name="R_Area_font" xfId="38" xr:uid="{75D5B786-5F6A-40B0-BF0B-85A4EABF0FE2}"/>
    <cellStyle name="R_AREA_FONT_UC" xfId="39" xr:uid="{9BC31809-2E3B-4691-A74C-472E7934EBAE}"/>
    <cellStyle name="R_formula" xfId="40" xr:uid="{33160225-5793-4F3C-A249-89D12A88F467}"/>
    <cellStyle name="R_head_font" xfId="41" xr:uid="{17243EFC-8132-4BE9-A50F-3E4821FB6561}"/>
    <cellStyle name="Row_Grey" xfId="42" xr:uid="{002132D2-8E24-450F-9DBE-9689D4581241}"/>
    <cellStyle name="Status Check" xfId="43" xr:uid="{B8A31753-417D-4AC1-A596-8CF713F29CEF}"/>
    <cellStyle name="Style0" xfId="44" xr:uid="{EB33866A-8C6D-4E8C-B7C4-2BD663704C10}"/>
    <cellStyle name="Subtotal Amounts row fill" xfId="45" xr:uid="{5450DC44-FCE2-438E-B041-DD5C1479303C}"/>
    <cellStyle name="Subtotal head row fill" xfId="46" xr:uid="{B537CA64-D400-4DE0-AD4A-5E8C0499C263}"/>
    <cellStyle name="Subtotal_amounts" xfId="47" xr:uid="{7FA7C401-EF17-41D9-A139-99C43B0A9717}"/>
    <cellStyle name="TGK_TOC_PAGE_COLUMN" xfId="48" xr:uid="{B30B40CB-4038-4B68-9674-01311B532102}"/>
    <cellStyle name="Titre" xfId="1" builtinId="15" customBuiltin="1"/>
    <cellStyle name="Visual Check" xfId="49" xr:uid="{5D5E7275-206D-4B4D-ACC5-849505CD9EB5}"/>
    <cellStyle name="Webdings" xfId="50" xr:uid="{A63BE114-D01F-4B79-98E1-C6834BCC4FBC}"/>
    <cellStyle name="Webdings1" xfId="51" xr:uid="{3F7B57CC-3956-4FDE-82DD-499227798559}"/>
    <cellStyle name="Webdings14" xfId="52" xr:uid="{A753DEA2-B3D0-45D5-8E12-0C285E855C98}"/>
    <cellStyle name="Webdings14Green" xfId="53" xr:uid="{AAAA521C-06E0-4FC0-8720-7CD8840F0ACF}"/>
    <cellStyle name="Work new book placeholder header underlined" xfId="54" xr:uid="{3AAB37B0-EDD0-4E9D-A04C-1C3887AFE695}"/>
    <cellStyle name="WrappedText" xfId="55" xr:uid="{5866BD7A-17D6-4DA3-A30E-3312C69A747C}"/>
  </cellStyles>
  <dxfs count="19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/>
        <color rgb="FF202733"/>
      </font>
      <fill>
        <patternFill>
          <bgColor rgb="FFEAF2FC"/>
        </patternFill>
      </fill>
    </dxf>
    <dxf>
      <font>
        <b/>
        <color rgb="FF202733"/>
      </font>
      <fill>
        <patternFill>
          <bgColor rgb="FFD9E2EF"/>
        </patternFill>
      </fill>
    </dxf>
    <dxf>
      <font>
        <b/>
        <sz val="8.5"/>
        <color rgb="FFB97800"/>
        <name val="Arial"/>
      </font>
    </dxf>
    <dxf>
      <font>
        <b/>
        <sz val="8.5"/>
        <color rgb="FF1E9E89"/>
        <name val="Arial"/>
      </font>
    </dxf>
    <dxf>
      <font>
        <b/>
        <sz val="8.5"/>
        <color rgb="FFD64545"/>
        <name val="Arial"/>
      </font>
    </dxf>
    <dxf>
      <font>
        <b/>
        <sz val="8.5"/>
        <color rgb="FFD64545"/>
        <name val="Arial"/>
      </font>
    </dxf>
    <dxf>
      <font>
        <b/>
        <sz val="8.5"/>
        <color rgb="FF1E9E89"/>
        <name val="Arial"/>
      </font>
    </dxf>
    <dxf>
      <font>
        <b/>
        <sz val="8.5"/>
        <color rgb="FFD64545"/>
        <name val="Arial"/>
      </font>
    </dxf>
    <dxf>
      <font>
        <b/>
        <sz val="8.5"/>
        <color rgb="FF1E9E89"/>
        <name val="Arial"/>
      </font>
    </dxf>
    <dxf>
      <font>
        <b/>
        <sz val="8.5"/>
        <color rgb="FFD64545"/>
        <name val="Arial"/>
      </font>
    </dxf>
    <dxf>
      <font>
        <b/>
        <sz val="8.5"/>
        <color rgb="FF1E9E89"/>
        <name val="Arial"/>
      </font>
    </dxf>
    <dxf>
      <font>
        <sz val="8.5"/>
        <color rgb="FFD64545"/>
        <name val="Arial"/>
      </font>
    </dxf>
    <dxf>
      <font>
        <sz val="8.5"/>
        <color rgb="FF1E9E89"/>
        <name val="Arial"/>
      </font>
    </dxf>
    <dxf>
      <font>
        <b/>
        <sz val="8.5"/>
        <color rgb="FFD64545"/>
        <name val="Arial"/>
      </font>
    </dxf>
    <dxf>
      <font>
        <b/>
        <sz val="8.5"/>
        <color rgb="FF1E9E89"/>
        <name val="Arial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61178716296825"/>
          <c:y val="4.5270212783035148E-2"/>
          <c:w val="0.80298417243299136"/>
          <c:h val="0.82930674950034911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'2'!$AD$7</c:f>
              <c:strCache>
                <c:ptCount val="1"/>
              </c:strCache>
            </c:strRef>
          </c:tx>
          <c:spPr>
            <a:noFill/>
            <a:ln>
              <a:prstDash val="solid"/>
            </a:ln>
          </c:spPr>
          <c:invertIfNegative val="0"/>
          <c:cat>
            <c:numRef>
              <c:f>'2'!$AC$8:$AC$11</c:f>
              <c:numCache>
                <c:formatCode>General</c:formatCode>
                <c:ptCount val="4"/>
              </c:numCache>
            </c:numRef>
          </c:cat>
          <c:val>
            <c:numRef>
              <c:f>'2'!$AD$8:$AD$11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45-4179-B2BC-BFA7CD660700}"/>
            </c:ext>
          </c:extLst>
        </c:ser>
        <c:ser>
          <c:idx val="1"/>
          <c:order val="1"/>
          <c:tx>
            <c:strRef>
              <c:f>'2'!$AE$7</c:f>
              <c:strCache>
                <c:ptCount val="1"/>
              </c:strCache>
            </c:strRef>
          </c:tx>
          <c:spPr>
            <a:solidFill>
              <a:srgbClr val="526071"/>
            </a:solidFill>
            <a:ln>
              <a:noFill/>
              <a:prstDash val="solid"/>
            </a:ln>
          </c:spPr>
          <c:invertIfNegative val="0"/>
          <c:cat>
            <c:numRef>
              <c:f>'2'!$AC$8:$AC$11</c:f>
              <c:numCache>
                <c:formatCode>General</c:formatCode>
                <c:ptCount val="4"/>
              </c:numCache>
            </c:numRef>
          </c:cat>
          <c:val>
            <c:numRef>
              <c:f>'2'!$AE$8:$AE$11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C45-4179-B2BC-BFA7CD660700}"/>
            </c:ext>
          </c:extLst>
        </c:ser>
        <c:ser>
          <c:idx val="2"/>
          <c:order val="2"/>
          <c:tx>
            <c:strRef>
              <c:f>'2'!$AF$7</c:f>
              <c:strCache>
                <c:ptCount val="1"/>
              </c:strCache>
            </c:strRef>
          </c:tx>
          <c:spPr>
            <a:solidFill>
              <a:srgbClr val="1E9E89"/>
            </a:solidFill>
            <a:ln>
              <a:noFill/>
              <a:prstDash val="solid"/>
            </a:ln>
          </c:spPr>
          <c:invertIfNegative val="0"/>
          <c:cat>
            <c:numRef>
              <c:f>'2'!$AC$8:$AC$11</c:f>
              <c:numCache>
                <c:formatCode>General</c:formatCode>
                <c:ptCount val="4"/>
              </c:numCache>
            </c:numRef>
          </c:cat>
          <c:val>
            <c:numRef>
              <c:f>'2'!$AF$8:$AF$11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C45-4179-B2BC-BFA7CD660700}"/>
            </c:ext>
          </c:extLst>
        </c:ser>
        <c:ser>
          <c:idx val="3"/>
          <c:order val="3"/>
          <c:tx>
            <c:strRef>
              <c:f>'2'!$AG$7</c:f>
              <c:strCache>
                <c:ptCount val="1"/>
              </c:strCache>
            </c:strRef>
          </c:tx>
          <c:spPr>
            <a:solidFill>
              <a:srgbClr val="D64545"/>
            </a:solidFill>
            <a:ln>
              <a:noFill/>
              <a:prstDash val="solid"/>
            </a:ln>
          </c:spPr>
          <c:invertIfNegative val="0"/>
          <c:cat>
            <c:numRef>
              <c:f>'2'!$AC$8:$AC$11</c:f>
              <c:numCache>
                <c:formatCode>General</c:formatCode>
                <c:ptCount val="4"/>
              </c:numCache>
            </c:numRef>
          </c:cat>
          <c:val>
            <c:numRef>
              <c:f>'2'!$AG$8:$AG$11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C45-4179-B2BC-BFA7CD660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5000000"/>
          <c:min val="3000000"/>
        </c:scaling>
        <c:delete val="0"/>
        <c:axPos val="l"/>
        <c:majorGridlines/>
        <c:numFmt formatCode="0.0,,&quot; M€&quot;" sourceLinked="0"/>
        <c:majorTickMark val="none"/>
        <c:minorTickMark val="none"/>
        <c:tickLblPos val="nextTo"/>
        <c:crossAx val="10"/>
        <c:crosses val="autoZero"/>
        <c:crossBetween val="between"/>
        <c:majorUnit val="500000"/>
      </c:valAx>
    </c:plotArea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2024</c:v>
          </c:tx>
          <c:spPr>
            <a:solidFill>
              <a:srgbClr val="B8CFEC"/>
            </a:solidFill>
            <a:ln>
              <a:noFill/>
              <a:prstDash val="solid"/>
            </a:ln>
          </c:spPr>
          <c:invertIfNegative val="0"/>
          <c:cat>
            <c:strRef>
              <c:f>'[1]2'!$AK$7:$AK$11</c:f>
              <c:strCache>
                <c:ptCount val="5"/>
                <c:pt idx="0">
                  <c:v>Ipac Bachelor Factory</c:v>
                </c:pt>
                <c:pt idx="1">
                  <c:v>ISCOM</c:v>
                </c:pt>
                <c:pt idx="2">
                  <c:v>MBway</c:v>
                </c:pt>
                <c:pt idx="3">
                  <c:v>Pigier</c:v>
                </c:pt>
                <c:pt idx="4">
                  <c:v>Tunon</c:v>
                </c:pt>
              </c:strCache>
            </c:strRef>
          </c:cat>
          <c:val>
            <c:numRef>
              <c:f>'[1]2'!$AN$7:$AN$11</c:f>
              <c:numCache>
                <c:formatCode>General</c:formatCode>
                <c:ptCount val="5"/>
                <c:pt idx="0">
                  <c:v>0.11890000000000001</c:v>
                </c:pt>
                <c:pt idx="1">
                  <c:v>0.15809999999999999</c:v>
                </c:pt>
                <c:pt idx="2">
                  <c:v>0.1651</c:v>
                </c:pt>
                <c:pt idx="3">
                  <c:v>0.19800000000000001</c:v>
                </c:pt>
                <c:pt idx="4">
                  <c:v>6.3E-2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7-41DF-A3BF-1689ECE1102C}"/>
            </c:ext>
          </c:extLst>
        </c:ser>
        <c:ser>
          <c:idx val="1"/>
          <c:order val="1"/>
          <c:tx>
            <c:v>2025</c:v>
          </c:tx>
          <c:spPr>
            <a:solidFill>
              <a:srgbClr val="6FA5DC"/>
            </a:solidFill>
            <a:ln>
              <a:noFill/>
              <a:prstDash val="solid"/>
            </a:ln>
          </c:spPr>
          <c:invertIfNegative val="0"/>
          <c:cat>
            <c:strRef>
              <c:f>'[1]2'!$AK$7:$AK$11</c:f>
              <c:strCache>
                <c:ptCount val="5"/>
                <c:pt idx="0">
                  <c:v>Ipac Bachelor Factory</c:v>
                </c:pt>
                <c:pt idx="1">
                  <c:v>ISCOM</c:v>
                </c:pt>
                <c:pt idx="2">
                  <c:v>MBway</c:v>
                </c:pt>
                <c:pt idx="3">
                  <c:v>Pigier</c:v>
                </c:pt>
                <c:pt idx="4">
                  <c:v>Tunon</c:v>
                </c:pt>
              </c:strCache>
            </c:strRef>
          </c:cat>
          <c:val>
            <c:numRef>
              <c:f>'[1]2'!$AQ$7:$AQ$11</c:f>
              <c:numCache>
                <c:formatCode>General</c:formatCode>
                <c:ptCount val="5"/>
                <c:pt idx="0">
                  <c:v>0.1298</c:v>
                </c:pt>
                <c:pt idx="1">
                  <c:v>0.1643</c:v>
                </c:pt>
                <c:pt idx="2">
                  <c:v>0.17319999999999999</c:v>
                </c:pt>
                <c:pt idx="3">
                  <c:v>0.2039</c:v>
                </c:pt>
                <c:pt idx="4">
                  <c:v>5.3199999999999997E-2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7-41DF-A3BF-1689ECE1102C}"/>
            </c:ext>
          </c:extLst>
        </c:ser>
        <c:ser>
          <c:idx val="2"/>
          <c:order val="2"/>
          <c:tx>
            <c:v>2026</c:v>
          </c:tx>
          <c:spPr>
            <a:solidFill>
              <a:srgbClr val="2A78D6"/>
            </a:solidFill>
            <a:ln>
              <a:noFill/>
              <a:prstDash val="solid"/>
            </a:ln>
          </c:spPr>
          <c:invertIfNegative val="0"/>
          <c:cat>
            <c:strRef>
              <c:f>'[1]2'!$AK$7:$AK$11</c:f>
              <c:strCache>
                <c:ptCount val="5"/>
                <c:pt idx="0">
                  <c:v>Ipac Bachelor Factory</c:v>
                </c:pt>
                <c:pt idx="1">
                  <c:v>ISCOM</c:v>
                </c:pt>
                <c:pt idx="2">
                  <c:v>MBway</c:v>
                </c:pt>
                <c:pt idx="3">
                  <c:v>Pigier</c:v>
                </c:pt>
                <c:pt idx="4">
                  <c:v>Tunon</c:v>
                </c:pt>
              </c:strCache>
            </c:strRef>
          </c:cat>
          <c:val>
            <c:numRef>
              <c:f>'[1]2'!$AT$7:$AT$11</c:f>
              <c:numCache>
                <c:formatCode>General</c:formatCode>
                <c:ptCount val="5"/>
                <c:pt idx="0">
                  <c:v>0.1416</c:v>
                </c:pt>
                <c:pt idx="1">
                  <c:v>0.17169999999999999</c:v>
                </c:pt>
                <c:pt idx="2">
                  <c:v>0.1825</c:v>
                </c:pt>
                <c:pt idx="3">
                  <c:v>0.2114</c:v>
                </c:pt>
                <c:pt idx="4">
                  <c:v>4.19E-2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7-41DF-A3BF-1689ECE11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v>Dépenses</c:v>
          </c:tx>
          <c:spPr>
            <a:ln w="25000">
              <a:solidFill>
                <a:srgbClr val="F07B32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c:spPr>
          </c:marker>
          <c:cat>
            <c:strRef>
              <c:f>'[1]2'!$AZ$7:$AZ$9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'[1]2'!$BC$7:$BC$9</c:f>
              <c:numCache>
                <c:formatCode>General</c:formatCode>
                <c:ptCount val="3"/>
                <c:pt idx="0">
                  <c:v>100</c:v>
                </c:pt>
                <c:pt idx="1">
                  <c:v>110</c:v>
                </c:pt>
                <c:pt idx="2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56-47CE-B504-2EC983C346C0}"/>
            </c:ext>
          </c:extLst>
        </c:ser>
        <c:ser>
          <c:idx val="1"/>
          <c:order val="1"/>
          <c:tx>
            <c:v>Inscrits</c:v>
          </c:tx>
          <c:spPr>
            <a:ln w="25000">
              <a:solidFill>
                <a:srgbClr val="2A78D6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c:spPr>
          </c:marker>
          <c:cat>
            <c:strRef>
              <c:f>'[1]2'!$AZ$7:$AZ$9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'[1]2'!$BD$7:$BD$9</c:f>
              <c:numCache>
                <c:formatCode>General</c:formatCode>
                <c:ptCount val="3"/>
                <c:pt idx="0">
                  <c:v>100</c:v>
                </c:pt>
                <c:pt idx="1">
                  <c:v>106.1</c:v>
                </c:pt>
                <c:pt idx="2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56-47CE-B504-2EC983C34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125"/>
          <c:min val="95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crossAx val="10"/>
        <c:crosses val="autoZero"/>
        <c:crossBetween val="between"/>
        <c:majorUnit val="10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228599</xdr:colOff>
      <xdr:row>12</xdr:row>
      <xdr:rowOff>38100</xdr:rowOff>
    </xdr:from>
    <xdr:ext cx="3876676" cy="32956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6BB6C6-CBB1-4213-B1E4-ACB5E92BB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514349</xdr:colOff>
      <xdr:row>12</xdr:row>
      <xdr:rowOff>76200</xdr:rowOff>
    </xdr:from>
    <xdr:ext cx="4391025" cy="334327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B832D-903A-4C90-8D6E-81BF79C34D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11</xdr:col>
      <xdr:colOff>285749</xdr:colOff>
      <xdr:row>12</xdr:row>
      <xdr:rowOff>0</xdr:rowOff>
    </xdr:from>
    <xdr:ext cx="3876675" cy="34099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54F9B5-7CBF-4A3F-A10E-700265742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COCKPIT_nav541_MEP.xlsx" TargetMode="External"/><Relationship Id="rId2" Type="http://schemas.openxmlformats.org/officeDocument/2006/relationships/externalLinkPath" Target="file:///C:\Users\elmez\Downloads\COCKPIT_nav541_MEP.xlsx" TargetMode="External"/><Relationship Id="rId1" Type="http://schemas.openxmlformats.org/officeDocument/2006/relationships/externalLinkPath" Target="/Users/elmez/Downloads/COCKPIT_nav541_ME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2"/>
    </sheetNames>
    <sheetDataSet>
      <sheetData sheetId="0">
        <row r="7">
          <cell r="AK7" t="str">
            <v>Ipac Bachelor Factory</v>
          </cell>
          <cell r="AN7">
            <v>0.11890000000000001</v>
          </cell>
          <cell r="AQ7">
            <v>0.1298</v>
          </cell>
          <cell r="AT7">
            <v>0.1416</v>
          </cell>
          <cell r="AZ7" t="str">
            <v>2024</v>
          </cell>
          <cell r="BC7">
            <v>100</v>
          </cell>
          <cell r="BD7">
            <v>100</v>
          </cell>
        </row>
        <row r="8">
          <cell r="AK8" t="str">
            <v>ISCOM</v>
          </cell>
          <cell r="AN8">
            <v>0.15809999999999999</v>
          </cell>
          <cell r="AQ8">
            <v>0.1643</v>
          </cell>
          <cell r="AT8">
            <v>0.17169999999999999</v>
          </cell>
          <cell r="AZ8" t="str">
            <v>2025</v>
          </cell>
          <cell r="BC8">
            <v>110</v>
          </cell>
          <cell r="BD8">
            <v>106.1</v>
          </cell>
        </row>
        <row r="9">
          <cell r="AK9" t="str">
            <v>MBway</v>
          </cell>
          <cell r="AN9">
            <v>0.1651</v>
          </cell>
          <cell r="AQ9">
            <v>0.17319999999999999</v>
          </cell>
          <cell r="AT9">
            <v>0.1825</v>
          </cell>
          <cell r="AZ9" t="str">
            <v>2026</v>
          </cell>
          <cell r="BC9">
            <v>121</v>
          </cell>
          <cell r="BD9">
            <v>112.5</v>
          </cell>
        </row>
        <row r="10">
          <cell r="AK10" t="str">
            <v>Pigier</v>
          </cell>
          <cell r="AN10">
            <v>0.19800000000000001</v>
          </cell>
          <cell r="AQ10">
            <v>0.2039</v>
          </cell>
          <cell r="AT10">
            <v>0.2114</v>
          </cell>
        </row>
        <row r="11">
          <cell r="AK11" t="str">
            <v>Tunon</v>
          </cell>
          <cell r="AN11">
            <v>6.3E-2</v>
          </cell>
          <cell r="AQ11">
            <v>5.3199999999999997E-2</v>
          </cell>
          <cell r="AT11">
            <v>4.19E-2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26153DD-182D-49E6-8517-8AEDFF76EFCB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13CF5-7099-4E53-A09D-DC4B42C13FC4}">
  <dimension ref="A2:B2"/>
  <sheetViews>
    <sheetView workbookViewId="0"/>
  </sheetViews>
  <sheetFormatPr baseColWidth="10" defaultRowHeight="14.25" x14ac:dyDescent="0.45"/>
  <sheetData>
    <row r="2" spans="1:2" x14ac:dyDescent="0.45">
      <c r="A2" t="s">
        <v>4</v>
      </c>
      <c r="B2">
        <f>'2'!A65557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46A94-C0EE-44BE-A92F-202501E2FEF1}">
  <dimension ref="A1:BF205"/>
  <sheetViews>
    <sheetView tabSelected="1" workbookViewId="0">
      <selection activeCell="C5" sqref="C5"/>
    </sheetView>
  </sheetViews>
  <sheetFormatPr baseColWidth="10" defaultRowHeight="14.25" x14ac:dyDescent="0.45"/>
  <cols>
    <col min="1" max="2" width="2.46484375" customWidth="1"/>
    <col min="3" max="8" width="15.59765625" customWidth="1"/>
    <col min="9" max="9" width="20.9296875" customWidth="1"/>
    <col min="10" max="16" width="15.59765625" customWidth="1"/>
    <col min="17" max="17" width="11.1328125" bestFit="1" customWidth="1"/>
    <col min="18" max="18" width="11.3984375" bestFit="1" customWidth="1"/>
    <col min="19" max="19" width="11.53125" bestFit="1" customWidth="1"/>
    <col min="20" max="20" width="9.265625" bestFit="1" customWidth="1"/>
    <col min="21" max="21" width="12.59765625" customWidth="1"/>
    <col min="22" max="22" width="15.53125" bestFit="1" customWidth="1"/>
    <col min="23" max="23" width="9.9296875" bestFit="1" customWidth="1"/>
    <col min="24" max="24" width="11.265625" bestFit="1" customWidth="1"/>
    <col min="25" max="25" width="13.9296875" bestFit="1" customWidth="1"/>
    <col min="26" max="26" width="17.265625" bestFit="1" customWidth="1"/>
    <col min="27" max="27" width="4.59765625" bestFit="1" customWidth="1"/>
    <col min="28" max="28" width="9.265625" bestFit="1" customWidth="1"/>
  </cols>
  <sheetData>
    <row r="1" spans="1:58" ht="8" customHeight="1" x14ac:dyDescent="0.4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58" ht="26" customHeight="1" x14ac:dyDescent="0.45">
      <c r="A2" s="3"/>
      <c r="B2" s="3"/>
      <c r="C2" s="4" t="s">
        <v>60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58" ht="15" customHeight="1" x14ac:dyDescent="0.45">
      <c r="A3" s="3"/>
      <c r="B3" s="3"/>
      <c r="C3" s="5" t="s">
        <v>61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58" ht="6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58" ht="20" customHeight="1" x14ac:dyDescent="0.45">
      <c r="A5" s="6"/>
      <c r="B5" s="6"/>
      <c r="C5" s="29" t="s">
        <v>31</v>
      </c>
      <c r="D5" s="7" t="s">
        <v>0</v>
      </c>
      <c r="E5" s="8"/>
      <c r="F5" s="28"/>
      <c r="G5" s="30"/>
      <c r="H5" s="28" t="s">
        <v>33</v>
      </c>
      <c r="I5" s="30" t="s">
        <v>34</v>
      </c>
      <c r="J5" s="10"/>
      <c r="K5" s="28" t="s">
        <v>62</v>
      </c>
      <c r="L5" s="7" t="s">
        <v>32</v>
      </c>
      <c r="M5" s="9"/>
      <c r="N5" s="10"/>
      <c r="O5" s="10"/>
      <c r="P5" s="10"/>
    </row>
    <row r="6" spans="1:58" ht="6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AB6" s="2" t="s">
        <v>35</v>
      </c>
      <c r="AC6" s="1" t="s">
        <v>36</v>
      </c>
      <c r="AD6" s="1" t="s">
        <v>37</v>
      </c>
      <c r="AE6" s="1" t="s">
        <v>38</v>
      </c>
      <c r="AF6" s="1" t="s">
        <v>39</v>
      </c>
      <c r="AG6" s="1" t="s">
        <v>40</v>
      </c>
      <c r="AI6" s="2" t="s">
        <v>57</v>
      </c>
      <c r="AJ6" s="1" t="s">
        <v>58</v>
      </c>
      <c r="AK6" s="1" t="s">
        <v>59</v>
      </c>
      <c r="AL6" s="1" t="s">
        <v>42</v>
      </c>
      <c r="AM6" s="1" t="s">
        <v>43</v>
      </c>
      <c r="AN6" s="1" t="s">
        <v>44</v>
      </c>
      <c r="AO6" s="1" t="s">
        <v>45</v>
      </c>
      <c r="AP6" s="1" t="s">
        <v>46</v>
      </c>
      <c r="AQ6" s="1" t="s">
        <v>47</v>
      </c>
      <c r="AR6" s="1" t="s">
        <v>48</v>
      </c>
      <c r="AS6" s="1" t="s">
        <v>49</v>
      </c>
      <c r="AT6" s="1" t="s">
        <v>50</v>
      </c>
      <c r="AU6" s="1" t="s">
        <v>51</v>
      </c>
      <c r="AZ6" s="1" t="s">
        <v>41</v>
      </c>
      <c r="BA6" s="1" t="s">
        <v>52</v>
      </c>
      <c r="BB6" s="1" t="s">
        <v>53</v>
      </c>
      <c r="BC6" s="1" t="s">
        <v>54</v>
      </c>
      <c r="BD6" s="1" t="s">
        <v>55</v>
      </c>
      <c r="BE6" s="1" t="s">
        <v>56</v>
      </c>
      <c r="BF6" s="1" t="s">
        <v>51</v>
      </c>
    </row>
    <row r="7" spans="1:58" ht="10.050000000000001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AB7" s="1"/>
      <c r="AC7" s="1"/>
      <c r="AD7" s="1"/>
      <c r="AE7" s="1"/>
      <c r="AF7" s="1"/>
      <c r="AG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U7" s="2"/>
      <c r="AZ7" s="1"/>
      <c r="BA7" s="1"/>
      <c r="BB7" s="1"/>
      <c r="BC7" s="1"/>
      <c r="BD7" s="1"/>
      <c r="BE7" s="1"/>
      <c r="BF7" s="1"/>
    </row>
    <row r="8" spans="1:58" ht="13.05" customHeight="1" x14ac:dyDescent="0.45">
      <c r="A8" s="6"/>
      <c r="B8" s="6"/>
      <c r="C8" s="37" t="s">
        <v>21</v>
      </c>
      <c r="D8" s="38"/>
      <c r="E8" s="11" t="s">
        <v>22</v>
      </c>
      <c r="F8" s="12"/>
      <c r="G8" s="11" t="s">
        <v>23</v>
      </c>
      <c r="H8" s="12"/>
      <c r="I8" s="11" t="s">
        <v>24</v>
      </c>
      <c r="J8" s="12"/>
      <c r="K8" s="11" t="s">
        <v>25</v>
      </c>
      <c r="L8" s="12"/>
      <c r="M8" s="11" t="s">
        <v>26</v>
      </c>
      <c r="N8" s="13"/>
      <c r="O8" s="14"/>
      <c r="P8" s="13"/>
    </row>
    <row r="9" spans="1:58" ht="26" customHeight="1" x14ac:dyDescent="0.45">
      <c r="A9" s="6"/>
      <c r="B9" s="6"/>
      <c r="C9" s="39">
        <f>D38</f>
        <v>1000</v>
      </c>
      <c r="D9" s="40"/>
      <c r="E9" s="15">
        <f>F38</f>
        <v>1000</v>
      </c>
      <c r="F9" s="16"/>
      <c r="G9" s="15">
        <f>I38</f>
        <v>1</v>
      </c>
      <c r="H9" s="16"/>
      <c r="I9" s="17">
        <f>K38</f>
        <v>1000</v>
      </c>
      <c r="J9" s="16"/>
      <c r="K9" s="18">
        <f>S38/K38</f>
        <v>1</v>
      </c>
      <c r="L9" s="16"/>
      <c r="M9" s="19">
        <f>L38</f>
        <v>1</v>
      </c>
      <c r="N9" s="20"/>
      <c r="O9" s="21"/>
      <c r="P9" s="22"/>
    </row>
    <row r="10" spans="1:58" ht="14" customHeight="1" x14ac:dyDescent="0.45">
      <c r="A10" s="6"/>
      <c r="B10" s="6"/>
      <c r="C10" s="41">
        <f>E38</f>
        <v>0</v>
      </c>
      <c r="D10" s="42"/>
      <c r="E10" s="23">
        <f>G38</f>
        <v>0</v>
      </c>
      <c r="F10" s="24"/>
      <c r="G10" s="23">
        <f>J38</f>
        <v>0</v>
      </c>
      <c r="H10" s="24"/>
      <c r="I10" s="25">
        <f>Y38</f>
        <v>0</v>
      </c>
      <c r="J10" s="24"/>
      <c r="K10" s="23">
        <f>IFERROR(K9/(T38/W38)-1,"")</f>
        <v>0</v>
      </c>
      <c r="L10" s="24"/>
      <c r="M10" s="23">
        <f>O38-N38</f>
        <v>0</v>
      </c>
      <c r="N10" s="26"/>
      <c r="O10" s="27"/>
      <c r="P10" s="26"/>
    </row>
    <row r="11" spans="1:58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</row>
    <row r="12" spans="1:58" x14ac:dyDescent="0.45">
      <c r="A12" s="6"/>
      <c r="B12" s="6"/>
      <c r="C12" s="43" t="s">
        <v>63</v>
      </c>
      <c r="D12" s="31"/>
      <c r="E12" s="32"/>
      <c r="F12" s="32"/>
      <c r="G12" s="32"/>
      <c r="H12" s="32"/>
      <c r="I12" s="43" t="s">
        <v>64</v>
      </c>
      <c r="J12" s="32"/>
      <c r="K12" s="32"/>
      <c r="L12" s="32"/>
      <c r="M12" s="32"/>
      <c r="N12" s="32"/>
      <c r="O12" s="32"/>
      <c r="P12" s="32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</row>
    <row r="13" spans="1:58" x14ac:dyDescent="0.45">
      <c r="A13" s="6"/>
      <c r="B13" s="6"/>
      <c r="C13" s="33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</row>
    <row r="14" spans="1:58" x14ac:dyDescent="0.45">
      <c r="A14" s="6"/>
      <c r="B14" s="6"/>
      <c r="C14" s="33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1:58" x14ac:dyDescent="0.45">
      <c r="A15" s="6"/>
      <c r="B15" s="6"/>
      <c r="C15" s="33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</row>
    <row r="16" spans="1:58" x14ac:dyDescent="0.45">
      <c r="A16" s="6"/>
      <c r="B16" s="6"/>
      <c r="C16" s="33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</row>
    <row r="17" spans="1:36" x14ac:dyDescent="0.45">
      <c r="A17" s="6"/>
      <c r="B17" s="6"/>
      <c r="C17" s="33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</row>
    <row r="18" spans="1:36" x14ac:dyDescent="0.45">
      <c r="A18" s="6"/>
      <c r="B18" s="6"/>
      <c r="C18" s="33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</row>
    <row r="19" spans="1:36" x14ac:dyDescent="0.45">
      <c r="A19" s="6"/>
      <c r="B19" s="6"/>
      <c r="C19" s="33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</row>
    <row r="20" spans="1:36" x14ac:dyDescent="0.45">
      <c r="A20" s="6"/>
      <c r="B20" s="6"/>
      <c r="C20" s="33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</row>
    <row r="21" spans="1:36" x14ac:dyDescent="0.45">
      <c r="A21" s="6"/>
      <c r="B21" s="6"/>
      <c r="C21" s="33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</row>
    <row r="22" spans="1:36" x14ac:dyDescent="0.45">
      <c r="A22" s="6"/>
      <c r="B22" s="6"/>
      <c r="C22" s="33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</row>
    <row r="23" spans="1:36" x14ac:dyDescent="0.45">
      <c r="A23" s="6"/>
      <c r="B23" s="6"/>
      <c r="C23" s="33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</row>
    <row r="24" spans="1:36" x14ac:dyDescent="0.45">
      <c r="A24" s="6"/>
      <c r="B24" s="6"/>
      <c r="C24" s="33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</row>
    <row r="25" spans="1:36" x14ac:dyDescent="0.45">
      <c r="A25" s="6"/>
      <c r="B25" s="6"/>
      <c r="C25" s="33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</row>
    <row r="26" spans="1:36" x14ac:dyDescent="0.45">
      <c r="A26" s="6"/>
      <c r="B26" s="6"/>
      <c r="C26" s="33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</row>
    <row r="27" spans="1:36" x14ac:dyDescent="0.45">
      <c r="A27" s="6"/>
      <c r="B27" s="6"/>
      <c r="C27" s="33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</row>
    <row r="28" spans="1:36" x14ac:dyDescent="0.45">
      <c r="A28" s="6"/>
      <c r="B28" s="6"/>
      <c r="C28" s="33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</row>
    <row r="29" spans="1:36" x14ac:dyDescent="0.45">
      <c r="A29" s="6"/>
      <c r="B29" s="6"/>
      <c r="C29" s="33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</row>
    <row r="30" spans="1:36" x14ac:dyDescent="0.45">
      <c r="A30" s="6"/>
      <c r="B30" s="6"/>
      <c r="C30" s="33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</row>
    <row r="31" spans="1:36" x14ac:dyDescent="0.45">
      <c r="A31" s="6"/>
      <c r="B31" s="6"/>
      <c r="C31" s="33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  <row r="32" spans="1:36" x14ac:dyDescent="0.45">
      <c r="A32" s="6"/>
      <c r="B32" s="6"/>
      <c r="C32" s="35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</row>
    <row r="33" spans="1:36" x14ac:dyDescent="0.4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</row>
    <row r="34" spans="1:36" x14ac:dyDescent="0.4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</row>
    <row r="35" spans="1:36" x14ac:dyDescent="0.4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</row>
    <row r="36" spans="1:36" x14ac:dyDescent="0.4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</row>
    <row r="37" spans="1:36" x14ac:dyDescent="0.45">
      <c r="A37" s="6"/>
      <c r="B37" s="44"/>
      <c r="C37" s="45"/>
      <c r="D37" s="46" t="s">
        <v>3</v>
      </c>
      <c r="E37" s="46" t="s">
        <v>10</v>
      </c>
      <c r="F37" s="46" t="s">
        <v>2</v>
      </c>
      <c r="G37" s="46" t="s">
        <v>13</v>
      </c>
      <c r="H37" s="46" t="s">
        <v>14</v>
      </c>
      <c r="I37" s="46" t="s">
        <v>15</v>
      </c>
      <c r="J37" s="46" t="s">
        <v>16</v>
      </c>
      <c r="K37" s="46" t="s">
        <v>17</v>
      </c>
      <c r="L37" s="46" t="s">
        <v>18</v>
      </c>
      <c r="M37" s="46" t="s">
        <v>19</v>
      </c>
      <c r="N37" s="46" t="s">
        <v>8</v>
      </c>
      <c r="O37" s="46" t="s">
        <v>7</v>
      </c>
      <c r="P37" s="6" t="s">
        <v>9</v>
      </c>
      <c r="Q37" s="6" t="s">
        <v>5</v>
      </c>
      <c r="R37" s="6" t="s">
        <v>6</v>
      </c>
      <c r="S37" s="6" t="s">
        <v>11</v>
      </c>
      <c r="T37" s="6" t="s">
        <v>12</v>
      </c>
      <c r="U37" s="6" t="s">
        <v>20</v>
      </c>
      <c r="V37" s="6" t="s">
        <v>27</v>
      </c>
      <c r="W37" s="6" t="s">
        <v>28</v>
      </c>
      <c r="X37" s="6" t="s">
        <v>29</v>
      </c>
      <c r="Y37" s="6" t="s">
        <v>30</v>
      </c>
      <c r="Z37" s="6"/>
      <c r="AB37" s="6"/>
      <c r="AC37" s="6"/>
      <c r="AD37" s="6"/>
      <c r="AE37" s="6"/>
      <c r="AF37" s="6"/>
      <c r="AG37" s="6"/>
      <c r="AH37" s="6"/>
      <c r="AI37" s="6"/>
      <c r="AJ37" s="6"/>
    </row>
    <row r="38" spans="1:36" x14ac:dyDescent="0.45">
      <c r="A38" s="6"/>
      <c r="B38" s="47"/>
      <c r="C38" s="48" t="s">
        <v>1</v>
      </c>
      <c r="D38" s="49">
        <v>1000</v>
      </c>
      <c r="E38" s="50">
        <f>IFERROR((D38-R38)/R38,"")</f>
        <v>0</v>
      </c>
      <c r="F38" s="49">
        <v>1000</v>
      </c>
      <c r="G38" s="50">
        <f>IFERROR((F38-Q38)/Q38,"")</f>
        <v>0</v>
      </c>
      <c r="H38" s="51">
        <v>1000</v>
      </c>
      <c r="I38" s="51">
        <f>IFERROR(F38/D38,"")</f>
        <v>1</v>
      </c>
      <c r="J38" s="52">
        <f>IFERROR((I38-U38)*100,"")</f>
        <v>0</v>
      </c>
      <c r="K38" s="49">
        <v>1000</v>
      </c>
      <c r="L38" s="51">
        <f>IFERROR(N38/O38,"")</f>
        <v>1</v>
      </c>
      <c r="M38" s="51">
        <f>IFERROR(P38/N38,"")</f>
        <v>1</v>
      </c>
      <c r="N38" s="53">
        <v>1000</v>
      </c>
      <c r="O38" s="53">
        <v>1000</v>
      </c>
      <c r="P38" s="6">
        <v>1000</v>
      </c>
      <c r="Q38" s="6">
        <v>1000</v>
      </c>
      <c r="R38" s="6">
        <v>1000</v>
      </c>
      <c r="S38" s="6">
        <v>1000</v>
      </c>
      <c r="T38" s="6">
        <v>1000</v>
      </c>
      <c r="U38" s="6">
        <f>IFERROR(Q38/R38,"")</f>
        <v>1</v>
      </c>
      <c r="V38" s="6">
        <v>1000</v>
      </c>
      <c r="W38" s="6">
        <v>1000</v>
      </c>
      <c r="X38" s="6">
        <v>1000</v>
      </c>
      <c r="Y38" s="6">
        <f>IFERROR((K38-W38)/W38,"")</f>
        <v>0</v>
      </c>
      <c r="Z38" s="6">
        <f>IFERROR((S38-R38)/R38,"")</f>
        <v>0</v>
      </c>
      <c r="AB38" s="6"/>
      <c r="AC38" s="6"/>
      <c r="AD38" s="6"/>
      <c r="AE38" s="6"/>
      <c r="AF38" s="6"/>
      <c r="AG38" s="6"/>
      <c r="AH38" s="6"/>
      <c r="AI38" s="6"/>
      <c r="AJ38" s="6"/>
    </row>
    <row r="39" spans="1:36" x14ac:dyDescent="0.45">
      <c r="A39" s="6"/>
      <c r="B39" s="54"/>
      <c r="C39" s="48"/>
      <c r="D39" s="49"/>
      <c r="E39" s="50"/>
      <c r="F39" s="49"/>
      <c r="G39" s="50"/>
      <c r="H39" s="51"/>
      <c r="I39" s="51"/>
      <c r="J39" s="52"/>
      <c r="K39" s="49"/>
      <c r="L39" s="51"/>
      <c r="M39" s="51"/>
      <c r="N39" s="49"/>
      <c r="O39" s="49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</row>
    <row r="40" spans="1:36" x14ac:dyDescent="0.45">
      <c r="A40" s="6"/>
      <c r="B40" s="54"/>
      <c r="C40" s="48"/>
      <c r="D40" s="49"/>
      <c r="E40" s="50"/>
      <c r="F40" s="49"/>
      <c r="G40" s="50"/>
      <c r="H40" s="51"/>
      <c r="I40" s="51"/>
      <c r="J40" s="52"/>
      <c r="K40" s="49"/>
      <c r="L40" s="51"/>
      <c r="M40" s="51"/>
      <c r="N40" s="49"/>
      <c r="O40" s="49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</row>
    <row r="41" spans="1:36" x14ac:dyDescent="0.45">
      <c r="A41" s="6"/>
      <c r="B41" s="54"/>
      <c r="C41" s="48"/>
      <c r="D41" s="49"/>
      <c r="E41" s="50"/>
      <c r="F41" s="49"/>
      <c r="G41" s="50"/>
      <c r="H41" s="51"/>
      <c r="I41" s="51"/>
      <c r="J41" s="52"/>
      <c r="K41" s="49"/>
      <c r="L41" s="51"/>
      <c r="M41" s="51"/>
      <c r="N41" s="49"/>
      <c r="O41" s="49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</row>
    <row r="42" spans="1:36" x14ac:dyDescent="0.45">
      <c r="A42" s="6"/>
      <c r="B42" s="54"/>
      <c r="C42" s="48"/>
      <c r="D42" s="49"/>
      <c r="E42" s="50"/>
      <c r="F42" s="49"/>
      <c r="G42" s="50"/>
      <c r="H42" s="51"/>
      <c r="I42" s="51"/>
      <c r="J42" s="52"/>
      <c r="K42" s="49"/>
      <c r="L42" s="51"/>
      <c r="M42" s="51"/>
      <c r="N42" s="49"/>
      <c r="O42" s="49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</row>
    <row r="43" spans="1:36" x14ac:dyDescent="0.45">
      <c r="A43" s="6"/>
      <c r="B43" s="54"/>
      <c r="C43" s="48"/>
      <c r="D43" s="49"/>
      <c r="E43" s="50"/>
      <c r="F43" s="49"/>
      <c r="G43" s="50"/>
      <c r="H43" s="51"/>
      <c r="I43" s="51"/>
      <c r="J43" s="52"/>
      <c r="K43" s="49"/>
      <c r="L43" s="51"/>
      <c r="M43" s="51"/>
      <c r="N43" s="49"/>
      <c r="O43" s="49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</row>
    <row r="44" spans="1:36" x14ac:dyDescent="0.45">
      <c r="A44" s="6"/>
      <c r="B44" s="54"/>
      <c r="C44" s="48"/>
      <c r="D44" s="49"/>
      <c r="E44" s="50"/>
      <c r="F44" s="49"/>
      <c r="G44" s="50"/>
      <c r="H44" s="51"/>
      <c r="I44" s="51"/>
      <c r="J44" s="52"/>
      <c r="K44" s="49"/>
      <c r="L44" s="51"/>
      <c r="M44" s="51"/>
      <c r="N44" s="49"/>
      <c r="O44" s="49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</row>
    <row r="45" spans="1:36" x14ac:dyDescent="0.45">
      <c r="A45" s="6"/>
      <c r="B45" s="54"/>
      <c r="C45" s="48"/>
      <c r="D45" s="49"/>
      <c r="E45" s="50"/>
      <c r="F45" s="49"/>
      <c r="G45" s="50"/>
      <c r="H45" s="51"/>
      <c r="I45" s="51"/>
      <c r="J45" s="52"/>
      <c r="K45" s="49"/>
      <c r="L45" s="51"/>
      <c r="M45" s="51"/>
      <c r="N45" s="49"/>
      <c r="O45" s="49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</row>
    <row r="46" spans="1:36" x14ac:dyDescent="0.45">
      <c r="A46" s="6"/>
      <c r="B46" s="54"/>
      <c r="C46" s="48"/>
      <c r="D46" s="49"/>
      <c r="E46" s="50"/>
      <c r="F46" s="49"/>
      <c r="G46" s="50"/>
      <c r="H46" s="51"/>
      <c r="I46" s="51"/>
      <c r="J46" s="52"/>
      <c r="K46" s="49"/>
      <c r="L46" s="51"/>
      <c r="M46" s="51"/>
      <c r="N46" s="49"/>
      <c r="O46" s="49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</row>
    <row r="47" spans="1:36" x14ac:dyDescent="0.45">
      <c r="A47" s="6"/>
      <c r="B47" s="54"/>
      <c r="C47" s="48"/>
      <c r="D47" s="49"/>
      <c r="E47" s="50"/>
      <c r="F47" s="49"/>
      <c r="G47" s="50"/>
      <c r="H47" s="51"/>
      <c r="I47" s="51"/>
      <c r="J47" s="52"/>
      <c r="K47" s="49"/>
      <c r="L47" s="51"/>
      <c r="M47" s="51"/>
      <c r="N47" s="49"/>
      <c r="O47" s="49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</row>
    <row r="48" spans="1:36" x14ac:dyDescent="0.45">
      <c r="A48" s="6"/>
      <c r="B48" s="54"/>
      <c r="C48" s="48"/>
      <c r="D48" s="49"/>
      <c r="E48" s="50"/>
      <c r="F48" s="49"/>
      <c r="G48" s="50"/>
      <c r="H48" s="51"/>
      <c r="I48" s="51"/>
      <c r="J48" s="52"/>
      <c r="K48" s="49"/>
      <c r="L48" s="51"/>
      <c r="M48" s="51"/>
      <c r="N48" s="49"/>
      <c r="O48" s="49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</row>
    <row r="49" spans="1:36" x14ac:dyDescent="0.45">
      <c r="A49" s="6"/>
      <c r="B49" s="54"/>
      <c r="C49" s="48"/>
      <c r="D49" s="49"/>
      <c r="E49" s="50"/>
      <c r="F49" s="49"/>
      <c r="G49" s="50"/>
      <c r="H49" s="51"/>
      <c r="I49" s="51"/>
      <c r="J49" s="52"/>
      <c r="K49" s="49"/>
      <c r="L49" s="51"/>
      <c r="M49" s="51"/>
      <c r="N49" s="49"/>
      <c r="O49" s="49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</row>
    <row r="50" spans="1:36" x14ac:dyDescent="0.45">
      <c r="A50" s="6"/>
      <c r="B50" s="54"/>
      <c r="C50" s="48"/>
      <c r="D50" s="49"/>
      <c r="E50" s="50"/>
      <c r="F50" s="49"/>
      <c r="G50" s="50"/>
      <c r="H50" s="51"/>
      <c r="I50" s="51"/>
      <c r="J50" s="52"/>
      <c r="K50" s="49"/>
      <c r="L50" s="51"/>
      <c r="M50" s="51"/>
      <c r="N50" s="49"/>
      <c r="O50" s="49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</row>
    <row r="51" spans="1:36" x14ac:dyDescent="0.45">
      <c r="A51" s="6"/>
      <c r="B51" s="54"/>
      <c r="C51" s="48"/>
      <c r="D51" s="49"/>
      <c r="E51" s="50"/>
      <c r="F51" s="49"/>
      <c r="G51" s="50"/>
      <c r="H51" s="51"/>
      <c r="I51" s="51"/>
      <c r="J51" s="52"/>
      <c r="K51" s="49"/>
      <c r="L51" s="51"/>
      <c r="M51" s="51"/>
      <c r="N51" s="49"/>
      <c r="O51" s="49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</row>
    <row r="52" spans="1:36" x14ac:dyDescent="0.45">
      <c r="A52" s="6"/>
      <c r="B52" s="54"/>
      <c r="C52" s="48"/>
      <c r="D52" s="49"/>
      <c r="E52" s="50"/>
      <c r="F52" s="49"/>
      <c r="G52" s="50"/>
      <c r="H52" s="51"/>
      <c r="I52" s="51"/>
      <c r="J52" s="52"/>
      <c r="K52" s="49"/>
      <c r="L52" s="51"/>
      <c r="M52" s="51"/>
      <c r="N52" s="49"/>
      <c r="O52" s="49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</row>
    <row r="53" spans="1:36" x14ac:dyDescent="0.45">
      <c r="A53" s="6"/>
      <c r="B53" s="54"/>
      <c r="C53" s="48"/>
      <c r="D53" s="49"/>
      <c r="E53" s="50"/>
      <c r="F53" s="49"/>
      <c r="G53" s="50"/>
      <c r="H53" s="51"/>
      <c r="I53" s="51"/>
      <c r="J53" s="52"/>
      <c r="K53" s="49"/>
      <c r="L53" s="51"/>
      <c r="M53" s="51"/>
      <c r="N53" s="49"/>
      <c r="O53" s="49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</row>
    <row r="54" spans="1:36" x14ac:dyDescent="0.45">
      <c r="A54" s="6"/>
      <c r="B54" s="54"/>
      <c r="C54" s="48"/>
      <c r="D54" s="49"/>
      <c r="E54" s="50"/>
      <c r="F54" s="49"/>
      <c r="G54" s="50"/>
      <c r="H54" s="51"/>
      <c r="I54" s="51"/>
      <c r="J54" s="52"/>
      <c r="K54" s="49"/>
      <c r="L54" s="51"/>
      <c r="M54" s="51"/>
      <c r="N54" s="49"/>
      <c r="O54" s="49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</row>
    <row r="55" spans="1:36" x14ac:dyDescent="0.45">
      <c r="A55" s="6"/>
      <c r="B55" s="54"/>
      <c r="C55" s="48"/>
      <c r="D55" s="49"/>
      <c r="E55" s="50"/>
      <c r="F55" s="49"/>
      <c r="G55" s="50"/>
      <c r="H55" s="51"/>
      <c r="I55" s="51"/>
      <c r="J55" s="52"/>
      <c r="K55" s="49"/>
      <c r="L55" s="51"/>
      <c r="M55" s="51"/>
      <c r="N55" s="49"/>
      <c r="O55" s="49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</row>
    <row r="56" spans="1:36" x14ac:dyDescent="0.45">
      <c r="A56" s="6"/>
      <c r="B56" s="54"/>
      <c r="C56" s="48"/>
      <c r="D56" s="49"/>
      <c r="E56" s="50"/>
      <c r="F56" s="49"/>
      <c r="G56" s="50"/>
      <c r="H56" s="51"/>
      <c r="I56" s="51"/>
      <c r="J56" s="52"/>
      <c r="K56" s="49"/>
      <c r="L56" s="51"/>
      <c r="M56" s="51"/>
      <c r="N56" s="49"/>
      <c r="O56" s="49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</row>
    <row r="57" spans="1:36" x14ac:dyDescent="0.45">
      <c r="A57" s="6"/>
      <c r="B57" s="54"/>
      <c r="C57" s="48"/>
      <c r="D57" s="49"/>
      <c r="E57" s="50"/>
      <c r="F57" s="49"/>
      <c r="G57" s="50"/>
      <c r="H57" s="51"/>
      <c r="I57" s="51"/>
      <c r="J57" s="52"/>
      <c r="K57" s="49"/>
      <c r="L57" s="51"/>
      <c r="M57" s="51"/>
      <c r="N57" s="49"/>
      <c r="O57" s="49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</row>
    <row r="58" spans="1:36" x14ac:dyDescent="0.4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</row>
    <row r="59" spans="1:36" x14ac:dyDescent="0.4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</row>
    <row r="60" spans="1:36" x14ac:dyDescent="0.4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</row>
    <row r="61" spans="1:36" x14ac:dyDescent="0.4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</row>
    <row r="62" spans="1:36" x14ac:dyDescent="0.4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</row>
    <row r="63" spans="1:36" x14ac:dyDescent="0.4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</row>
    <row r="64" spans="1:36" x14ac:dyDescent="0.4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</row>
    <row r="65" spans="1:36" x14ac:dyDescent="0.4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</row>
    <row r="66" spans="1:36" x14ac:dyDescent="0.4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</row>
    <row r="67" spans="1:36" x14ac:dyDescent="0.4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</row>
    <row r="68" spans="1:36" x14ac:dyDescent="0.4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</row>
    <row r="69" spans="1:36" x14ac:dyDescent="0.4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</row>
    <row r="70" spans="1:36" x14ac:dyDescent="0.4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</row>
    <row r="71" spans="1:36" x14ac:dyDescent="0.4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</row>
    <row r="72" spans="1:36" x14ac:dyDescent="0.4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</row>
    <row r="73" spans="1:36" x14ac:dyDescent="0.4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</row>
    <row r="74" spans="1:36" x14ac:dyDescent="0.4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</row>
    <row r="75" spans="1:36" x14ac:dyDescent="0.4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</row>
    <row r="76" spans="1:36" x14ac:dyDescent="0.4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</row>
    <row r="77" spans="1:36" x14ac:dyDescent="0.4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</row>
    <row r="78" spans="1:36" x14ac:dyDescent="0.4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</row>
    <row r="79" spans="1:36" x14ac:dyDescent="0.4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</row>
    <row r="80" spans="1:36" x14ac:dyDescent="0.4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</row>
    <row r="81" spans="1:36" x14ac:dyDescent="0.4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</row>
    <row r="82" spans="1:36" x14ac:dyDescent="0.4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</row>
    <row r="83" spans="1:36" x14ac:dyDescent="0.4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</row>
    <row r="84" spans="1:36" x14ac:dyDescent="0.4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</row>
    <row r="85" spans="1:36" x14ac:dyDescent="0.4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</row>
    <row r="86" spans="1:36" x14ac:dyDescent="0.4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</row>
    <row r="87" spans="1:36" x14ac:dyDescent="0.4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</row>
    <row r="88" spans="1:36" x14ac:dyDescent="0.4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</row>
    <row r="89" spans="1:36" x14ac:dyDescent="0.4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</row>
    <row r="90" spans="1:36" x14ac:dyDescent="0.4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</row>
    <row r="91" spans="1:36" x14ac:dyDescent="0.4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</row>
    <row r="92" spans="1:36" x14ac:dyDescent="0.4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</row>
    <row r="93" spans="1:36" x14ac:dyDescent="0.4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</row>
    <row r="94" spans="1:36" x14ac:dyDescent="0.4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</row>
    <row r="95" spans="1:36" x14ac:dyDescent="0.4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</row>
    <row r="96" spans="1:36" x14ac:dyDescent="0.4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</row>
    <row r="97" spans="1:36" x14ac:dyDescent="0.4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</row>
    <row r="98" spans="1:36" x14ac:dyDescent="0.4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</row>
    <row r="99" spans="1:36" x14ac:dyDescent="0.4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</row>
    <row r="100" spans="1:36" x14ac:dyDescent="0.4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</row>
    <row r="101" spans="1:36" x14ac:dyDescent="0.4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</row>
    <row r="102" spans="1:36" x14ac:dyDescent="0.4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</row>
    <row r="103" spans="1:36" x14ac:dyDescent="0.4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</row>
    <row r="104" spans="1:36" x14ac:dyDescent="0.4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</row>
    <row r="105" spans="1:36" x14ac:dyDescent="0.4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</row>
    <row r="106" spans="1:36" x14ac:dyDescent="0.4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36" x14ac:dyDescent="0.4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</row>
    <row r="108" spans="1:36" x14ac:dyDescent="0.4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</row>
    <row r="109" spans="1:36" x14ac:dyDescent="0.4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</row>
    <row r="110" spans="1:36" x14ac:dyDescent="0.4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</row>
    <row r="111" spans="1:36" x14ac:dyDescent="0.4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</row>
    <row r="112" spans="1:36" x14ac:dyDescent="0.4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</row>
    <row r="113" spans="1:36" x14ac:dyDescent="0.4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</row>
    <row r="114" spans="1:36" x14ac:dyDescent="0.4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</row>
    <row r="115" spans="1:36" x14ac:dyDescent="0.4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36" x14ac:dyDescent="0.4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</row>
    <row r="117" spans="1:36" x14ac:dyDescent="0.4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</row>
    <row r="118" spans="1:36" x14ac:dyDescent="0.4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</row>
    <row r="119" spans="1:36" x14ac:dyDescent="0.4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</row>
    <row r="120" spans="1:36" x14ac:dyDescent="0.4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</row>
    <row r="121" spans="1:36" x14ac:dyDescent="0.4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</row>
    <row r="122" spans="1:36" x14ac:dyDescent="0.4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</row>
    <row r="123" spans="1:36" x14ac:dyDescent="0.4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</row>
    <row r="124" spans="1:36" x14ac:dyDescent="0.4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</row>
    <row r="125" spans="1:36" x14ac:dyDescent="0.4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</row>
    <row r="126" spans="1:36" x14ac:dyDescent="0.4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</row>
    <row r="127" spans="1:36" x14ac:dyDescent="0.4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</row>
    <row r="128" spans="1:36" x14ac:dyDescent="0.4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</row>
    <row r="129" spans="1:36" x14ac:dyDescent="0.4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</row>
    <row r="130" spans="1:36" x14ac:dyDescent="0.4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</row>
    <row r="131" spans="1:36" x14ac:dyDescent="0.4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</row>
    <row r="132" spans="1:36" x14ac:dyDescent="0.4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</row>
    <row r="133" spans="1:36" x14ac:dyDescent="0.4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</row>
    <row r="134" spans="1:36" x14ac:dyDescent="0.4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</row>
    <row r="135" spans="1:36" x14ac:dyDescent="0.4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</row>
    <row r="136" spans="1:36" x14ac:dyDescent="0.4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</row>
    <row r="137" spans="1:36" x14ac:dyDescent="0.4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</row>
    <row r="138" spans="1:36" x14ac:dyDescent="0.4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</row>
    <row r="139" spans="1:36" x14ac:dyDescent="0.4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</row>
    <row r="140" spans="1:36" x14ac:dyDescent="0.4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</row>
    <row r="141" spans="1:36" x14ac:dyDescent="0.4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</row>
    <row r="142" spans="1:36" x14ac:dyDescent="0.4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</row>
    <row r="143" spans="1:36" x14ac:dyDescent="0.4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</row>
    <row r="144" spans="1:36" x14ac:dyDescent="0.4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</row>
    <row r="145" spans="1:36" x14ac:dyDescent="0.4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</row>
    <row r="146" spans="1:36" x14ac:dyDescent="0.4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</row>
    <row r="147" spans="1:36" x14ac:dyDescent="0.4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</row>
    <row r="148" spans="1:36" x14ac:dyDescent="0.4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</row>
    <row r="149" spans="1:36" x14ac:dyDescent="0.45">
      <c r="A149" s="6"/>
      <c r="B149" s="6"/>
    </row>
    <row r="150" spans="1:36" x14ac:dyDescent="0.45">
      <c r="A150" s="6"/>
      <c r="B150" s="6"/>
    </row>
    <row r="151" spans="1:36" x14ac:dyDescent="0.45">
      <c r="A151" s="6"/>
      <c r="B151" s="6"/>
    </row>
    <row r="152" spans="1:36" x14ac:dyDescent="0.45">
      <c r="A152" s="6"/>
      <c r="B152" s="6"/>
    </row>
    <row r="153" spans="1:36" x14ac:dyDescent="0.45">
      <c r="A153" s="6"/>
      <c r="B153" s="6"/>
    </row>
    <row r="154" spans="1:36" x14ac:dyDescent="0.45">
      <c r="A154" s="6"/>
      <c r="B154" s="6"/>
    </row>
    <row r="155" spans="1:36" x14ac:dyDescent="0.45">
      <c r="A155" s="6"/>
      <c r="B155" s="6"/>
    </row>
    <row r="156" spans="1:36" x14ac:dyDescent="0.45">
      <c r="A156" s="6"/>
      <c r="B156" s="6"/>
    </row>
    <row r="157" spans="1:36" x14ac:dyDescent="0.45">
      <c r="A157" s="6"/>
      <c r="B157" s="6"/>
    </row>
    <row r="158" spans="1:36" x14ac:dyDescent="0.45">
      <c r="A158" s="6"/>
      <c r="B158" s="6"/>
    </row>
    <row r="159" spans="1:36" x14ac:dyDescent="0.45">
      <c r="A159" s="6"/>
      <c r="B159" s="6"/>
    </row>
    <row r="160" spans="1:36" x14ac:dyDescent="0.45">
      <c r="A160" s="6"/>
      <c r="B160" s="6"/>
    </row>
    <row r="161" spans="1:2" x14ac:dyDescent="0.45">
      <c r="A161" s="6"/>
      <c r="B161" s="6"/>
    </row>
    <row r="162" spans="1:2" x14ac:dyDescent="0.45">
      <c r="A162" s="6"/>
      <c r="B162" s="6"/>
    </row>
    <row r="163" spans="1:2" x14ac:dyDescent="0.45">
      <c r="A163" s="6"/>
      <c r="B163" s="6"/>
    </row>
    <row r="164" spans="1:2" x14ac:dyDescent="0.45">
      <c r="A164" s="6"/>
      <c r="B164" s="6"/>
    </row>
    <row r="165" spans="1:2" x14ac:dyDescent="0.45">
      <c r="A165" s="6"/>
      <c r="B165" s="6"/>
    </row>
    <row r="166" spans="1:2" x14ac:dyDescent="0.45">
      <c r="A166" s="6"/>
      <c r="B166" s="6"/>
    </row>
    <row r="167" spans="1:2" x14ac:dyDescent="0.45">
      <c r="A167" s="6"/>
      <c r="B167" s="6"/>
    </row>
    <row r="168" spans="1:2" x14ac:dyDescent="0.45">
      <c r="A168" s="6"/>
      <c r="B168" s="6"/>
    </row>
    <row r="169" spans="1:2" x14ac:dyDescent="0.45">
      <c r="A169" s="6"/>
      <c r="B169" s="6"/>
    </row>
    <row r="170" spans="1:2" x14ac:dyDescent="0.45">
      <c r="A170" s="6"/>
      <c r="B170" s="6"/>
    </row>
    <row r="171" spans="1:2" x14ac:dyDescent="0.45">
      <c r="A171" s="6"/>
      <c r="B171" s="6"/>
    </row>
    <row r="172" spans="1:2" x14ac:dyDescent="0.45">
      <c r="A172" s="6"/>
      <c r="B172" s="6"/>
    </row>
    <row r="173" spans="1:2" x14ac:dyDescent="0.45">
      <c r="A173" s="6"/>
      <c r="B173" s="6"/>
    </row>
    <row r="174" spans="1:2" x14ac:dyDescent="0.45">
      <c r="A174" s="6"/>
      <c r="B174" s="6"/>
    </row>
    <row r="175" spans="1:2" x14ac:dyDescent="0.45">
      <c r="A175" s="6"/>
      <c r="B175" s="6"/>
    </row>
    <row r="176" spans="1:2" x14ac:dyDescent="0.45">
      <c r="A176" s="6"/>
      <c r="B176" s="6"/>
    </row>
    <row r="177" spans="1:2" x14ac:dyDescent="0.45">
      <c r="A177" s="6"/>
      <c r="B177" s="6"/>
    </row>
    <row r="178" spans="1:2" x14ac:dyDescent="0.45">
      <c r="A178" s="6"/>
      <c r="B178" s="6"/>
    </row>
    <row r="179" spans="1:2" x14ac:dyDescent="0.45">
      <c r="A179" s="6"/>
      <c r="B179" s="6"/>
    </row>
    <row r="180" spans="1:2" x14ac:dyDescent="0.45">
      <c r="A180" s="6"/>
      <c r="B180" s="6"/>
    </row>
    <row r="181" spans="1:2" x14ac:dyDescent="0.45">
      <c r="A181" s="6"/>
      <c r="B181" s="6"/>
    </row>
    <row r="182" spans="1:2" x14ac:dyDescent="0.45">
      <c r="A182" s="6"/>
      <c r="B182" s="6"/>
    </row>
    <row r="183" spans="1:2" x14ac:dyDescent="0.45">
      <c r="A183" s="6"/>
      <c r="B183" s="6"/>
    </row>
    <row r="184" spans="1:2" x14ac:dyDescent="0.45">
      <c r="A184" s="6"/>
      <c r="B184" s="6"/>
    </row>
    <row r="185" spans="1:2" x14ac:dyDescent="0.45">
      <c r="A185" s="6"/>
      <c r="B185" s="6"/>
    </row>
    <row r="186" spans="1:2" x14ac:dyDescent="0.45">
      <c r="A186" s="6"/>
      <c r="B186" s="6"/>
    </row>
    <row r="187" spans="1:2" x14ac:dyDescent="0.45">
      <c r="A187" s="6"/>
      <c r="B187" s="6"/>
    </row>
    <row r="188" spans="1:2" x14ac:dyDescent="0.45">
      <c r="A188" s="6"/>
      <c r="B188" s="6"/>
    </row>
    <row r="189" spans="1:2" x14ac:dyDescent="0.45">
      <c r="A189" s="6"/>
      <c r="B189" s="6"/>
    </row>
    <row r="190" spans="1:2" x14ac:dyDescent="0.45">
      <c r="A190" s="6"/>
      <c r="B190" s="6"/>
    </row>
    <row r="191" spans="1:2" x14ac:dyDescent="0.45">
      <c r="A191" s="6"/>
      <c r="B191" s="6"/>
    </row>
    <row r="192" spans="1:2" x14ac:dyDescent="0.45">
      <c r="A192" s="6"/>
      <c r="B192" s="6"/>
    </row>
    <row r="193" spans="1:2" x14ac:dyDescent="0.45">
      <c r="A193" s="6"/>
      <c r="B193" s="6"/>
    </row>
    <row r="194" spans="1:2" x14ac:dyDescent="0.45">
      <c r="A194" s="6"/>
      <c r="B194" s="6"/>
    </row>
    <row r="195" spans="1:2" x14ac:dyDescent="0.45">
      <c r="A195" s="6"/>
      <c r="B195" s="6"/>
    </row>
    <row r="196" spans="1:2" x14ac:dyDescent="0.45">
      <c r="A196" s="6"/>
      <c r="B196" s="6"/>
    </row>
    <row r="197" spans="1:2" x14ac:dyDescent="0.45">
      <c r="A197" s="6"/>
      <c r="B197" s="6"/>
    </row>
    <row r="198" spans="1:2" x14ac:dyDescent="0.45">
      <c r="A198" s="6"/>
      <c r="B198" s="6"/>
    </row>
    <row r="199" spans="1:2" x14ac:dyDescent="0.45">
      <c r="A199" s="6"/>
      <c r="B199" s="6"/>
    </row>
    <row r="200" spans="1:2" x14ac:dyDescent="0.45">
      <c r="A200" s="6"/>
      <c r="B200" s="6"/>
    </row>
    <row r="201" spans="1:2" x14ac:dyDescent="0.45">
      <c r="A201" s="6"/>
      <c r="B201" s="6"/>
    </row>
    <row r="202" spans="1:2" x14ac:dyDescent="0.45">
      <c r="A202" s="6"/>
      <c r="B202" s="6"/>
    </row>
    <row r="203" spans="1:2" x14ac:dyDescent="0.45">
      <c r="A203" s="6"/>
      <c r="B203" s="6"/>
    </row>
    <row r="204" spans="1:2" x14ac:dyDescent="0.45">
      <c r="A204" s="6"/>
      <c r="B204" s="6"/>
    </row>
    <row r="205" spans="1:2" x14ac:dyDescent="0.45">
      <c r="A205" s="6"/>
      <c r="B205" s="6"/>
    </row>
  </sheetData>
  <conditionalFormatting sqref="E10">
    <cfRule type="cellIs" dxfId="18" priority="15" operator="greaterThan">
      <formula>0</formula>
    </cfRule>
    <cfRule type="cellIs" dxfId="17" priority="16" operator="lessThan">
      <formula>0</formula>
    </cfRule>
  </conditionalFormatting>
  <conditionalFormatting sqref="E38:E57 G38:G57 J38:J57">
    <cfRule type="cellIs" dxfId="16" priority="1" operator="greaterThan">
      <formula>0</formula>
    </cfRule>
    <cfRule type="cellIs" dxfId="15" priority="2" operator="lessThan">
      <formula>0</formula>
    </cfRule>
  </conditionalFormatting>
  <conditionalFormatting sqref="G10">
    <cfRule type="cellIs" dxfId="14" priority="17" operator="greaterThan">
      <formula>0</formula>
    </cfRule>
    <cfRule type="cellIs" dxfId="13" priority="18" operator="lessThan">
      <formula>0</formula>
    </cfRule>
  </conditionalFormatting>
  <conditionalFormatting sqref="I10">
    <cfRule type="cellIs" dxfId="12" priority="19" operator="greaterThan">
      <formula>0</formula>
    </cfRule>
    <cfRule type="cellIs" dxfId="11" priority="20" operator="lessThan">
      <formula>0</formula>
    </cfRule>
  </conditionalFormatting>
  <conditionalFormatting sqref="I38:I57">
    <cfRule type="dataBar" priority="7">
      <dataBar>
        <cfvo type="num" val="0"/>
        <cfvo type="num" val="0.25"/>
        <color rgb="FFB8CFEC"/>
      </dataBar>
    </cfRule>
  </conditionalFormatting>
  <conditionalFormatting sqref="K10">
    <cfRule type="cellIs" dxfId="10" priority="21" operator="greaterThan">
      <formula>0</formula>
    </cfRule>
    <cfRule type="cellIs" dxfId="9" priority="22" operator="lessThan">
      <formula>0</formula>
    </cfRule>
  </conditionalFormatting>
  <conditionalFormatting sqref="M10">
    <cfRule type="cellIs" dxfId="8" priority="23" operator="greaterThan">
      <formula>0</formula>
    </cfRule>
    <cfRule type="cellIs" dxfId="7" priority="24" operator="lessThan">
      <formula>0</formula>
    </cfRule>
  </conditionalFormatting>
  <conditionalFormatting sqref="L38:L57">
    <cfRule type="cellIs" dxfId="6" priority="8" operator="lessThan">
      <formula>0.7</formula>
    </cfRule>
  </conditionalFormatting>
  <conditionalFormatting sqref="B38:O57">
    <cfRule type="expression" dxfId="5" priority="29">
      <formula>$B38=2</formula>
    </cfRule>
    <cfRule type="expression" dxfId="4" priority="30">
      <formula>$B38=3</formula>
    </cfRule>
    <cfRule type="expression" dxfId="3" priority="31">
      <formula>$B38=4</formula>
    </cfRule>
    <cfRule type="expression" dxfId="2" priority="32">
      <formula>$B38=2</formula>
    </cfRule>
  </conditionalFormatting>
  <conditionalFormatting sqref="C38:C57">
    <cfRule type="expression" dxfId="1" priority="35">
      <formula>$B38=3</formula>
    </cfRule>
    <cfRule type="expression" dxfId="0" priority="36">
      <formula>$B38=4</formula>
    </cfRule>
  </conditionalFormatting>
  <pageMargins left="0.7" right="0.7" top="0.75" bottom="0.75" header="0.3" footer="0.3"/>
  <customProperties>
    <customPr name="TGK_SHEET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COCKPIT</s>
      <a key="desc" refId="1" ln="4" eid="SYS_STR">
        <s>COCKPIT</s>
        <s/>
        <s/>
        <s/>
      </a>
      <d key="dateStyleApplied">1788609420487</d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s key="styleSheetCode">TGK_01</s>
        <b key="sheetNamesWithCode">N</b>
        <b key="eventsWithUnlockedSheets">N</b>
        <e key="includeTemplateInSheetName" refId="3" id="IncludeTemplateInSheetNameEnum">0</e>
        <b key="enableDrillDown">S</b>
        <u key="expControlloThreshold">1E-09</u>
        <b key="disableTGKFunctions">N</b>
        <e key="headManipPosition" refId="4" id="HeaderManipulatorPositionEnum">A</e>
        <e key="repEngine" refId="5" id="RepEngineEnum">CFG</e>
        <i key="grainSize">1000</i>
        <i key="dataLoadPSize">4</i>
        <i key="dataProcPSize">6</i>
        <b key="disableDataSaving">N</b>
      </be>
      <m key="templates" refId="6" keid="SYS_STR" veid="Reporting.com.tagetik.report.IReportTemplateVO,Reporting">
        <key>
          <s>Template01</s>
        </key>
        <val>
          <be refId="7" clsId="ReportTemplateVO">
            <s key="code">Template01</s>
            <s key="desc">2</s>
            <m key="matrices" refId="8" keid="SYS_STR" veid="Reporting.com.tagetik.tables.IMatrixPositionBlockVO,Reporting">
              <key>
                <s>Matrix00</s>
              </key>
              <val>
                <be refId="9" clsId="MatrixPositionBlockVO">
                  <s key="positionID">Matrix00</s>
                  <be key="rows" refId="10" clsId="FilterNode">
                    <l key="dimensionOids" refId="11" ln="0" eid="DimensionOid"/>
                    <l key="AdHocParamDimensionOids" refId="12" ln="0" eid="DimensionOid"/>
                    <be key="data" refId="13" clsId="FilterNodeData">
                      <ref key="filterNode" refId="10"/>
                      <i key="segmentLevel">0</i>
                      <e key="segment" refId="14" id="SegmentEnum">CF</e>
                      <b key="placeHolder">N</b>
                      <e key="weight" refId="15" id="WeightEnum">S</e>
                      <be key="textMatchingCondition" refId="16" clsId="TextMatchingCondition">
                        <e key="op" refId="17" id="ComparisonOperatorEnum">=</e>
                        <s key="val"/>
                      </be>
                      <e key="change" refId="18" id="ChangeEnum">CHG_CF</e>
                      <e key="dataType" refId="19" id="DataType">TYPE_U</e>
                      <b key="prevailingDataType">N</b>
                      <e key="editability" refId="20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1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2" ln="1" eid="Framework.com.tagetik.trees.INode,framework">
                      <be refId="23" clsId="FilterNode">
                        <l key="dimensionOids" refId="24" ln="1" eid="DimensionOid">
                          <cust clsId="DimensionOid">415A495F454455-45-3031--50-</cust>
                        </l>
                        <l key="AdHocParamDimensionOids" refId="25" ln="0" eid="DimensionOid"/>
                        <be key="data" refId="26" clsId="FilterNodeData">
                          <ref key="filterNode" refId="23"/>
                          <s key="dim">AZI_EDU</s>
                          <i key="segmentLevel">0</i>
                          <ref key="segment" refId="14"/>
                          <b key="placeHolder">N</b>
                          <ref key="weight" refId="15"/>
                          <be key="dinamico" refId="27" clsId="ReportingDinamicita">
                            <e key="dynamicType" refId="28" id="DynamicEnum">LL</e>
                            <b key="withSubtotal">S</b>
                            <b key="isPartecipatedCompany">N</b>
                            <b key="withSubtotalUntilStartingNode">N</b>
                            <b key="detailSubtotal">S</b>
                            <e key="pruning" refId="29" id="PruningEnum">Z</e>
                            <i key="addictionalRowsToOpen">100</i>
                            <b key="allowOpenNewElements">N</b>
                          </be>
                          <be key="textMatchingCondition" refId="30" clsId="TextMatchingCondition">
                            <ref key="op" refId="17"/>
                            <s key="val"/>
                          </be>
                          <e key="change" refId="31" id="ChangeEnum">CHG_N</e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2" id="PeriodicCalculationEnum">P</e>
                          <b key="breakLevelSubtotal">N</b>
                          <b key="alreadyDrilled">N</b>
                          <m key="nodeTypes" refId="33" keid="SYS_STR" veid="EFReportingNodeType">
                            <key>
                              <s>415A495F454455-45-3031--50-</s>
                            </key>
                            <val>
                              <e refId="34" id="EFReportingNodeType">N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"/>
                      </be>
                    </l>
                  </be>
                  <be key="columns" refId="35" clsId="FilterNode">
                    <l key="dimensionOids" refId="36" ln="0" eid="DimensionOid"/>
                    <l key="AdHocParamDimensionOids" refId="37" ln="0" eid="DimensionOid"/>
                    <be key="data" refId="38" clsId="FilterNodeData">
                      <ref key="filterNode" refId="35"/>
                      <i key="segmentLevel">0</i>
                      <ref key="segment" refId="14"/>
                      <b key="placeHolder">N</b>
                      <ref key="weight" refId="15"/>
                      <be key="textMatchingCondition" refId="39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1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0" ln="23" eid="Framework.com.tagetik.trees.INode,framework">
                      <be refId="41" clsId="FilterNode">
                        <l key="dimensionOids" refId="42" ln="1" eid="DimensionOid">
                          <cust clsId="DimensionOid">4D455F3030325F303030303137-45-4341-32--</cust>
                        </l>
                        <l key="AdHocParamDimensionOids" refId="43" ln="0" eid="DimensionOid"/>
                        <be key="data" refId="44" clsId="FilterNodeData">
                          <ref key="filterNode" refId="41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45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m key="nodeTypes" refId="46" keid="SYS_STR" veid="EFReportingNodeType">
                            <key>
                              <s>4D455F3030325F303030303137-45-4542495444415F4E31-32--</s>
                            </key>
                            <val>
                              <ref refId="34"/>
                            </val>
                            <key>
                              <s>4D455F3030325F303030303137-45-43415F4E31-32--</s>
                            </key>
                            <val>
                              <ref refId="34"/>
                            </val>
                            <key>
                              <s>4D455F3030325F303030303137-45-504C41434553-32--</s>
                            </key>
                            <val>
                              <ref refId="34"/>
                            </val>
                            <key>
                              <s>4D455F3030325F303030303137-45-454646454354494653-32--</s>
                            </key>
                            <val>
                              <ref refId="34"/>
                            </val>
                            <key>
                              <s>4D455F3030325F303030303137-45-494E534352495453-32--</s>
                            </key>
                            <val>
                              <ref refId="34"/>
                            </val>
                            <key>
                              <s>4D455F3030325F303030303137-45-4546464543544946535F414C54-32--</s>
                            </key>
                            <val>
                              <ref refId="34"/>
                            </val>
                            <key>
                              <s>4D455F3030325F303030303137-45-454249544441-32--</s>
                            </key>
                            <val>
                              <ref refId="34"/>
                            </val>
                            <key>
                              <s>4D455F3030325F303030303137-45-4341-32--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35"/>
                      </be>
                      <be refId="47" clsId="FilterNode">
                        <l key="dimensionOids" refId="48" ln="0" eid="DimensionOid"/>
                        <l key="AdHocParamDimensionOids" refId="49" ln="0" eid="DimensionOid"/>
                        <be key="data" refId="50" clsId="FilterNodeData">
                          <ref key="filterNode" refId="47"/>
                          <s key="dim">ME_002_000017</s>
                          <i key="segmentLevel">0</i>
                          <ref key="segment" refId="14"/>
                          <be key="reportingFormula" refId="51" clsId="ReportingFormula">
                            <b key="serverFormula">N</b>
                            <b key="formulaRule">S</b>
                            <s key="formula">IFERROR(({9}-{3})/{3},"")</s>
                          </be>
                          <be key="dictionaryHeader" refId="52" clsId="MultiDesc">
                            <a key="desc" refId="53" ln="4" eid="SYS_STR">
                              <s>
                                <ch cod="394"/>
                                 CA
                              </s>
                              <nl/>
                              <nl/>
                              <nl/>
                            </a>
                          </be>
                          <b key="placeHolder">S</b>
                          <ref key="weight" refId="15"/>
                          <be key="textMatchingCondition" refId="54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55" keid="SYS_STR" veid="EFReportingNodeType">
                            <key>
                              <s>9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10</cust>
                        <s key="cod">PH</s>
                        <s key="desc"/>
                        <i key="index">0</i>
                        <ref key="parent" refId="35"/>
                      </be>
                      <be refId="56" clsId="FilterNode">
                        <l key="dimensionOids" refId="57" ln="1" eid="DimensionOid">
                          <cust clsId="DimensionOid">4D455F3030325F303030303137-45-454249544441-32--</cust>
                        </l>
                        <l key="AdHocParamDimensionOids" refId="58" ln="0" eid="DimensionOid"/>
                        <be key="data" refId="59" clsId="FilterNodeData">
                          <ref key="filterNode" refId="56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60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46"/>
                          <b key="multiSelection">N</b>
                        </be>
                        <cust key="id" clsId="FilterOid">8</cust>
                        <i key="index">0</i>
                        <ref key="parent" refId="35"/>
                      </be>
                      <be refId="61" clsId="FilterNode">
                        <l key="dimensionOids" refId="62" ln="0" eid="DimensionOid"/>
                        <l key="AdHocParamDimensionOids" refId="63" ln="0" eid="DimensionOid"/>
                        <be key="data" refId="64" clsId="FilterNodeData">
                          <ref key="filterNode" refId="61"/>
                          <s key="dim">ME_002_000017</s>
                          <i key="segmentLevel">0</i>
                          <ref key="segment" refId="14"/>
                          <be key="reportingFormula" refId="65" clsId="ReportingFormula">
                            <b key="serverFormula">N</b>
                            <b key="formulaRule">S</b>
                            <s key="formula">IFERROR(({8}-{2})/{2},"")</s>
                          </be>
                          <be key="dictionaryHeader" refId="66" clsId="MultiDesc">
                            <a key="desc" refId="67" ln="4" eid="SYS_STR">
                              <s>
                                <ch cod="394"/>
                                 EBITDA
                              </s>
                              <s/>
                              <s/>
                              <s/>
                            </a>
                          </be>
                          <b key="placeHolder">S</b>
                          <ref key="weight" refId="15"/>
                          <be key="textMatchingCondition" refId="68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69" keid="SYS_STR" veid="EFReportingNodeType">
                            <key>
                              <s>8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35"/>
                      </be>
                      <be refId="70" clsId="FilterNode">
                        <l key="dimensionOids" refId="71" ln="1" eid="DimensionOid">
                          <cust clsId="DimensionOid">4D455F3030325F303030303137-45-504152545F454249544441-32--</cust>
                        </l>
                        <l key="AdHocParamDimensionOids" refId="72" ln="0" eid="DimensionOid"/>
                        <be key="data" refId="73" clsId="FilterNodeData">
                          <ref key="filterNode" refId="70"/>
                          <s key="dim">ME_002_000017</s>
                          <i key="segmentLevel">0</i>
                          <ref key="segment" refId="14"/>
                          <be key="dictionaryHeader" refId="74" clsId="MultiDesc">
                            <a key="desc" refId="75" ln="4" eid="SYS_STR">
                              <s>Part EBITDA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5"/>
                          <be key="textMatchingCondition" refId="76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m key="nodeTypes" refId="77" keid="SYS_STR" veid="EFReportingNodeType">
                            <key>
                              <s>4D455F3030325F303030303137-45-504152545F454249544441-32--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35"/>
                      </be>
                      <be refId="78" clsId="FilterNode">
                        <l key="dimensionOids" refId="79" ln="0" eid="DimensionOid"/>
                        <l key="AdHocParamDimensionOids" refId="80" ln="0" eid="DimensionOid"/>
                        <be key="data" refId="81" clsId="FilterNodeData">
                          <ref key="filterNode" refId="78"/>
                          <s key="dim">ME_002_000017</s>
                          <i key="segmentLevel">0</i>
                          <ref key="segment" refId="14"/>
                          <be key="reportingFormula" refId="82" clsId="ReportingFormula">
                            <b key="serverFormula">N</b>
                            <b key="formulaRule">S</b>
                            <s key="formula">IFERROR({8}/{9},"")</s>
                          </be>
                          <be key="dictionaryHeader" refId="83" clsId="MultiDesc">
                            <a key="desc" refId="84" ln="4" eid="SYS_STR">
                              <s>Marge EBITDA</s>
                              <nl/>
                              <nl/>
                              <nl/>
                            </a>
                          </be>
                          <b key="placeHolder">S</b>
                          <ref key="weight" refId="15"/>
                          <be key="textMatchingCondition" refId="85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86" keid="SYS_STR" veid="EFReportingNodeType">
                            <key>
                              <s>11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35"/>
                      </be>
                      <be refId="87" clsId="FilterNode">
                        <l key="dimensionOids" refId="88" ln="0" eid="DimensionOid"/>
                        <l key="AdHocParamDimensionOids" refId="89" ln="0" eid="DimensionOid"/>
                        <be key="data" refId="90" clsId="FilterNodeData">
                          <ref key="filterNode" refId="87"/>
                          <s key="dim">ME_002_000017</s>
                          <i key="segmentLevel">0</i>
                          <ref key="segment" refId="14"/>
                          <be key="reportingFormula" refId="91" clsId="ReportingFormula">
                            <b key="serverFormula">N</b>
                            <b key="formulaRule">S</b>
                            <s key="formula">IFERROR(({15}-{17})*100,"")</s>
                          </be>
                          <be key="dictionaryHeader" refId="92" clsId="MultiDesc">
                            <a key="desc" refId="93" ln="4" eid="SYS_STR">
                              <s>
                                <ch cod="394"/>
                                 Marge
                              </s>
                              <s/>
                              <s/>
                              <s/>
                            </a>
                          </be>
                          <b key="placeHolder">S</b>
                          <ref key="weight" refId="15"/>
                          <be key="textMatchingCondition" refId="94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95" keid="SYS_STR" veid="EFReportingNodeType">
                            <key>
                              <s>15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35"/>
                      </be>
                      <be refId="96" clsId="FilterNode">
                        <l key="dimensionOids" refId="97" ln="1" eid="DimensionOid">
                          <cust clsId="DimensionOid">4D455F3030325F303030303137-45-494E534352495453-32--</cust>
                        </l>
                        <l key="AdHocParamDimensionOids" refId="98" ln="0" eid="DimensionOid"/>
                        <be key="data" refId="99" clsId="FilterNodeData">
                          <ref key="filterNode" refId="96"/>
                          <s key="dim">ME_002_000017</s>
                          <i key="segmentLevel">0</i>
                          <ref key="segment" refId="14"/>
                          <be key="dictionaryHeader" refId="100" clsId="MultiDesc">
                            <a key="desc" refId="101" ln="4" eid="SYS_STR">
                              <s>Inscrits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5"/>
                          <be key="textMatchingCondition" refId="102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46"/>
                          <b key="multiSelection">N</b>
                        </be>
                        <cust key="id" clsId="FilterOid">6</cust>
                        <i key="index">0</i>
                        <ref key="parent" refId="35"/>
                      </be>
                      <be refId="103" clsId="FilterNode">
                        <l key="dimensionOids" refId="104" ln="0" eid="DimensionOid"/>
                        <l key="AdHocParamDimensionOids" refId="105" ln="0" eid="DimensionOid"/>
                        <be key="data" refId="106" clsId="FilterNodeData">
                          <ref key="filterNode" refId="103"/>
                          <s key="dim">ME_002_000017</s>
                          <i key="segmentLevel">0</i>
                          <ref key="segment" refId="14"/>
                          <be key="reportingFormula" refId="107" clsId="ReportingFormula">
                            <b key="serverFormula">N</b>
                            <b key="formulaRule">S</b>
                            <s key="formula">IFERROR({5}/{4},"")</s>
                          </be>
                          <be key="dictionaryHeader" refId="108" clsId="MultiDesc">
                            <a key="desc" refId="109" ln="4" eid="SYS_STR">
                              <s>Rempl.</s>
                              <s/>
                              <s/>
                              <s/>
                            </a>
                          </be>
                          <b key="placeHolder">S</b>
                          <ref key="weight" refId="15"/>
                          <be key="textMatchingCondition" refId="110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111" keid="SYS_STR" veid="EFReportingNodeType">
                            <key>
                              <s>6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21</cust>
                        <s key="cod">PH</s>
                        <s key="desc"/>
                        <i key="index">0</i>
                        <ref key="parent" refId="35"/>
                      </be>
                      <be refId="112" clsId="FilterNode">
                        <l key="dimensionOids" refId="113" ln="0" eid="DimensionOid"/>
                        <l key="AdHocParamDimensionOids" refId="114" ln="0" eid="DimensionOid"/>
                        <be key="data" refId="115" clsId="FilterNodeData">
                          <ref key="filterNode" refId="112"/>
                          <s key="dim">ME_002_000017</s>
                          <i key="segmentLevel">0</i>
                          <ref key="segment" refId="14"/>
                          <be key="reportingFormula" refId="116" clsId="ReportingFormula">
                            <b key="serverFormula">N</b>
                            <b key="formulaRule">S</b>
                            <s key="formula">IFERROR({7}/{5},"")</s>
                          </be>
                          <be key="dictionaryHeader" refId="117" clsId="MultiDesc">
                            <a key="desc" refId="118" ln="4" eid="SYS_STR">
                              <s>Mix alt.</s>
                              <s/>
                              <s/>
                              <s/>
                            </a>
                          </be>
                          <b key="placeHolder">S</b>
                          <ref key="weight" refId="15"/>
                          <be key="textMatchingCondition" refId="119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120" keid="SYS_STR" veid="EFReportingNodeType">
                            <key>
                              <s>6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20</cust>
                        <s key="cod">PH</s>
                        <s key="desc"/>
                        <i key="index">0</i>
                        <ref key="parent" refId="35"/>
                      </be>
                      <be refId="121" clsId="FilterNode">
                        <l key="dimensionOids" refId="122" ln="1" eid="DimensionOid">
                          <cust clsId="DimensionOid">4D455F3030325F303030303137-45-454646454354494653-32--</cust>
                        </l>
                        <l key="AdHocParamDimensionOids" refId="123" ln="0" eid="DimensionOid"/>
                        <be key="data" refId="124" clsId="FilterNodeData">
                          <ref key="filterNode" refId="121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25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46"/>
                          <b key="multiSelection">N</b>
                        </be>
                        <cust key="id" clsId="FilterOid">5</cust>
                        <i key="index">0</i>
                        <ref key="parent" refId="35"/>
                      </be>
                      <be refId="126" clsId="FilterNode">
                        <l key="dimensionOids" refId="127" ln="1" eid="DimensionOid">
                          <cust clsId="DimensionOid">4D455F3030325F303030303137-45-504C41434553-32--</cust>
                        </l>
                        <l key="AdHocParamDimensionOids" refId="128" ln="0" eid="DimensionOid"/>
                        <be key="data" refId="129" clsId="FilterNodeData">
                          <ref key="filterNode" refId="126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0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46"/>
                          <b key="multiSelection">N</b>
                        </be>
                        <cust key="id" clsId="FilterOid">4</cust>
                        <i key="index">0</i>
                        <ref key="parent" refId="35"/>
                      </be>
                      <be refId="131" clsId="FilterNode">
                        <l key="dimensionOids" refId="132" ln="1" eid="DimensionOid">
                          <cust clsId="DimensionOid">4D455F3030325F303030303137-45-4546464543544946535F414C54-32--</cust>
                        </l>
                        <l key="AdHocParamDimensionOids" refId="133" ln="0" eid="DimensionOid"/>
                        <be key="data" refId="134" clsId="FilterNodeData">
                          <ref key="filterNode" refId="131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5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46"/>
                          <b key="multiSelection">N</b>
                        </be>
                        <cust key="id" clsId="FilterOid">7</cust>
                        <i key="index">0</i>
                        <ref key="parent" refId="35"/>
                      </be>
                      <be refId="136" clsId="FilterNode">
                        <l key="dimensionOids" refId="137" ln="1" eid="DimensionOid">
                          <cust clsId="DimensionOid">4D455F3030325F303030303137-45-4542495444415F4E31-32--</cust>
                        </l>
                        <l key="AdHocParamDimensionOids" refId="138" ln="0" eid="DimensionOid"/>
                        <be key="data" refId="139" clsId="FilterNodeData">
                          <ref key="filterNode" refId="136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40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46"/>
                          <b key="multiSelection">N</b>
                        </be>
                        <cust key="id" clsId="FilterOid">2</cust>
                        <i key="index">0</i>
                        <ref key="parent" refId="35"/>
                      </be>
                      <be refId="141" clsId="FilterNode">
                        <l key="dimensionOids" refId="142" ln="1" eid="DimensionOid">
                          <cust clsId="DimensionOid">4D455F3030325F303030303137-45-43415F4E31-32--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45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46"/>
                          <b key="multiSelection">N</b>
                        </be>
                        <cust key="id" clsId="FilterOid">3</cust>
                        <i key="index">0</i>
                        <ref key="parent" refId="35"/>
                      </be>
                      <be refId="146" clsId="FilterNode">
                        <l key="dimensionOids" refId="147" ln="1" eid="DimensionOid">
                          <cust clsId="DimensionOid">4D455F3030325F303030303137-45-5350454E445F414351-32--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50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4D455F3030325F303030303137-45-5350454E445F414351-32--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35"/>
                      </be>
                      <be refId="152" clsId="FilterNode">
                        <l key="dimensionOids" refId="153" ln="1" eid="DimensionOid">
                          <cust clsId="DimensionOid">4D455F3030325F303030303137-45-5350454E445F4143515F4E31-32--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56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4D455F3030325F303030303137-45-5350454E445F4143515F4E31-32--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35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ME_002_000017</s>
                          <i key="segmentLevel">0</i>
                          <ref key="segment" refId="14"/>
                          <be key="reportingFormula" refId="162" clsId="ReportingFormula">
                            <b key="serverFormula">N</b>
                            <b key="formulaRule">S</b>
                            <s key="formula">IFERROR({2}/{3},"")</s>
                          </be>
                          <be key="dictionaryHeader" refId="163" clsId="MultiDesc">
                            <a key="desc" refId="164" ln="4" eid="SYS_STR">
                              <s>Marge EBTIDA N-1</s>
                              <nl/>
                              <nl/>
                              <nl/>
                            </a>
                          </be>
                          <b key="placeHolder">S</b>
                          <ref key="weight" refId="15"/>
                          <be key="textMatchingCondition" refId="165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166" keid="SYS_STR" veid="EFReportingNodeType">
                            <key>
                              <s>13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17</cust>
                        <s key="cod">PH</s>
                        <s key="desc"/>
                        <i key="index">0</i>
                        <ref key="parent" refId="35"/>
                      </be>
                      <be refId="167" clsId="FilterNode">
                        <l key="dimensionOids" refId="168" ln="1" eid="DimensionOid">
                          <cust clsId="DimensionOid">4D455F3030325F303030303137-45-504C414345535F4E31-32--</cust>
                        </l>
                        <l key="AdHocParamDimensionOids" refId="169" ln="0" eid="DimensionOid"/>
                        <be key="data" refId="170" clsId="FilterNodeData">
                          <ref key="filterNode" refId="167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71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m key="nodeTypes" refId="172" keid="SYS_STR" veid="EFReportingNodeType">
                            <key>
                              <s>4D455F3030325F303030303137-45-504C414345535F4E31-32--</s>
                            </key>
                            <val>
                              <ref refId="34"/>
                            </val>
                            <key>
                              <s>4D455F3030325F303030303137-45-494E5343524954535F4E31-32--</s>
                            </key>
                            <val>
                              <ref refId="34"/>
                            </val>
                            <key>
                              <s>4D455F3030325F303030303137-45-4546464543544946535F4E31-32--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22</cust>
                        <i key="index">0</i>
                        <ref key="parent" refId="35"/>
                      </be>
                      <be refId="173" clsId="FilterNode">
                        <l key="dimensionOids" refId="174" ln="1" eid="DimensionOid">
                          <cust clsId="DimensionOid">4D455F3030325F303030303137-45-494E5343524954535F4E31-32--</cust>
                        </l>
                        <l key="AdHocParamDimensionOids" refId="175" ln="0" eid="DimensionOid"/>
                        <be key="data" refId="176" clsId="FilterNodeData">
                          <ref key="filterNode" refId="173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77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172"/>
                          <b key="multiSelection">N</b>
                        </be>
                        <cust key="id" clsId="FilterOid">23</cust>
                        <i key="index">0</i>
                        <ref key="parent" refId="35"/>
                      </be>
                      <be refId="178" clsId="FilterNode">
                        <l key="dimensionOids" refId="179" ln="1" eid="DimensionOid">
                          <cust clsId="DimensionOid">4D455F3030325F303030303137-45-4546464543544946535F4E31-32--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ME_002_000017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82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ref key="nodeTypes" refId="172"/>
                          <b key="multiSelection">N</b>
                        </be>
                        <cust key="id" clsId="FilterOid">24</cust>
                        <i key="index">0</i>
                        <ref key="parent" refId="35"/>
                      </be>
                      <be refId="183" clsId="FilterNode">
                        <l key="dimensionOids" refId="184" ln="0" eid="DimensionOid"/>
                        <l key="AdHocParamDimensionOids" refId="185" ln="0" eid="DimensionOid"/>
                        <be key="data" refId="186" clsId="FilterNodeData">
                          <ref key="filterNode" refId="183"/>
                          <s key="dim">ME_002_000017</s>
                          <i key="segmentLevel">0</i>
                          <ref key="segment" refId="14"/>
                          <be key="reportingFormula" refId="187" clsId="ReportingFormula">
                            <b key="serverFormula">N</b>
                            <b key="formulaRule">S</b>
                            <s key="formula">IFERROR(({6}-{23})/{23},"")</s>
                          </be>
                          <be key="dictionaryHeader" refId="188" clsId="MultiDesc">
                            <a key="desc" refId="189" ln="4" eid="SYS_STR">
                              <s>% nouveaux inscrits</s>
                              <s/>
                              <s/>
                              <s/>
                            </a>
                          </be>
                          <b key="placeHolder">S</b>
                          <ref key="weight" refId="15"/>
                          <be key="textMatchingCondition" refId="190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191" keid="SYS_STR" veid="EFReportingNodeType">
                            <key>
                              <s>24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25</cust>
                        <s key="cod">PH</s>
                        <s key="desc"/>
                        <i key="index">0</i>
                        <ref key="parent" refId="35"/>
                      </be>
                      <be refId="192" clsId="FilterNode">
                        <l key="dimensionOids" refId="193" ln="0" eid="DimensionOid"/>
                        <l key="AdHocParamDimensionOids" refId="194" ln="0" eid="DimensionOid"/>
                        <be key="data" refId="195" clsId="FilterNodeData">
                          <ref key="filterNode" refId="192"/>
                          <s key="dim">ME_002_000017</s>
                          <i key="segmentLevel">0</i>
                          <ref key="segment" refId="14"/>
                          <be key="reportingFormula" refId="196" clsId="ReportingFormula">
                            <b key="serverFormula">N</b>
                            <b key="formulaRule">S</b>
                            <s key="formula">IFERROR(({12}-{3})/{3},"")</s>
                          </be>
                          <b key="placeHolder">S</b>
                          <ref key="weight" refId="15"/>
                          <be key="textMatchingCondition" refId="197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1"/>
                          <b key="breakLevelSubtotal">N</b>
                          <b key="alreadyDrilled">N</b>
                          <m key="nodeTypes" refId="198" keid="SYS_STR" veid="EFReportingNodeType">
                            <key>
                              <s>25</s>
                            </key>
                            <val>
                              <ref refId="34"/>
                            </val>
                          </m>
                          <b key="multiSelection">N</b>
                        </be>
                        <cust key="id" clsId="FilterOid">26</cust>
                        <s key="cod">PH</s>
                        <s key="desc"/>
                        <i key="index">0</i>
                        <ref key="parent" refId="35"/>
                      </be>
                    </l>
                  </be>
                  <be key="matrixFilters" refId="199" clsId="FilterNode">
                    <l key="dimensionOids" refId="200" ln="0" eid="DimensionOid"/>
                    <l key="AdHocParamDimensionOids" refId="201" ln="0" eid="DimensionOid"/>
                    <be key="data" refId="202" clsId="FilterNodeData">
                      <ref key="filterNode" refId="199"/>
                      <i key="segmentLevel">0</i>
                      <ref key="segment" refId="14"/>
                      <b key="placeHolder">N</b>
                      <ref key="weight" refId="15"/>
                      <be key="textMatchingCondition" refId="203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1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04" ln="1" eid="Framework.com.tagetik.trees.INode,framework">
                      <be refId="205" clsId="FilterNode">
                        <l key="dimensionOids" refId="206" ln="1" eid="DimensionOid">
                          <cust clsId="DimensionOid">5343455F24-45-323032374255445F5631-244F524947494E414C--</cust>
                        </l>
                        <l key="AdHocParamDimensionOids" refId="207" ln="0" eid="DimensionOid"/>
                        <be key="data" refId="208" clsId="FilterNodeData">
                          <ref key="filterNode" refId="205"/>
                          <s key="dim">SCE_$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209" clsId="TextMatchingCondition">
                            <ref key="op" refId="17"/>
                            <s key="val"/>
                          </be>
                          <ref key="change" refId="31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2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10" ln="1" eid="Framework.com.tagetik.trees.INode,framework">
                          <be refId="211" clsId="FilterNode">
                            <l key="dimensionOids" refId="212" ln="1" eid="DimensionOid">
                              <cust clsId="DimensionOid">414E4C5F4558455243494345-45-32303236---</cust>
                            </l>
                            <l key="AdHocParamDimensionOids" refId="213" ln="0" eid="DimensionOid"/>
                            <be key="data" refId="214" clsId="FilterNodeData">
                              <ref key="filterNode" refId="211"/>
                              <s key="dim">ANL_EXERCICE</s>
                              <i key="segmentLevel">0</i>
                              <ref key="segment" refId="14"/>
                              <b key="placeHolder">N</b>
                              <ref key="weight" refId="15"/>
                              <be key="textMatchingCondition" refId="215" clsId="TextMatchingCondition">
                                <ref key="op" refId="17"/>
                                <s key="val"/>
                              </be>
                              <ref key="change" refId="31"/>
                              <ref key="dataType" refId="19"/>
                              <b key="prevailingDataType">N</b>
                              <ref key="editability" refId="20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2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16" ln="1" eid="Framework.com.tagetik.trees.INode,framework">
                              <be refId="217" clsId="FilterNode">
                                <l key="dimensionOids" refId="218" ln="1" eid="DimensionOid">
                                  <cust clsId="DimensionOid">504552-45-3132---</cust>
                                </l>
                                <l key="AdHocParamDimensionOids" refId="219" ln="0" eid="DimensionOid"/>
                                <be key="data" refId="220" clsId="FilterNodeData">
                                  <ref key="filterNode" refId="217"/>
                                  <s key="dim">PER</s>
                                  <i key="segmentLevel">0</i>
                                  <ref key="segment" refId="14"/>
                                  <b key="placeHolder">N</b>
                                  <ref key="weight" refId="15"/>
                                  <be key="textMatchingCondition" refId="221" clsId="TextMatchingCondition">
                                    <ref key="op" refId="17"/>
                                    <s key="val"/>
                                  </be>
                                  <ref key="change" refId="31"/>
                                  <ref key="dataType" refId="19"/>
                                  <b key="prevailingDataType">N</b>
                                  <ref key="editability" refId="20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2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211"/>
                              </be>
                            </l>
                            <ref key="parent" refId="205"/>
                          </be>
                        </l>
                        <ref key="parent" refId="199"/>
                      </be>
                    </l>
                  </be>
                  <be key="rowHeaders" refId="222" clsId="ReportingHeaders">
                    <m key="headers" refId="223" keid="SYS_PR_I" veid="System.Collections.IList">
                      <key>
                        <i>-2</i>
                      </key>
                      <val>
                        <l refId="224" ln="1">
                          <s>$Entity(HIERARCHY("EDU")).level</s>
                        </l>
                      </val>
                      <key>
                        <i>-1</i>
                      </key>
                      <val>
                        <l refId="225" ln="1">
                          <s>$Entity(HIERARCHY("EDU")).desc</s>
                        </l>
                      </val>
                    </m>
                    <m key="headersDims" refId="226" keid="SYS_PR_I" veid="SYS_STR">
                      <key>
                        <i>-2</i>
                      </key>
                      <val>
                        <s>AZI_EDU</s>
                      </val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227" clsId="ReportingHeaders">
                    <m key="headers" refId="228" keid="SYS_PR_I" veid="System.Collections.IList">
                      <key>
                        <i>-1</i>
                      </key>
                      <val>
                        <l refId="229" ln="1">
                          <s>$ME_002_000017.desc</s>
                        </l>
                      </val>
                    </m>
                    <m key="headersDims" refId="230" keid="SYS_PR_I" veid="SYS_STR">
                      <key>
                        <i>-1</i>
                      </key>
                      <val>
                        <s>ME_002_000017</s>
                      </val>
                    </m>
                  </be>
                  <e key="styleType" refId="231" id="MatrixStyleType">0</e>
                  <b key="subtotalOnTop">S</b>
                  <b key="leavesFirst">N</b>
                  <b key="groupSubtotal">S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232" id="RowColExpansionMode">0</e>
                  <i key="maxCols">0</i>
                  <e key="colsExpansionMode" refId="233" id="RowColExpansionMode">1</e>
                  <e key="columnsAutofitMode" refId="234" id="ColumnsAutofitMode">0</e>
                  <b key="isEditabilityOnDemand">N</b>
                  <b key="useForcedBoundDims">N</b>
                  <e key="disableHints" refId="235" id="MatrixHintsPolicy">C</e>
                  <e key="enableOptimization" refId="236" id="EnableLaunchFormDEOptimization">C</e>
                  <e key="tipoAllineamentoLordiIC" refId="23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238" keid="SYS_STR" veid="StyleSheet">
                    <key>
                      <s>1</s>
                    </key>
                    <val>
                      <be refId="239" clsId="StyleSheet">
                        <be key="version" refId="240" clsId="ClientVersionInfo">
                          <s key="PRIMARY">10</s>
                          <s key="RELEASE">0</s>
                          <s key="PATCH"/>
                          <s key="BUILD"/>
                          <s key="VERSION.PRINCIPAL">35</s>
                          <s key="VERSION.MAJOR">0</s>
                          <s key="VERSION.MINOR">0</s>
                          <s key="VERSION.PATCH">6</s>
                          <s key="VERSION.TIMESTAMP">20260209140819</s>
                          <s key="VERSION.APPNAME">tgk</s>
                          <s key="VERSION.USERNAME">${username}</s>
                          <b key="VERSION.SNAPSHOT">N</b>
                        </be>
                        <s key="cod">TGK_01</s>
                        <e key="applyFirst" refId="241" id="MultiplePosBlockType">COLUMNS</e>
                        <m key="rules" refId="242" keid="SYS_STR" veid="System.Collections.IList">
                          <key>
                            <s>46524D4F424A-45-56414C554553----434F4C554D4E53-234E2F41-56414C554553-234E2F41</s>
                          </key>
                          <val>
                            <l refId="243" ln="1">
                              <be refId="244" clsId="StyleRule">
                                <be key="ruleCondition" refId="245" clsId="StyleRuleCondition">
                                  <b key="trailing">N</b>
                                  <b key="leading">N</b>
                                </be>
                                <s key="codStile">%0.0</s>
                              </be>
                            </l>
                          </val>
                        </m>
                        <d key="dateUpd">1787851780757</d>
                        <e key="tipoClient" refId="246" id="TipoClient">NET</e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47" ln="0" eid="Reporting.com.tagetik.tables.IMatixCellLeafPositions,Reporting"/>
                  <m key="forcedEditModes" refId="248" keid="Reporting.com.tagetik.tables.IMatixCellLeafPositions,Reporting" veid="SYS_STR"/>
                  <b key="UseTxlDeFormEditor">N</b>
                  <be key="TxDeFormsEditorDescriptor" refId="249" clsId="TxDeFormsEditorDescriptor">
                    <l key="Tabs" refId="25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51" clsId="matrixWSInfo">
                    <b key="isT">N</b>
                    <s key="wsCode">002</s>
                    <s key="tableCode">000017</s>
                  </be>
                  <be key="customFilters" refId="252" clsId="ExpCustomFiltersProspetto"/>
                </be>
              </val>
            </m>
            <m key="cellFields" refId="253" keid="SYS_STR" veid="CodeCellField">
              <key>
                <s>CellField02</s>
              </key>
              <val>
                <be refId="254" clsId="CodeCellField">
                  <s key="code">CellField02</s>
                  <s key="cellField">$Entity(HIERARCHY("EDU")).desc</s>
                </be>
              </val>
            </m>
            <m key="dictionary" refId="255" keid="SYS_STR" veid="CodeMultiDescVO"/>
            <m key="controlExpressions" refId="256" keid="SYS_STR" veid="CodedExpControlloProspetto"/>
            <m key="inlineParameters" refId="257" keid="SYS_STR" veid="CodedInlineParameter"/>
            <m key="queries" refId="258" keid="SYS_STR" veid="Reporting.com.tagetik.query.IUserDefinedQueryVO,Reporting">
              <key>
                <s>Query00</s>
              </key>
              <val>
                <be refId="259" clsId="UserDefinedQueryVO">
                  <s key="queryString">
                    SELECT
                    <ch cod="0a"/>
                        e.RANG,
                    <ch cod="0a"/>
                        e.ETAPE,
                    <ch cod="0a"/>
                    <ch cod="0a"/>
                        CASE e.RANG
                    <ch cod="0a"/>
                            WHEN 2 THEN CASE WHEN g.E_VOL  &lt; 0 THEN g.EBITDA_P + g.E_VOL
                    <ch cod="0a"/>
                                             ELSE g.EBITDA_P END
                    <ch cod="0a"/>
                            WHEN 3 THEN CASE WHEN g.E_PRIX &lt; 0 THEN g.EBITDA_P + g.E_VOL + g.E_PRIX
                    <ch cod="0a"/>
                                             ELSE g.EBITDA_P + g.E_VOL END
                    <ch cod="0a"/>
                            WHEN 4 THEN CASE WHEN g.E_COUT &lt; 0 THEN g.EBITDA_N
                    <ch cod="0a"/>
                                             ELSE g.EBITDA_P + g.E_VOL + g.E_PRIX END
                    <ch cod="0a"/>
                            ELSE        0
                    <ch cod="0a"/>
                        END                                                     AS SOCLE,
                    <ch cod="0a"/>
                    <ch cod="0a"/>
                        CASE e.RANG
                    <ch cod="0a"/>
                            WHEN 1 THEN g.EBITDA_P
                    <ch cod="0a"/>
                            WHEN 5 THEN g.EBITDA_N
                    <ch cod="0a"/>
                            ELSE        0
                    <ch cod="0a"/>
                        END                                                     AS ANCRE,
                    <ch cod="0a"/>
                    <ch cod="0a"/>
                        CASE e.RANG
                    <ch cod="0a"/>
                            WHEN 2 THEN CASE WHEN g.E_VOL  &gt; 0 THEN g.E_VOL  ELSE 0 END
                    <ch cod="0a"/>
                            WHEN 3 THEN CASE WHEN g.E_PRIX &gt; 0 THEN g.E_PRIX ELSE 0 END
                    <ch cod="0a"/>
                            WHEN 4 THEN CASE WHEN g.E_COUT &gt; 0 THEN g.E_COUT ELSE 0 END
                    <ch cod="0a"/>
                            ELSE        0
                    <ch cod="0a"/>
                        END                                                     AS HAUSSE,
                    <ch cod="0a"/>
                    <ch cod="0a"/>
                        CASE e.RANG
                    <ch cod="0a"/>
                            WHEN 2 THEN CASE WHEN g.E_VOL  &lt; 0 THEN -1 * g.E_VOL  ELSE 0 END
                    <ch cod="0a"/>
                            WHEN 3 THEN CASE WHEN g.E_PRIX &lt; 0 THEN -1 * g.E_PRIX ELSE 0 END
                    <ch cod="0a"/>
                            WHEN 4 THEN CASE WHEN g.E_COUT &lt; 0 THEN -1 * g.E_COUT ELSE 0 END
                    <ch cod="0a"/>
                            ELSE        0
                    <ch cod="0a"/>
                        END                                                     AS BAISSE
                    <ch cod="0a"/>
                    FROM (
                    <ch cod="0a"/>
                            SELECT
                    <ch cod="0a"/>
                                SUM(x.EBITDA_P)                                 AS EBITDA_P,
                    <ch cod="0a"/>
                                SUM(x.EBITDA_N)                                 AS EBITDA_N,
                    <ch cod="0a"/>
                                SUM(x.E_VOL)                                    AS E_VOL,
                    <ch cod="0a"/>
                                SUM(x.E_PRIX)                                   AS E_PRIX,
                    <ch cod="0a"/>
                                SUM(x.E_CVAR + x.E_CDIR + x.E_SIEGE)            AS E_COUT
                    <ch cod="0a"/>
                            FROM (
                    <ch cod="0a"/>
                                    SELECT
                    <ch cod="0a"/>
                                        p.EBITDA                                AS EBITDA_P,
                    <ch cod="0a"/>
                                        n.EBITDA                                AS EBITDA_N,
                    <ch cod="0a"/>
                                        (n.EFFECTIFS - p.EFFECTIFS)
                    <ch cod="0a"/>
                                          * (1.0 * p.CA / NULLIF(p.EFFECTIFS, 0)
                    <ch cod="0a"/>
                                             - 1.0 * p.COST_VAR / NULLIF(p.EFFECTIFS, 0))         AS E_VOL,
                    <ch cod="0a"/>
                                        (1.0 * n.CA / NULLIF(n.EFFECTIFS, 0)
                    <ch cod="0a"/>
                                         - 1.0 * p.CA / NULLIF(p.EFFECTIFS, 0)) * n.EFFECTIFS     AS E_PRIX,
                    <ch cod="0a"/>
                                        -1 * (1.0 * n.COST_VAR / NULLIF(n.EFFECTIFS, 0)
                    <ch cod="0a"/>
                                              - 1.0 * p.COST_VAR / NULLIF(p.EFFECTIFS, 0)) * n.EFFECTIFS AS E_CVAR,
                    <ch cod="0a"/>
                                        -1 * (n.COST_DIR - p.COST_DIR)                            AS E_CDIR,
                    <ch cod="0a"/>
                                        -1 * (n.COST_SIEGE - p.COST_SIEGE)                        AS E_SIEGE
                    <ch cod="0a"/>
                                    FROM (
                    <ch cod="0a"/>
                                            SELECT  a.ENTITY,
                    <ch cod="0a"/>
                                                    SUM(a.CA)                          AS CA,
                    <ch cod="0a"/>
                                                    SUM(a.CA - a.COST_COMPLET)         AS EBITDA,
                    <ch cod="0a"/>
                                                    SUM(a.VOL_EFF)                     AS EFFECTIFS,
                    <ch cod="0a"/>
                                                    SUM(a.COST_VARIABLE)               AS COST_VAR,
                    <ch cod="0a"/>
                                                    SUM(a.COST_SIEGE)                  AS COST_SIEGE,
                    <ch cod="0a"/>
                                                    SUM(a.COST_COMPLET - a.COST_VARIABLE - a.COST_SIEGE) AS COST_DIR
                    <ch cod="0a"/>
                                            FROM    V_ALLOCATION AS a
                    <ch cod="0a"/>
                                            WHERE   CAST(a.EXERCICE AS INT) = 2026
                    <ch cod="0a"/>
                                              AND   a.ENTITY IN (${$Entity(HIERARCHY("EDU")).lowest})
                    <ch cod="0a"/>
                                            GROUP BY a.ENTITY
                    <ch cod="0a"/>
                                         ) AS n
                    <ch cod="0a"/>
                                    INNER JOIN (
                    <ch cod="0a"/>
                                            SELECT  a.ENTITY,
                    <ch cod="0a"/>
                                                    SUM(a.CA)                          AS CA,
                    <ch cod="0a"/>
                                                    SUM(a.CA - a.COST_COMPLET)         AS EBITDA,
                    <ch cod="0a"/>
                                                    SUM(a.VOL_EFF)                     AS EFFECTIFS,
                    <ch cod="0a"/>
                                                    SUM(a.COST_VARIABLE)               AS COST_VAR,
                    <ch cod="0a"/>
                                                    SUM(a.COST_SIEGE)                  AS COST_SIEGE,
                    <ch cod="0a"/>
                                                    SUM(a.COST_COMPLET - a.COST_VARIABLE - a.COST_SIEGE) AS COST_DIR
                    <ch cod="0a"/>
                                            FROM    V_ALLOCATION AS a
                    <ch cod="0a"/>
                                            WHERE   CAST(a.EXERCICE AS INT) = 2025
                    <ch cod="0a"/>
                                              AND   a.ENTITY IN (${$Entity(HIERARCHY("EDU")).lowest})
                    <ch cod="0a"/>
                                            GROUP BY a.ENTITY
                    <ch cod="0a"/>
                                         ) AS p
                    <ch cod="0a"/>
                                           ON  p.ENTITY = n.ENTITY
                    <ch cod="0a"/>
                                 ) AS x
                    <ch cod="0a"/>
                         ) AS g
                    <ch cod="0a"/>
                    CROSS JOIN (
                    <ch cod="0a"/>
                            VALUES (1, N'EBITDA 2025'),
                    <ch cod="0a"/>
                                   (2, N'Activit?'),
                    <ch cod="0a"/>
                                   (3, N'Prix / mix'),
                    <ch cod="0a"/>
                                   (4, N'Co?ts'),
                    <ch cod="0a"/>
                                   (5, N'EBITDA 2026')
                    <ch cod="0a"/>
                         ) AS e(RANG, ETAPE)
                  </s>
                  <s key="queryType">N</s>
                  <e key="querySyntax" refId="260" id="UserDefinedQuerySyntax">SQL</e>
                  <m key="options" refId="261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N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N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Query00</s>
                  <be key="multiDescVO" refId="262" clsId="MultiDesc">
                    <a key="desc" refId="263" ln="4" eid="SYS_STR">
                      <s>Query 00</s>
                      <s/>
                      <s/>
                      <s/>
                    </a>
                  </be>
                  <be key="initialResult" refId="264" clsId="QueryResult">
                    <rs key="recordset" refId="265" rowCount="0" fieldNames="RANG,ETAPE,SOCLE,ANCRE,HAUSSE,BAISSE">
                      <field name="RANG"/>
                      <field name="ETAPE"/>
                      <field name="SOCLE"/>
                      <field name="ANCRE"/>
                      <field name="HAUSSE"/>
                      <field name="BAISSE"/>
                    </rs>
                    <a key="columnTypes" refId="266" ln="6" eid="SYS_PR_I">
                      <i>4</i>
                      <i>-9</i>
                      <i>2</i>
                      <i>2</i>
                      <i>2</i>
                      <i>2</i>
                    </a>
                    <i key="rowsCount">0</i>
                    <a key="columnNames" refId="267" ln="6" eid="SYS_STR">
                      <s>RANG</s>
                      <s>ETAPE</s>
                      <s>SOCLE</s>
                      <s>ANCRE</s>
                      <s>HAUSSE</s>
                      <s>BAISSE</s>
                    </a>
                  </be>
                  <b key="hasExcelReferences">N</b>
                  <m key="ColumnDescriptors" refId="268" keid="SYS_STR" veid="QueryColumnDescriptor">
                    <key>
                      <s>RANG</s>
                    </key>
                    <val>
                      <be refId="269" clsId="QueryColumnDescriptor">
                        <s key="code">RANG</s>
                        <be key="multiDescVO" refId="270" clsId="MultiDesc">
                          <a key="desc" refId="27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ETAPE</s>
                    </key>
                    <val>
                      <be refId="272" clsId="QueryColumnDescriptor">
                        <s key="code">ETAPE</s>
                        <be key="multiDescVO" refId="273" clsId="MultiDesc">
                          <a key="desc" refId="27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SOCLE</s>
                    </key>
                    <val>
                      <be refId="275" clsId="QueryColumnDescriptor">
                        <s key="code">SOCLE</s>
                        <be key="multiDescVO" refId="276" clsId="MultiDesc">
                          <a key="desc" refId="277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ANCRE</s>
                    </key>
                    <val>
                      <be refId="278" clsId="QueryColumnDescriptor">
                        <s key="code">ANCRE</s>
                        <be key="multiDescVO" refId="279" clsId="MultiDesc">
                          <a key="desc" refId="280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HAUSSE</s>
                    </key>
                    <val>
                      <be refId="281" clsId="QueryColumnDescriptor">
                        <s key="code">HAUSSE</s>
                        <be key="multiDescVO" refId="282" clsId="MultiDesc">
                          <a key="desc" refId="283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BAISSE</s>
                    </key>
                    <val>
                      <be refId="284" clsId="QueryColumnDescriptor">
                        <s key="code">BAISSE</s>
                        <be key="multiDescVO" refId="285" clsId="MultiDesc">
                          <a key="desc" refId="286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  <key>
                <s>Query01</s>
              </key>
              <val>
                <be refId="287" clsId="UserDefinedQueryVO">
                  <s key="queryString">
                    SELECT
                    <ch cod="0a"/>
                        g.NIVEAU,
                    <ch cod="0a"/>
                        g.CODE,
                    <ch cod="0a"/>
                        COALESCE(az.DESC_AZIENDA0, m.LIB, g.CODE)               AS LIBELLE,
                    <ch cod="0a"/>
                    <ch cod="0a"/>
                        CAST(ROUND(g.CA_2024,     0) AS DECIMAL(18, 0))         AS CA_2024,
                    <ch cod="0a"/>
                        CAST(ROUND(g.EBITDA_2024, 0) AS DECIMAL(18, 0))         AS EBITDA_2024,
                    <ch cod="0a"/>
                        CAST(ROUND(1.0 * g.EBITDA_2024 / NULLIF(g.CA_2024, 0), 4) AS DECIMAL(9, 4)) AS MARGE_2024,
                    <ch cod="0a"/>
                    <ch cod="0a"/>
                        CAST(ROUND(g.CA_2025,     0) AS DECIMAL(18, 0))         AS CA_2025,
                    <ch cod="0a"/>
                        CAST(ROUND(g.EBITDA_2025, 0) AS DECIMAL(18, 0))         AS EBITDA_2025,
                    <ch cod="0a"/>
                        CAST(ROUND(1.0 * g.EBITDA_2025 / NULLIF(g.CA_2025, 0), 4) AS DECIMAL(9, 4)) AS MARGE_2025,
                    <ch cod="0a"/>
                    <ch cod="0a"/>
                        CAST(ROUND(g.CA_2026,     0) AS DECIMAL(18, 0))         AS CA_2026,
                    <ch cod="0a"/>
                        CAST(ROUND(g.EBITDA_2026, 0) AS DECIMAL(18, 0))         AS EBITDA_2026,
                    <ch cod="0a"/>
                        CAST(ROUND(1.0 * g.EBITDA_2026 / NULLIF(g.CA_2026, 0), 4) AS DECIMAL(9, 4)) AS MARGE_2026,
                    <ch cod="0a"/>
                    <ch cod="0a"/>
                        CAST(ROUND(100.0 * (1.0 * g.EBITDA_2026 / NULLIF(g.CA_2026, 0)
                    <ch cod="0a"/>
                                          - 1.0 * g.EBITDA_2024 / NULLIF(g.CA_2024, 0)), 2)
                    <ch cod="0a"/>
                             AS DECIMAL(9, 2))                                  AS ECART_PT
                    <ch cod="0a"/>
                    FROM (
                    <ch cod="0a"/>
                            SELECT
                    <ch cod="0a"/>
                                CASE WHEN f.PLUSIEURS = 1 THEN 'MARQUE' ELSE 'CAMPUS' END          AS NIVEAU,
                    <ch cod="0a"/>
                                CASE WHEN f.PLUSIEURS = 1 THEN a.MARQUE ELSE a.ENTITY END          AS CODE,
                    <ch cod="0a"/>
                                SUM(CASE WHEN CAST(a.EXERCICE AS INT) = 2024 THEN a.CA ELSE 0 END) AS CA_2024,
                    <ch cod="0a"/>
                                SUM(CASE WHEN CAST(a.EXERCICE AS INT) = 2025 THEN a.CA ELSE 0 END) AS CA_2025,
                    <ch cod="0a"/>
                                SUM(CASE WHEN CAST(a.EXERCICE AS INT) = 2026 THEN a.CA ELSE 0 END) AS CA_2026,
                    <ch cod="0a"/>
                                SUM(CASE WHEN CAST(a.EXERCICE AS INT) = 2024
                    <ch cod="0a"/>
                                         THEN a.CA - a.COST_COMPLET ELSE 0 END)                    AS EBITDA_2024,
                    <ch cod="0a"/>
                                SUM(CASE WHEN CAST(a.EXERCICE AS INT) = 2025
                    <ch cod="0a"/>
                                         THEN a.CA - a.COST_COMPLET ELSE 0 END)                    AS EBITDA_2025,
                    <ch cod="0a"/>
                                SUM(CASE WHEN CAST(a.EXERCICE AS INT) = 2026
                    <ch cod="0a"/>
                                         THEN a.CA - a.COST_COMPLET ELSE 0 END)                    AS EBITDA_2026
                    <ch cod="0a"/>
                            FROM    V_ALLOCATION AS a
                    <ch cod="0a"/>
                            CROSS JOIN (
                    <ch cod="0a"/>
                                    SELECT CASE WHEN COUNT(DISTINCT z.MARQUE) &gt; 1 THEN 1 ELSE 0 END AS PLUSIEURS
                    <ch cod="0a"/>
                                    FROM   V_ALLOCATION AS z
                    <ch cod="0a"/>
                                    WHERE  z.ENTITY IN (${$Entity(HIERARCHY("EDU")).lowest})
                    <ch cod="0a"/>
                                 ) AS f
                    <ch cod="0a"/>
                            WHERE   a.ENTITY IN (${$Entity(HIERARCHY("EDU")).lowest})
                    <ch cod="0a"/>
                            GROUP BY f.PLUSIEURS,
                    <ch cod="0a"/>
                                     CASE WHEN f.PLUSIEURS = 1 THEN a.MARQUE ELSE a.ENTITY END
                    <ch cod="0a"/>
                         ) AS g
                    <ch cod="0a"/>
                    LEFT JOIN azienda AS az
                    <ch cod="0a"/>
                           ON az.COD_AZIENDA = g.CODE
                    <ch cod="0a"/>
                    LEFT JOIN (
                    <ch cod="0a"/>
                            VALUES ('MBWAY',  'MBway'),
                    <ch cod="0a"/>
                                   ('ISCOM',  'ISCOM'),
                    <ch cod="0a"/>
                                   ('IPAC',   'Ipac Bachelor Factory'),
                    <ch cod="0a"/>
                                   ('PIGIER', 'Pigier'),
                    <ch cod="0a"/>
                                   ('TUNON',  'Tunon')
                    <ch cod="0a"/>
                         ) AS m(COD, LIB)
                    <ch cod="0a"/>
                           ON m.COD = g.CODE
                  </s>
                  <s key="queryType">N</s>
                  <ref key="querySyntax" refId="260"/>
                  <m key="options" refId="288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N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N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Query01</s>
                  <be key="multiDescVO" refId="289" clsId="MultiDesc">
                    <a key="desc" refId="290" ln="4" eid="SYS_STR">
                      <s>Query 01</s>
                      <s/>
                      <s/>
                      <s/>
                    </a>
                  </be>
                  <be key="initialResult" refId="291" clsId="QueryResult">
                    <rs key="recordset" refId="292" rowCount="0" fieldNames="NIVEAU,CODE,LIBELLE,CA_2024,EBITDA_2024,MARGE_2024,CA_2025,EBITDA_2025,MARGE_2025,CA_2026,EBITDA_2026,MARGE_2026,ECART_PT">
                      <field name="NIVEAU"/>
                      <field name="CODE"/>
                      <field name="LIBELLE"/>
                      <field name="CA_2024"/>
                      <field name="EBITDA_2024"/>
                      <field name="MARGE_2024"/>
                      <field name="CA_2025"/>
                      <field name="EBITDA_2025"/>
                      <field name="MARGE_2025"/>
                      <field name="CA_2026"/>
                      <field name="EBITDA_2026"/>
                      <field name="MARGE_2026"/>
                      <field name="ECART_PT"/>
                    </rs>
                    <a key="columnTypes" refId="293" ln="13" eid="SYS_PR_I">
                      <i>12</i>
                      <i>12</i>
                      <i>12</i>
                      <i>3</i>
                      <i>3</i>
                      <i>3</i>
                      <i>3</i>
                      <i>3</i>
                      <i>3</i>
                      <i>3</i>
                      <i>3</i>
                      <i>3</i>
                      <i>3</i>
                    </a>
                    <i key="rowsCount">0</i>
                    <a key="columnNames" refId="294" ln="13" eid="SYS_STR">
                      <s>NIVEAU</s>
                      <s>CODE</s>
                      <s>LIBELLE</s>
                      <s>CA_2024</s>
                      <s>EBITDA_2024</s>
                      <s>MARGE_2024</s>
                      <s>CA_2025</s>
                      <s>EBITDA_2025</s>
                      <s>MARGE_2025</s>
                      <s>CA_2026</s>
                      <s>EBITDA_2026</s>
                      <s>MARGE_2026</s>
                      <s>ECART_PT</s>
                    </a>
                  </be>
                  <b key="hasExcelReferences">N</b>
                  <m key="ColumnDescriptors" refId="295" keid="SYS_STR" veid="QueryColumnDescriptor">
                    <key>
                      <s>NIVEAU</s>
                    </key>
                    <val>
                      <be refId="296" clsId="QueryColumnDescriptor">
                        <s key="code">NIVEAU</s>
                        <be key="multiDescVO" refId="297" clsId="MultiDesc">
                          <a key="desc" refId="29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CODE</s>
                    </key>
                    <val>
                      <be refId="299" clsId="QueryColumnDescriptor">
                        <s key="code">CODE</s>
                        <be key="multiDescVO" refId="300" clsId="MultiDesc">
                          <a key="desc" refId="30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LIBELLE</s>
                    </key>
                    <val>
                      <be refId="302" clsId="QueryColumnDescriptor">
                        <s key="code">LIBELLE</s>
                        <be key="multiDescVO" refId="303" clsId="MultiDesc">
                          <a key="desc" refId="30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CA_2024</s>
                    </key>
                    <val>
                      <be refId="305" clsId="QueryColumnDescriptor">
                        <s key="code">CA_2024</s>
                        <be key="multiDescVO" refId="306" clsId="MultiDesc">
                          <a key="desc" refId="307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EBITDA_2024</s>
                    </key>
                    <val>
                      <be refId="308" clsId="QueryColumnDescriptor">
                        <s key="code">EBITDA_2024</s>
                        <be key="multiDescVO" refId="309" clsId="MultiDesc">
                          <a key="desc" refId="310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MARGE_2024</s>
                    </key>
                    <val>
                      <be refId="311" clsId="QueryColumnDescriptor">
                        <s key="code">MARGE_2024</s>
                        <be key="multiDescVO" refId="312" clsId="MultiDesc">
                          <a key="desc" refId="313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CA_2025</s>
                    </key>
                    <val>
                      <be refId="314" clsId="QueryColumnDescriptor">
                        <s key="code">CA_2025</s>
                        <be key="multiDescVO" refId="315" clsId="MultiDesc">
                          <a key="desc" refId="316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EBITDA_2025</s>
                    </key>
                    <val>
                      <be refId="317" clsId="QueryColumnDescriptor">
                        <s key="code">EBITDA_2025</s>
                        <be key="multiDescVO" refId="318" clsId="MultiDesc">
                          <a key="desc" refId="319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MARGE_2025</s>
                    </key>
                    <val>
                      <be refId="320" clsId="QueryColumnDescriptor">
                        <s key="code">MARGE_2025</s>
                        <be key="multiDescVO" refId="321" clsId="MultiDesc">
                          <a key="desc" refId="322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CA_2026</s>
                    </key>
                    <val>
                      <be refId="323" clsId="QueryColumnDescriptor">
                        <s key="code">CA_2026</s>
                        <be key="multiDescVO" refId="324" clsId="MultiDesc">
                          <a key="desc" refId="32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EBITDA_2026</s>
                    </key>
                    <val>
                      <be refId="326" clsId="QueryColumnDescriptor">
                        <s key="code">EBITDA_2026</s>
                        <be key="multiDescVO" refId="327" clsId="MultiDesc">
                          <a key="desc" refId="32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MARGE_2026</s>
                    </key>
                    <val>
                      <be refId="329" clsId="QueryColumnDescriptor">
                        <s key="code">MARGE_2026</s>
                        <be key="multiDescVO" refId="330" clsId="MultiDesc">
                          <a key="desc" refId="33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ECART_PT</s>
                    </key>
                    <val>
                      <be refId="332" clsId="QueryColumnDescriptor">
                        <s key="code">ECART_PT</s>
                        <be key="multiDescVO" refId="333" clsId="MultiDesc">
                          <a key="desc" refId="33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  <key>
                <s>Query02</s>
              </key>
              <val>
                <be refId="335" clsId="UserDefinedQueryVO">
                  <s key="queryString">
                    SELECT
                    <ch cod="0a"/>
                        y.EXERCICE,
                    <ch cod="0a"/>
                    <ch cod="0a"/>
                        CAST(ROUND(y.DEPENSES, 0) AS DECIMAL(18, 0))            AS DEPENSES,
                    <ch cod="0a"/>
                        CAST(ROUND(y.INSCRITS, 0) AS DECIMAL(18, 0))            AS INSCRITS,
                    <ch cod="0a"/>
                    <ch cod="0a"/>
                        CAST(ROUND(100.0 * y.DEPENSES / NULLIF(b.DEPENSES, 0), 1) AS DECIMAL(9, 1)) AS IND_DEPENSES,
                    <ch cod="0a"/>
                        CAST(ROUND(100.0 * y.INSCRITS / NULLIF(b.INSCRITS, 0), 1) AS DECIMAL(9, 1)) AS IND_INSCRITS,
                    <ch cod="0a"/>
                    <ch cod="0a"/>
                        CAST(ROUND(1.0 * y.DEPENSES / NULLIF(y.INSCRITS, 0), 0) AS DECIMAL(18, 0))  AS CAC,
                    <ch cod="0a"/>
                    <ch cod="0a"/>
                        CAST(ROUND(100.0 * y.DEPENSES / NULLIF(b.DEPENSES, 0)
                    <ch cod="0a"/>
                                 - 100.0 * y.INSCRITS / NULLIF(b.INSCRITS, 0), 1) AS DECIMAL(9, 1)) AS ECART_PT
                    <ch cod="0a"/>
                    FROM (
                    <ch cod="0a"/>
                            SELECT  v.EXERCICE,
                    <ch cod="0a"/>
                                    SUM(v.INSCRITS)                    AS INSCRITS,
                    <ch cod="0a"/>
                                    SUM(COALESCE(s.DEPENSES, 0))       AS DEPENSES
                    <ch cod="0a"/>
                            FROM (
                    <ch cod="0a"/>
                                    SELECT  a.EXERCICE, a.ENTITY, SUM(a.VOL_NEW) AS INSCRITS
                    <ch cod="0a"/>
                                    FROM    V_ALLOCATION AS a
                    <ch cod="0a"/>
                                    WHERE   a.ENTITY IN (${$Entity(HIERARCHY("EDU")).lowest})
                    <ch cod="0a"/>
                                    GROUP BY a.EXERCICE, a.ENTITY
                    <ch cod="0a"/>
                                 ) AS v
                    <ch cod="0a"/>
                            LEFT JOIN (
                    <ch cod="0a"/>
                                    SELECT  z.EXERCICE, z.ENTITY, SUM(z.DEPENSE_ACQ) AS DEPENSES
                    <ch cod="0a"/>
                                    FROM    AW_002_000002_000001 AS z
                    <ch cod="0a"/>
                                    WHERE   z.ENTITY IN (${$Entity(HIERARCHY("EDU")).lowest})
                    <ch cod="0a"/>
                                    GROUP BY z.EXERCICE, z.ENTITY
                    <ch cod="0a"/>
                                 ) AS s
                    <ch cod="0a"/>
                                   ON  s.ENTITY   = v.ENTITY
                    <ch cod="0a"/>
                                  AND  s.EXERCICE = v.EXERCICE
                    <ch cod="0a"/>
                            GROUP BY v.EXERCICE
                    <ch cod="0a"/>
                         ) AS y
                    <ch cod="0a"/>
                    CROSS JOIN (
                    <ch cod="0a"/>
                            SELECT  SUM(v.INSCRITS)                    AS INSCRITS,
                    <ch cod="0a"/>
                                    SUM(COALESCE(s.DEPENSES, 0))       AS DEPENSES
                    <ch cod="0a"/>
                            FROM (
                    <ch cod="0a"/>
                                    SELECT  a.ENTITY, SUM(a.VOL_NEW) AS INSCRITS
                    <ch cod="0a"/>
                                    FROM    V_ALLOCATION AS a
                    <ch cod="0a"/>
                                    WHERE   CAST(a.EXERCICE AS INT) = 2024
                    <ch cod="0a"/>
                                      AND   a.ENTITY IN (${$Entity(HIERARCHY("EDU")).lowest})
                    <ch cod="0a"/>
                                    GROUP BY a.ENTITY
                    <ch cod="0a"/>
                                 ) AS v
                    <ch cod="0a"/>
                            LEFT JOIN (
                    <ch cod="0a"/>
                                    SELECT  z.ENTITY, SUM(z.DEPENSE_ACQ) AS DEPENSES
                    <ch cod="0a"/>
                                    FROM    AW_002_000002_000001 AS z
                    <ch cod="0a"/>
                                    WHERE   CAST(z.EXERCICE AS INT) = 2024
                    <ch cod="0a"/>
                                      AND   z.ENTITY IN (${$Entity(HIERARCHY("EDU")).lowest})
                    <ch cod="0a"/>
                                    GROUP BY z.ENTITY
                    <ch cod="0a"/>
                                 ) AS s
                    <ch cod="0a"/>
                                   ON  s.ENTITY = v.ENTITY
                    <ch cod="0a"/>
                         ) AS b
                  </s>
                  <s key="queryType">N</s>
                  <ref key="querySyntax" refId="260"/>
                  <m key="options" refId="336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N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S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Query02</s>
                  <be key="multiDescVO" refId="337" clsId="MultiDesc">
                    <a key="desc" refId="338" ln="4" eid="SYS_STR">
                      <s>Query 02</s>
                      <s/>
                      <s/>
                      <s/>
                    </a>
                  </be>
                  <be key="initialResult" refId="339" clsId="QueryResult">
                    <rs key="recordset" refId="340" rowCount="0" fieldNames="EXERCICE,DEPENSES,INSCRITS,IND_DEPENSES,IND_INSCRITS,CAC,ECART_PT">
                      <field name="EXERCICE"/>
                      <field name="DEPENSES"/>
                      <field name="INSCRITS"/>
                      <field name="IND_DEPENSES"/>
                      <field name="IND_INSCRITS"/>
                      <field name="CAC"/>
                      <field name="ECART_PT"/>
                    </rs>
                    <a key="columnTypes" refId="341" ln="7" eid="SYS_PR_I">
                      <i>12</i>
                      <i>3</i>
                      <i>3</i>
                      <i>3</i>
                      <i>3</i>
                      <i>3</i>
                      <i>3</i>
                    </a>
                    <i key="rowsCount">0</i>
                    <a key="columnNames" refId="342" ln="7" eid="SYS_STR">
                      <s>EXERCICE</s>
                      <s>DEPENSES</s>
                      <s>INSCRITS</s>
                      <s>IND_DEPENSES</s>
                      <s>IND_INSCRITS</s>
                      <s>CAC</s>
                      <s>ECART_PT</s>
                    </a>
                  </be>
                  <b key="hasExcelReferences">N</b>
                  <m key="ColumnDescriptors" refId="343" keid="SYS_STR" veid="QueryColumnDescriptor">
                    <key>
                      <s>EXERCICE</s>
                    </key>
                    <val>
                      <be refId="344" clsId="QueryColumnDescriptor">
                        <s key="code">EXERCICE</s>
                        <be key="multiDescVO" refId="345" clsId="MultiDesc">
                          <a key="desc" refId="346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DEPENSES</s>
                    </key>
                    <val>
                      <be refId="347" clsId="QueryColumnDescriptor">
                        <s key="code">DEPENSES</s>
                        <be key="multiDescVO" refId="348" clsId="MultiDesc">
                          <a key="desc" refId="349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INSCRITS</s>
                    </key>
                    <val>
                      <be refId="350" clsId="QueryColumnDescriptor">
                        <s key="code">INSCRITS</s>
                        <be key="multiDescVO" refId="351" clsId="MultiDesc">
                          <a key="desc" refId="352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IND_DEPENSES</s>
                    </key>
                    <val>
                      <be refId="353" clsId="QueryColumnDescriptor">
                        <s key="code">IND_DEPENSES</s>
                        <be key="multiDescVO" refId="354" clsId="MultiDesc">
                          <a key="desc" refId="35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IND_INSCRITS</s>
                    </key>
                    <val>
                      <be refId="356" clsId="QueryColumnDescriptor">
                        <s key="code">IND_INSCRITS</s>
                        <be key="multiDescVO" refId="357" clsId="MultiDesc">
                          <a key="desc" refId="35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CAC</s>
                    </key>
                    <val>
                      <be refId="359" clsId="QueryColumnDescriptor">
                        <s key="code">CAC</s>
                        <be key="multiDescVO" refId="360" clsId="MultiDesc">
                          <a key="desc" refId="36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ECART_PT</s>
                    </key>
                    <val>
                      <be refId="362" clsId="QueryColumnDescriptor">
                        <s key="code">ECART_PT</s>
                        <be key="multiDescVO" refId="363" clsId="MultiDesc">
                          <a key="desc" refId="36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</m>
            <be key="sheets" refId="365" clsId="FilterNode">
              <l key="dimensionOids" refId="366" ln="0" eid="DimensionOid"/>
              <l key="AdHocParamDimensionOids" refId="367" ln="0" eid="DimensionOid"/>
              <be key="data" refId="368" clsId="FilterNodeData">
                <ref key="filterNode" refId="365"/>
                <i key="segmentLevel">0</i>
                <ref key="segment" refId="14"/>
                <b key="placeHolder">N</b>
                <ref key="weight" refId="15"/>
                <be key="textMatchingCondition" refId="369" clsId="TextMatchingCondition">
                  <ref key="op" refId="17"/>
                  <s key="val"/>
                </be>
                <ref key="change" refId="18"/>
                <ref key="dataType" refId="19"/>
                <b key="prevailingDataType">N</b>
                <ref key="editability" refId="20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1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370" keid="SYS_STR" veid="ElaborationsLauncher"/>
            <m key="actionLists" refId="371" keid="SYS_STR" veid="Reporting.com.tagetik.actionlist.ISnapshotActionList,Reporting"/>
            <l key="areas" refId="372" ln="0" eid="SYS_STR"/>
            <l key="charts" refId="373" ln="3" eid="SYS_STR">
              <s>Chart 1</s>
              <s>Chart 2</s>
              <s>Chart 3</s>
            </l>
            <l key="pivots" refId="374" ln="0" eid="SYS_STR"/>
          </be>
        </val>
      </m>
      <m key="templateLayouts" refId="375" keid="SYS_STR" veid="Reporting.com.tagetik.report.IReportTemplateLayoutVO,Reporting">
        <key>
          <s>Template01</s>
        </key>
        <val>
          <be refId="376" clsId="ReportTemplateLayoutVO">
            <i key="index">0</i>
            <s key="code">Template01</s>
            <m key="cellFieldAddresses" refId="377" keid="SYS_STR" veid="Reporting.com.tagetik.spreadsheet.gridwrappers.IGridReaderVO,Reporting">
              <key>
                <s>CellField02</s>
              </key>
              <val>
                <be refId="378" clsId="ExcelCompactGridReaderVO">
                  <be key="element" refId="379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L5</s>
                </be>
              </val>
            </m>
            <m key="controlExpressionsAddresses" refId="380" keid="SYS_STR" veid="Reporting.com.tagetik.spreadsheet.gridwrappers.IGridReaderVO,Reporting"/>
            <m key="inlineParameterAddresses" refId="381" keid="SYS_STR" veid="Reporting.com.tagetik.spreadsheet.gridwrappers.IGridReaderVO,Reporting"/>
            <m key="dictionaryAddresses" refId="382" keid="SYS_STR" veid="Reporting.com.tagetik.spreadsheet.gridwrappers.IGridReaderVO,Reporting"/>
            <m key="hyperlinkAddresses" refId="383" keid="SYS_STR" veid="Reporting.com.tagetik.spreadsheet.gridwrappers.IGridReaderVO,Reporting"/>
            <m key="matrixGridReaders" refId="384" keid="SYS_STR" veid="Reporting.com.tagetik.spreadsheet.gridwrappers.IGridReaderVO,Reporting">
              <key>
                <s>Matrix00</s>
              </key>
              <val>
                <be refId="385" clsId="ExcelCompactGridReaderVO">
                  <be key="element" refId="386" clsId="BasicLogicalElement">
                    <i key="columnHeadersCount">1</i>
                    <i key="rowHeadersCount">2</i>
                    <i key="valueColumns">23</i>
                    <i key="valueRows">1</i>
                  </be>
                  <s key="firstCell">B37</s>
                </be>
              </val>
            </m>
            <m key="queryGridReaders" refId="387" keid="SYS_STR" veid="Reporting.com.tagetik.spreadsheet.gridwrappers.IGridReaderVO,Reporting">
              <key>
                <s>Query00</s>
              </key>
              <val>
                <be refId="388" clsId="ExcelCompactGridReaderVO">
                  <be key="element" refId="389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AB6</s>
                </be>
              </val>
              <key>
                <s>Query01</s>
              </key>
              <val>
                <be refId="390" clsId="ExcelCompactGridReaderVO">
                  <be key="element" refId="39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AI6</s>
                </be>
              </val>
              <key>
                <s>Query02</s>
              </key>
              <val>
                <be refId="392" clsId="ExcelCompactGridReaderVO">
                  <be key="element" refId="393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AZ6</s>
                </be>
              </val>
            </m>
          </be>
        </val>
      </m>
      <m key="adHocParameters" refId="394" keid="SYS_STR" veid="ProspParametro"/>
      <l key="parametersToBeRequested" refId="395" ln="1" eid="ParameterInfo">
        <be refId="396" clsId="ParameterInfo">
          <cust key="oid" clsId="DimensionOid">415A495F454455-45-3031--50-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F76DA344-3860-4C84-A140-6F896B300A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Saad El meziati</dc:creator>
  <cp:lastModifiedBy>Saad El meziati</cp:lastModifiedBy>
  <dcterms:created xsi:type="dcterms:W3CDTF">2026-09-04T14:45:38Z</dcterms:created>
  <dcterms:modified xsi:type="dcterms:W3CDTF">2026-09-06T02:12:58Z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TGK_MSSQL_07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b47b1245-aaf6-447a-845f-a97c344d95df</vt:lpwstr>
  </op:property>
  <op:property fmtid="{D5CDD505-2E9C-101B-9397-08002B2CF9AE}" pid="5" name="TGK_STATUS">
    <vt:lpstr>ADH_TPL</vt:lpstr>
  </op:property>
  <op:property fmtid="{D5CDD505-2E9C-101B-9397-08002B2CF9AE}" pid="6" name="TGK_CUSTOM_XML">
    <vt:lpwstr>{F76DA344-3860-4C84-A140-6F896B300A2C}</vt:lpwstr>
  </op:property>
</op:Properties>
</file>