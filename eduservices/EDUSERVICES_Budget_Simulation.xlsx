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Notice" sheetId="1" state="visible" r:id="rId1"/>
    <sheet name="01_Note_cadrage" sheetId="2" state="visible" r:id="rId2"/>
    <sheet name="02_Parametres" sheetId="3" state="visible" r:id="rId3"/>
    <sheet name="03_Referentiel" sheetId="4" state="visible" r:id="rId4"/>
    <sheet name="04_Historique" sheetId="5" state="visible" r:id="rId5"/>
    <sheet name="05_Moteur" sheetId="6" state="visible" r:id="rId6"/>
    <sheet name="06_PnL" sheetId="7" state="visible" r:id="rId7"/>
    <sheet name="07_Simulation" sheetId="8" state="visible" r:id="rId8"/>
    <sheet name="08_Mapping_Tageti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;(0.0%);&quot;-&quot;"/>
    <numFmt numFmtId="165" formatCode="#,##0.0;(#,##0.0);&quot;-&quot;"/>
    <numFmt numFmtId="166" formatCode="#,##0&quot; €&quot;;(#,##0)&quot; €&quot;;&quot;-&quot;"/>
    <numFmt numFmtId="167" formatCode="#,##0;(#,##0);&quot;-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FF"/>
    </font>
    <font>
      <name val="Arial"/>
      <color rgb="00000000"/>
    </font>
    <font>
      <name val="Arial"/>
      <color rgb="00008000"/>
    </font>
    <font>
      <name val="Arial"/>
      <b val="1"/>
      <color rgb="000000FF"/>
    </font>
    <font>
      <name val="Arial"/>
      <b val="1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165" fontId="8" fillId="0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6" fontId="7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9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167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0" fillId="6" borderId="1" pivotButton="0" quotePrefix="0" xfId="0"/>
    <xf numFmtId="167" fontId="5" fillId="6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7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6" fontId="5" fillId="6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167" fontId="8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7" fontId="8" fillId="0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60" customWidth="1" min="3" max="3"/>
    <col width="22" customWidth="1" min="4" max="4"/>
    <col width="16" customWidth="1" min="5" max="5"/>
  </cols>
  <sheetData>
    <row r="2" ht="30" customHeight="1">
      <c r="B2" s="1" t="inlineStr">
        <is>
          <t>EDUSERVICES GROUP — Modèle de Budget &amp; Simulation</t>
        </is>
      </c>
    </row>
    <row r="3">
      <c r="B3" s="2" t="inlineStr">
        <is>
          <t>Budget annuel N+1 · piloté par les inducteurs · pré-maquette avant implémentation CCH Tagetik</t>
        </is>
      </c>
    </row>
    <row r="5" ht="20" customHeight="1">
      <c r="B5" s="3" t="inlineStr">
        <is>
          <t>1. Objet du classeur</t>
        </is>
      </c>
      <c r="C5" s="4" t="n"/>
      <c r="D5" s="4" t="n"/>
      <c r="E5" s="4" t="n"/>
    </row>
    <row r="6">
      <c r="B6" s="5" t="inlineStr">
        <is>
          <t>Ce classeur prépare, sous Excel, l'intégralité d'un budget annuel N+1 pour EDUSERVICES GROUP,</t>
        </is>
      </c>
    </row>
    <row r="7">
      <c r="B7" s="5" t="inlineStr">
        <is>
          <t>avant sa mise en place dans CCH Tagetik. Il est piloté par les inducteurs métier (effectifs</t>
        </is>
      </c>
    </row>
    <row r="8">
      <c r="B8" s="5" t="inlineStr">
        <is>
          <t>étudiants, tarifs, ratio d'encadrement, CAC…) et intègre un moteur de simulation par scénario.</t>
        </is>
      </c>
    </row>
    <row r="9">
      <c r="B9" s="5" t="inlineStr"/>
    </row>
    <row r="10">
      <c r="B10" s="5" t="inlineStr">
        <is>
          <t>Maille : Campus  →  Marque / École  →  Groupe. Le budget est reconstruit par campus puis</t>
        </is>
      </c>
    </row>
    <row r="11">
      <c r="B11" s="5" t="inlineStr">
        <is>
          <t>consolidé automatiquement. Le réalisé N-1 sert de base de cadrage et de comparaison.</t>
        </is>
      </c>
    </row>
    <row r="13" ht="20" customHeight="1">
      <c r="B13" s="3" t="inlineStr">
        <is>
          <t>2. Comment utiliser le modèle</t>
        </is>
      </c>
      <c r="C13" s="4" t="n"/>
      <c r="D13" s="4" t="n"/>
      <c r="E13" s="4" t="n"/>
    </row>
    <row r="14" ht="28" customHeight="1">
      <c r="B14" s="6" t="inlineStr">
        <is>
          <t>Étape 1</t>
        </is>
      </c>
      <c r="C14" s="7" t="inlineStr">
        <is>
          <t>Renseigner le réalisé (feuille 04_Historique) : effectifs, tarifs, loyers, D&amp;A par campus.</t>
        </is>
      </c>
    </row>
    <row r="15" ht="28" customHeight="1">
      <c r="B15" s="6" t="inlineStr">
        <is>
          <t>Étape 2</t>
        </is>
      </c>
      <c r="C15" s="7" t="inlineStr">
        <is>
          <t>Fixer les hypothèses de la note de cadrage (feuille 02_Parametres) pour chaque scénario.</t>
        </is>
      </c>
    </row>
    <row r="16" ht="28" customHeight="1">
      <c r="B16" s="6" t="inlineStr">
        <is>
          <t>Étape 3</t>
        </is>
      </c>
      <c r="C16" s="7" t="inlineStr">
        <is>
          <t>Choisir le scénario actif dans la cellule jaune C3 de 02_Parametres (Cadrage / Optimiste / Prudent).</t>
        </is>
      </c>
    </row>
    <row r="17" ht="28" customHeight="1">
      <c r="B17" s="6" t="inlineStr">
        <is>
          <t>Étape 4</t>
        </is>
      </c>
      <c r="C17" s="7" t="inlineStr">
        <is>
          <t>Lire le budget consolidé (06_PnL) et le tableau de bord de simulation (07_Simulation).</t>
        </is>
      </c>
    </row>
    <row r="18" ht="28" customHeight="1">
      <c r="B18" s="6" t="inlineStr">
        <is>
          <t>Étape 5</t>
        </is>
      </c>
      <c r="C18" s="7" t="inlineStr">
        <is>
          <t>Basculer vers Tagetik en suivant la feuille 08_Mapping_Tagetik (dimensions &amp; comptes).</t>
        </is>
      </c>
    </row>
    <row r="20" ht="20" customHeight="1">
      <c r="B20" s="3" t="inlineStr">
        <is>
          <t>3. Légende des couleurs (convention modélisation financière)</t>
        </is>
      </c>
      <c r="C20" s="4" t="n"/>
      <c r="D20" s="4" t="n"/>
      <c r="E20" s="4" t="n"/>
    </row>
    <row r="21">
      <c r="B21" s="8" t="inlineStr">
        <is>
          <t xml:space="preserve">  Exemple  </t>
        </is>
      </c>
      <c r="C21" s="9" t="inlineStr">
        <is>
          <t>Saisie / donnée en dur</t>
        </is>
      </c>
    </row>
    <row r="22">
      <c r="B22" s="10" t="inlineStr">
        <is>
          <t xml:space="preserve">  Exemple  </t>
        </is>
      </c>
      <c r="C22" s="9" t="inlineStr">
        <is>
          <t>Formule / calcul</t>
        </is>
      </c>
    </row>
    <row r="23">
      <c r="B23" s="11" t="inlineStr">
        <is>
          <t xml:space="preserve">  Exemple  </t>
        </is>
      </c>
      <c r="C23" s="9" t="inlineStr">
        <is>
          <t>Lien vers une autre feuille</t>
        </is>
      </c>
    </row>
    <row r="24">
      <c r="B24" s="12" t="inlineStr">
        <is>
          <t xml:space="preserve">  Exemple  </t>
        </is>
      </c>
      <c r="C24" s="9" t="inlineStr">
        <is>
          <t>Hypothèse clé / cellule à remplir</t>
        </is>
      </c>
    </row>
    <row r="26" ht="20" customHeight="1">
      <c r="B26" s="3" t="inlineStr">
        <is>
          <t>4. Avertissement</t>
        </is>
      </c>
      <c r="C26" s="4" t="n"/>
      <c r="D26" s="4" t="n"/>
      <c r="E26" s="4" t="n"/>
    </row>
    <row r="27">
      <c r="B27" s="13" t="inlineStr">
        <is>
          <t>Les montants pré-remplis sont ILLUSTRATIFS (marques, campus, effectifs et euros) et destinés à faire tourner la démo. Ils doivent être remplacés par les données réelles d'EDUSERVICES GROUP avant toute exploitation. Sources à documenter dans 04_Historique.</t>
        </is>
      </c>
    </row>
    <row r="28"/>
    <row r="29"/>
    <row r="31">
      <c r="B31" s="2" t="inlineStr">
        <is>
          <t>Date de préparation : 2026-08-11</t>
        </is>
      </c>
    </row>
  </sheetData>
  <mergeCells count="22">
    <mergeCell ref="C16:E16"/>
    <mergeCell ref="B9:E9"/>
    <mergeCell ref="B6:E6"/>
    <mergeCell ref="C22:E22"/>
    <mergeCell ref="B5:E5"/>
    <mergeCell ref="B20:E20"/>
    <mergeCell ref="C21:E21"/>
    <mergeCell ref="B26:E26"/>
    <mergeCell ref="C23:E23"/>
    <mergeCell ref="B7:E7"/>
    <mergeCell ref="C17:E17"/>
    <mergeCell ref="B3:E3"/>
    <mergeCell ref="C18:E18"/>
    <mergeCell ref="B11:E11"/>
    <mergeCell ref="B2:E2"/>
    <mergeCell ref="B27:E29"/>
    <mergeCell ref="C15:E15"/>
    <mergeCell ref="C24:E24"/>
    <mergeCell ref="C14:E14"/>
    <mergeCell ref="B8:E8"/>
    <mergeCell ref="B13:E13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6" customWidth="1" min="3" max="3"/>
    <col width="58" customWidth="1" min="4" max="4"/>
  </cols>
  <sheetData>
    <row r="2" ht="28" customHeight="1">
      <c r="B2" s="1" t="inlineStr">
        <is>
          <t>Note de cadrage budgétaire — Budget N+1</t>
        </is>
      </c>
    </row>
    <row r="3">
      <c r="B3" s="2" t="inlineStr">
        <is>
          <t>Hypothèses directrices retenues (scénario CADRAGE). Modifiables en 02_Parametres.</t>
        </is>
      </c>
    </row>
    <row r="5" ht="20" customHeight="1">
      <c r="B5" s="3" t="inlineStr">
        <is>
          <t>1. Objectifs du groupe</t>
        </is>
      </c>
      <c r="C5" s="4" t="n"/>
      <c r="D5" s="4" t="n"/>
    </row>
    <row r="6">
      <c r="B6" s="5" t="inlineStr">
        <is>
          <t>Poursuivre la croissance des effectifs par le développement du recrutement et l'amélioration</t>
        </is>
      </c>
    </row>
    <row r="7">
      <c r="B7" s="5" t="inlineStr">
        <is>
          <t>du taux de réinscription, tout en préservant la marge EBITDA.</t>
        </is>
      </c>
    </row>
    <row r="8">
      <c r="B8" s="5" t="inlineStr">
        <is>
          <t>Maîtriser le coût d'acquisition étudiant (CAC) et la masse salariale via le ratio d'encadrement.</t>
        </is>
      </c>
    </row>
    <row r="10" ht="20" customHeight="1">
      <c r="B10" s="3" t="inlineStr">
        <is>
          <t>2. Hypothèses clés (valeur de cadrage)</t>
        </is>
      </c>
      <c r="C10" s="4" t="n"/>
      <c r="D10" s="4" t="n"/>
    </row>
    <row r="11">
      <c r="B11" s="14" t="inlineStr">
        <is>
          <t>Inducteur</t>
        </is>
      </c>
      <c r="C11" s="15" t="inlineStr">
        <is>
          <t>Valeur</t>
        </is>
      </c>
      <c r="D11" s="14" t="inlineStr">
        <is>
          <t>Justification / commentaire</t>
        </is>
      </c>
    </row>
    <row r="12" ht="30" customHeight="1">
      <c r="B12" s="9" t="inlineStr">
        <is>
          <t>Taux de réinscription (progression nette)</t>
        </is>
      </c>
      <c r="C12" s="16">
        <f>'02_Parametres'!D6</f>
        <v/>
      </c>
      <c r="D12" s="17" t="inlineStr">
        <is>
          <t>Part des étudiants poursuivant leur cursus (net des diplômés et abandons).</t>
        </is>
      </c>
    </row>
    <row r="13" ht="30" customHeight="1">
      <c r="B13" s="9" t="inlineStr">
        <is>
          <t>Croissance des nouvelles inscriptions</t>
        </is>
      </c>
      <c r="C13" s="16">
        <f>'02_Parametres'!D7</f>
        <v/>
      </c>
      <c r="D13" s="17" t="inlineStr">
        <is>
          <t>Objectif de recrutement vs N-1, porté par le marketing et l'ouverture de programmes.</t>
        </is>
      </c>
    </row>
    <row r="14" ht="30" customHeight="1">
      <c r="B14" s="9" t="inlineStr">
        <is>
          <t>Hausse tarifaire moyenne</t>
        </is>
      </c>
      <c r="C14" s="16">
        <f>'02_Parametres'!D8</f>
        <v/>
      </c>
      <c r="D14" s="17" t="inlineStr">
        <is>
          <t>Revalorisation des frais de scolarité, alignée sur le positionnement et l'inflation.</t>
        </is>
      </c>
    </row>
    <row r="15" ht="30" customHeight="1">
      <c r="B15" s="9" t="inlineStr">
        <is>
          <t>Ratio d'encadrement (étudiants / ETP enseignant)</t>
        </is>
      </c>
      <c r="C15" s="18">
        <f>'02_Parametres'!D9</f>
        <v/>
      </c>
      <c r="D15" s="17" t="inlineStr">
        <is>
          <t>Pilote la masse salariale enseignante. Plus élevé = plus efficient.</t>
        </is>
      </c>
    </row>
    <row r="16" ht="30" customHeight="1">
      <c r="B16" s="9" t="inlineStr">
        <is>
          <t>Politique salariale (augmentation)</t>
        </is>
      </c>
      <c r="C16" s="16">
        <f>'02_Parametres'!D10</f>
        <v/>
      </c>
      <c r="D16" s="17" t="inlineStr">
        <is>
          <t>Revalorisation moyenne des rémunérations chargées.</t>
        </is>
      </c>
    </row>
    <row r="17" ht="30" customHeight="1">
      <c r="B17" s="9" t="inlineStr">
        <is>
          <t>Inflation des charges</t>
        </is>
      </c>
      <c r="C17" s="16">
        <f>'02_Parametres'!D11</f>
        <v/>
      </c>
      <c r="D17" s="17" t="inlineStr">
        <is>
          <t>Appliquée aux loyers et autres charges d'exploitation.</t>
        </is>
      </c>
    </row>
    <row r="18" ht="30" customHeight="1">
      <c r="B18" s="9" t="inlineStr">
        <is>
          <t>Coût d'acquisition marketing (CAC)</t>
        </is>
      </c>
      <c r="C18" s="19">
        <f>'02_Parametres'!D12</f>
        <v/>
      </c>
      <c r="D18" s="17" t="inlineStr">
        <is>
          <t>Dépense marketing moyenne par nouvel inscrit.</t>
        </is>
      </c>
    </row>
    <row r="20" ht="20" customHeight="1">
      <c r="B20" s="3" t="inlineStr">
        <is>
          <t>3. Règles de gestion du modèle</t>
        </is>
      </c>
      <c r="C20" s="4" t="n"/>
      <c r="D20" s="4" t="n"/>
    </row>
    <row r="21">
      <c r="B21" s="5" t="inlineStr">
        <is>
          <t>Effectif budgété = Effectif N-1 × taux de réinscription + Nouvelles inscriptions N-1 × (1 + croissance).</t>
        </is>
      </c>
    </row>
    <row r="22">
      <c r="B22" s="5" t="inlineStr">
        <is>
          <t>Chiffre d'affaires = Effectif × tarif revalorisé + frais de dossier + autres produits par étudiant.</t>
        </is>
      </c>
    </row>
    <row r="23">
      <c r="B23" s="5" t="inlineStr">
        <is>
          <t>Masse salariale = (Effectif / ratio d'encadrement) × coût enseignant chargé + ETP admin × coût admin,</t>
        </is>
      </c>
    </row>
    <row r="24">
      <c r="B24" s="5" t="inlineStr">
        <is>
          <t xml:space="preserve">     coûts revalorisés de la politique salariale.</t>
        </is>
      </c>
    </row>
    <row r="25">
      <c r="B25" s="5" t="inlineStr">
        <is>
          <t>Marketing = Nouvelles inscriptions × CAC.  Loyers &amp; autres charges revalorisés de l'inflation.</t>
        </is>
      </c>
    </row>
    <row r="26">
      <c r="B26" s="5" t="inlineStr">
        <is>
          <t>EBITDA = CA − Masse salariale − Loyers − Marketing − Autres charges.  EBIT = EBITDA − D&amp;A.</t>
        </is>
      </c>
    </row>
  </sheetData>
  <mergeCells count="14">
    <mergeCell ref="B10:D10"/>
    <mergeCell ref="B3:D3"/>
    <mergeCell ref="B5:D5"/>
    <mergeCell ref="B23:D23"/>
    <mergeCell ref="B22:D22"/>
    <mergeCell ref="B8:D8"/>
    <mergeCell ref="B26:D26"/>
    <mergeCell ref="B21:D21"/>
    <mergeCell ref="B7:D7"/>
    <mergeCell ref="B25:D25"/>
    <mergeCell ref="B6:D6"/>
    <mergeCell ref="B24:D24"/>
    <mergeCell ref="B2:D2"/>
    <mergeCell ref="B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4" customWidth="1" min="3" max="3"/>
    <col width="13" customWidth="1" min="4" max="4"/>
    <col width="13" customWidth="1" min="5" max="5"/>
    <col width="13" customWidth="1" min="6" max="6"/>
    <col width="15" customWidth="1" min="7" max="7"/>
  </cols>
  <sheetData>
    <row r="2" ht="28" customHeight="1">
      <c r="B2" s="1" t="inlineStr">
        <is>
          <t>Paramètres &amp; Scénarios de simulation</t>
        </is>
      </c>
    </row>
    <row r="3">
      <c r="B3" s="20" t="inlineStr">
        <is>
          <t>Scénario actif :</t>
        </is>
      </c>
      <c r="C3" s="21" t="inlineStr">
        <is>
          <t>Cadrage</t>
        </is>
      </c>
      <c r="E3" s="2" t="inlineStr">
        <is>
          <t>◄ Choisir ici : le modèle entier bascule automatiquement.</t>
        </is>
      </c>
    </row>
    <row r="5">
      <c r="B5" s="14" t="inlineStr">
        <is>
          <t>Levier de simulation</t>
        </is>
      </c>
      <c r="C5" s="15" t="inlineStr">
        <is>
          <t>Unité</t>
        </is>
      </c>
      <c r="D5" s="15" t="inlineStr">
        <is>
          <t>Cadrage</t>
        </is>
      </c>
      <c r="E5" s="15" t="inlineStr">
        <is>
          <t>Optimiste</t>
        </is>
      </c>
      <c r="F5" s="15" t="inlineStr">
        <is>
          <t>Prudent</t>
        </is>
      </c>
      <c r="G5" s="22" t="inlineStr">
        <is>
          <t>ACTIF</t>
        </is>
      </c>
    </row>
    <row r="6">
      <c r="B6" s="9" t="inlineStr">
        <is>
          <t>Taux de réinscription (progression nette)</t>
        </is>
      </c>
      <c r="C6" s="23" t="inlineStr">
        <is>
          <t>%</t>
        </is>
      </c>
      <c r="D6" s="24" t="n">
        <v>0.62</v>
      </c>
      <c r="E6" s="24" t="n">
        <v>0.66</v>
      </c>
      <c r="F6" s="24" t="n">
        <v>0.58</v>
      </c>
      <c r="G6" s="25">
        <f>INDEX(D6:F6,MATCH($C$3,$D$5:$F$5,0))</f>
        <v/>
      </c>
    </row>
    <row r="7">
      <c r="B7" s="9" t="inlineStr">
        <is>
          <t>Croissance des nouvelles inscriptions</t>
        </is>
      </c>
      <c r="C7" s="23" t="inlineStr">
        <is>
          <t>%</t>
        </is>
      </c>
      <c r="D7" s="24" t="n">
        <v>0.06</v>
      </c>
      <c r="E7" s="24" t="n">
        <v>0.12</v>
      </c>
      <c r="F7" s="24" t="n">
        <v>0</v>
      </c>
      <c r="G7" s="25">
        <f>INDEX(D7:F7,MATCH($C$3,$D$5:$F$5,0))</f>
        <v/>
      </c>
    </row>
    <row r="8">
      <c r="B8" s="9" t="inlineStr">
        <is>
          <t>Hausse tarifaire moyenne</t>
        </is>
      </c>
      <c r="C8" s="23" t="inlineStr">
        <is>
          <t>%</t>
        </is>
      </c>
      <c r="D8" s="24" t="n">
        <v>0.03</v>
      </c>
      <c r="E8" s="24" t="n">
        <v>0.04</v>
      </c>
      <c r="F8" s="24" t="n">
        <v>0.02</v>
      </c>
      <c r="G8" s="25">
        <f>INDEX(D8:F8,MATCH($C$3,$D$5:$F$5,0))</f>
        <v/>
      </c>
    </row>
    <row r="9">
      <c r="B9" s="9" t="inlineStr">
        <is>
          <t>Ratio d'encadrement (étud./ETP ens.)</t>
        </is>
      </c>
      <c r="C9" s="23" t="inlineStr">
        <is>
          <t>nb</t>
        </is>
      </c>
      <c r="D9" s="26" t="n">
        <v>18</v>
      </c>
      <c r="E9" s="26" t="n">
        <v>19</v>
      </c>
      <c r="F9" s="26" t="n">
        <v>17</v>
      </c>
      <c r="G9" s="27">
        <f>INDEX(D9:F9,MATCH($C$3,$D$5:$F$5,0))</f>
        <v/>
      </c>
    </row>
    <row r="10">
      <c r="B10" s="9" t="inlineStr">
        <is>
          <t>Politique salariale (augmentation)</t>
        </is>
      </c>
      <c r="C10" s="23" t="inlineStr">
        <is>
          <t>%</t>
        </is>
      </c>
      <c r="D10" s="24" t="n">
        <v>0.025</v>
      </c>
      <c r="E10" s="24" t="n">
        <v>0.02</v>
      </c>
      <c r="F10" s="24" t="n">
        <v>0.03</v>
      </c>
      <c r="G10" s="25">
        <f>INDEX(D10:F10,MATCH($C$3,$D$5:$F$5,0))</f>
        <v/>
      </c>
    </row>
    <row r="11">
      <c r="B11" s="9" t="inlineStr">
        <is>
          <t>Inflation des charges</t>
        </is>
      </c>
      <c r="C11" s="23" t="inlineStr">
        <is>
          <t>%</t>
        </is>
      </c>
      <c r="D11" s="24" t="n">
        <v>0.02</v>
      </c>
      <c r="E11" s="24" t="n">
        <v>0.015</v>
      </c>
      <c r="F11" s="24" t="n">
        <v>0.03</v>
      </c>
      <c r="G11" s="25">
        <f>INDEX(D11:F11,MATCH($C$3,$D$5:$F$5,0))</f>
        <v/>
      </c>
    </row>
    <row r="12">
      <c r="B12" s="9" t="inlineStr">
        <is>
          <t>Coût d'acquisition marketing (CAC)</t>
        </is>
      </c>
      <c r="C12" s="23" t="inlineStr">
        <is>
          <t>€</t>
        </is>
      </c>
      <c r="D12" s="28" t="n">
        <v>900</v>
      </c>
      <c r="E12" s="28" t="n">
        <v>780</v>
      </c>
      <c r="F12" s="28" t="n">
        <v>1100</v>
      </c>
      <c r="G12" s="29">
        <f>INDEX(D12:F12,MATCH($C$3,$D$5:$F$5,0))</f>
        <v/>
      </c>
    </row>
    <row r="13">
      <c r="B13" s="14" t="inlineStr">
        <is>
          <t>Constantes de référence (communes aux scénarios)</t>
        </is>
      </c>
      <c r="C13" s="30" t="inlineStr">
        <is>
          <t> </t>
        </is>
      </c>
      <c r="D13" s="30" t="inlineStr">
        <is>
          <t> </t>
        </is>
      </c>
      <c r="E13" s="30" t="inlineStr">
        <is>
          <t> </t>
        </is>
      </c>
      <c r="F13" s="30" t="inlineStr">
        <is>
          <t> </t>
        </is>
      </c>
      <c r="G13" s="30" t="inlineStr">
        <is>
          <t> </t>
        </is>
      </c>
    </row>
    <row r="14">
      <c r="B14" s="9" t="inlineStr">
        <is>
          <t>Coût chargé enseignant (€/ETP)</t>
        </is>
      </c>
      <c r="C14" s="31" t="inlineStr">
        <is>
          <t> </t>
        </is>
      </c>
      <c r="D14" s="28" t="n">
        <v>52000</v>
      </c>
      <c r="E14" s="31" t="inlineStr">
        <is>
          <t> </t>
        </is>
      </c>
      <c r="F14" s="31" t="inlineStr">
        <is>
          <t> </t>
        </is>
      </c>
      <c r="G14" s="29">
        <f>D14</f>
        <v/>
      </c>
    </row>
    <row r="15">
      <c r="B15" s="9" t="inlineStr">
        <is>
          <t>Coût chargé administratif (€/ETP)</t>
        </is>
      </c>
      <c r="C15" s="31" t="inlineStr">
        <is>
          <t> </t>
        </is>
      </c>
      <c r="D15" s="28" t="n">
        <v>42000</v>
      </c>
      <c r="E15" s="31" t="inlineStr">
        <is>
          <t> </t>
        </is>
      </c>
      <c r="F15" s="31" t="inlineStr">
        <is>
          <t> </t>
        </is>
      </c>
      <c r="G15" s="29">
        <f>D15</f>
        <v/>
      </c>
    </row>
    <row r="16">
      <c r="B16" s="9" t="inlineStr">
        <is>
          <t>Autres charges par étudiant (€)</t>
        </is>
      </c>
      <c r="C16" s="31" t="inlineStr">
        <is>
          <t> </t>
        </is>
      </c>
      <c r="D16" s="28" t="n">
        <v>600</v>
      </c>
      <c r="E16" s="31" t="inlineStr">
        <is>
          <t> </t>
        </is>
      </c>
      <c r="F16" s="31" t="inlineStr">
        <is>
          <t> </t>
        </is>
      </c>
      <c r="G16" s="29">
        <f>D16</f>
        <v/>
      </c>
    </row>
    <row r="17">
      <c r="B17" s="9" t="inlineStr">
        <is>
          <t>Autres produits par étudiant (€)</t>
        </is>
      </c>
      <c r="C17" s="31" t="inlineStr">
        <is>
          <t> </t>
        </is>
      </c>
      <c r="D17" s="28" t="n">
        <v>150</v>
      </c>
      <c r="E17" s="31" t="inlineStr">
        <is>
          <t> </t>
        </is>
      </c>
      <c r="F17" s="31" t="inlineStr">
        <is>
          <t> </t>
        </is>
      </c>
      <c r="G17" s="29">
        <f>D17</f>
        <v/>
      </c>
    </row>
    <row r="18">
      <c r="B18" s="9" t="inlineStr">
        <is>
          <t>Frais de dossier par nouvel inscrit (€)</t>
        </is>
      </c>
      <c r="C18" s="31" t="inlineStr">
        <is>
          <t> </t>
        </is>
      </c>
      <c r="D18" s="28" t="n">
        <v>90</v>
      </c>
      <c r="E18" s="31" t="inlineStr">
        <is>
          <t> </t>
        </is>
      </c>
      <c r="F18" s="31" t="inlineStr">
        <is>
          <t> </t>
        </is>
      </c>
      <c r="G18" s="29">
        <f>D18</f>
        <v/>
      </c>
    </row>
    <row r="20">
      <c r="B20" s="2" t="inlineStr">
        <is>
          <t>Bleu = saisie modifiable · Gris clair = valeur active utilisée par le moteur.</t>
        </is>
      </c>
    </row>
  </sheetData>
  <mergeCells count="3">
    <mergeCell ref="B2:G2"/>
    <mergeCell ref="B20:G20"/>
    <mergeCell ref="E3:G3"/>
  </mergeCells>
  <dataValidations count="1">
    <dataValidation sqref="C3" showDropDown="0" showInputMessage="0" showErrorMessage="0" allowBlank="0" type="list">
      <formula1>"Cadrage,Optimiste,Prudent"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4" customWidth="1" min="3" max="3"/>
    <col width="16" customWidth="1" min="4" max="4"/>
    <col width="10" customWidth="1" min="5" max="5"/>
    <col width="40" customWidth="1" min="6" max="6"/>
  </cols>
  <sheetData>
    <row r="2" ht="28" customHeight="1">
      <c r="B2" s="1" t="inlineStr">
        <is>
          <t>Référentiel — Dimensions (mapping Tagetik)</t>
        </is>
      </c>
    </row>
    <row r="4" ht="20" customHeight="1">
      <c r="B4" s="3" t="inlineStr">
        <is>
          <t>Dimension ENTITÉ : Groupe → Marque → Campus</t>
        </is>
      </c>
      <c r="C4" s="4" t="n"/>
      <c r="D4" s="4" t="n"/>
      <c r="E4" s="4" t="n"/>
      <c r="F4" s="4" t="n"/>
    </row>
    <row r="5">
      <c r="B5" s="15" t="inlineStr">
        <is>
          <t>Code entité</t>
        </is>
      </c>
      <c r="C5" s="15" t="inlineStr">
        <is>
          <t>Marque / École</t>
        </is>
      </c>
      <c r="D5" s="15" t="inlineStr">
        <is>
          <t>Campus (ville)</t>
        </is>
      </c>
      <c r="E5" s="15" t="inlineStr">
        <is>
          <t>Niveau</t>
        </is>
      </c>
      <c r="F5" s="15" t="inlineStr">
        <is>
          <t>Devise</t>
        </is>
      </c>
    </row>
    <row r="6">
      <c r="B6" s="32" t="inlineStr">
        <is>
          <t>GRP-EDU</t>
        </is>
      </c>
      <c r="C6" s="32" t="inlineStr">
        <is>
          <t>EDUSERVICES GROUP</t>
        </is>
      </c>
      <c r="D6" s="33" t="inlineStr">
        <is>
          <t>—</t>
        </is>
      </c>
      <c r="E6" s="34" t="inlineStr">
        <is>
          <t>Groupe</t>
        </is>
      </c>
      <c r="F6" s="33" t="inlineStr">
        <is>
          <t>EUR</t>
        </is>
      </c>
    </row>
    <row r="7">
      <c r="B7" s="35" t="inlineStr">
        <is>
          <t>MDS-NAN</t>
        </is>
      </c>
      <c r="C7" s="35" t="inlineStr">
        <is>
          <t>MyDigitalSchool</t>
        </is>
      </c>
      <c r="D7" s="35" t="inlineStr">
        <is>
          <t>Nantes</t>
        </is>
      </c>
      <c r="E7" s="23" t="inlineStr">
        <is>
          <t>Campus</t>
        </is>
      </c>
      <c r="F7" s="23" t="inlineStr">
        <is>
          <t>EUR</t>
        </is>
      </c>
    </row>
    <row r="8">
      <c r="B8" s="35" t="inlineStr">
        <is>
          <t>MDS-PAR</t>
        </is>
      </c>
      <c r="C8" s="35" t="inlineStr">
        <is>
          <t>MyDigitalSchool</t>
        </is>
      </c>
      <c r="D8" s="35" t="inlineStr">
        <is>
          <t>Paris</t>
        </is>
      </c>
      <c r="E8" s="23" t="inlineStr">
        <is>
          <t>Campus</t>
        </is>
      </c>
      <c r="F8" s="23" t="inlineStr">
        <is>
          <t>EUR</t>
        </is>
      </c>
    </row>
    <row r="9">
      <c r="B9" s="35" t="inlineStr">
        <is>
          <t>MDS-LYO</t>
        </is>
      </c>
      <c r="C9" s="35" t="inlineStr">
        <is>
          <t>MyDigitalSchool</t>
        </is>
      </c>
      <c r="D9" s="35" t="inlineStr">
        <is>
          <t>Lyon</t>
        </is>
      </c>
      <c r="E9" s="23" t="inlineStr">
        <is>
          <t>Campus</t>
        </is>
      </c>
      <c r="F9" s="23" t="inlineStr">
        <is>
          <t>EUR</t>
        </is>
      </c>
    </row>
    <row r="10">
      <c r="B10" s="35" t="inlineStr">
        <is>
          <t>MDS-BOR</t>
        </is>
      </c>
      <c r="C10" s="35" t="inlineStr">
        <is>
          <t>MyDigitalSchool</t>
        </is>
      </c>
      <c r="D10" s="35" t="inlineStr">
        <is>
          <t>Bordeaux</t>
        </is>
      </c>
      <c r="E10" s="23" t="inlineStr">
        <is>
          <t>Campus</t>
        </is>
      </c>
      <c r="F10" s="23" t="inlineStr">
        <is>
          <t>EUR</t>
        </is>
      </c>
    </row>
    <row r="11">
      <c r="B11" s="35" t="inlineStr">
        <is>
          <t>WSS-PAR</t>
        </is>
      </c>
      <c r="C11" s="35" t="inlineStr">
        <is>
          <t>Win Sport School</t>
        </is>
      </c>
      <c r="D11" s="35" t="inlineStr">
        <is>
          <t>Paris</t>
        </is>
      </c>
      <c r="E11" s="23" t="inlineStr">
        <is>
          <t>Campus</t>
        </is>
      </c>
      <c r="F11" s="23" t="inlineStr">
        <is>
          <t>EUR</t>
        </is>
      </c>
    </row>
    <row r="12">
      <c r="B12" s="35" t="inlineStr">
        <is>
          <t>WSS-LYO</t>
        </is>
      </c>
      <c r="C12" s="35" t="inlineStr">
        <is>
          <t>Win Sport School</t>
        </is>
      </c>
      <c r="D12" s="35" t="inlineStr">
        <is>
          <t>Lyon</t>
        </is>
      </c>
      <c r="E12" s="23" t="inlineStr">
        <is>
          <t>Campus</t>
        </is>
      </c>
      <c r="F12" s="23" t="inlineStr">
        <is>
          <t>EUR</t>
        </is>
      </c>
    </row>
    <row r="13">
      <c r="B13" s="35" t="inlineStr">
        <is>
          <t>IHE-NAN</t>
        </is>
      </c>
      <c r="C13" s="35" t="inlineStr">
        <is>
          <t>IHECF</t>
        </is>
      </c>
      <c r="D13" s="35" t="inlineStr">
        <is>
          <t>Nantes</t>
        </is>
      </c>
      <c r="E13" s="23" t="inlineStr">
        <is>
          <t>Campus</t>
        </is>
      </c>
      <c r="F13" s="23" t="inlineStr">
        <is>
          <t>EUR</t>
        </is>
      </c>
    </row>
    <row r="14">
      <c r="B14" s="35" t="inlineStr">
        <is>
          <t>IHE-TLS</t>
        </is>
      </c>
      <c r="C14" s="35" t="inlineStr">
        <is>
          <t>IHECF</t>
        </is>
      </c>
      <c r="D14" s="35" t="inlineStr">
        <is>
          <t>Toulouse</t>
        </is>
      </c>
      <c r="E14" s="23" t="inlineStr">
        <is>
          <t>Campus</t>
        </is>
      </c>
      <c r="F14" s="23" t="inlineStr">
        <is>
          <t>EUR</t>
        </is>
      </c>
    </row>
    <row r="15">
      <c r="B15" s="35" t="inlineStr">
        <is>
          <t>MOD-PAR</t>
        </is>
      </c>
      <c r="C15" s="35" t="inlineStr">
        <is>
          <t>MODART International</t>
        </is>
      </c>
      <c r="D15" s="35" t="inlineStr">
        <is>
          <t>Paris</t>
        </is>
      </c>
      <c r="E15" s="23" t="inlineStr">
        <is>
          <t>Campus</t>
        </is>
      </c>
      <c r="F15" s="23" t="inlineStr">
        <is>
          <t>EUR</t>
        </is>
      </c>
    </row>
    <row r="16">
      <c r="B16" s="35" t="inlineStr">
        <is>
          <t>MOD-LYO</t>
        </is>
      </c>
      <c r="C16" s="35" t="inlineStr">
        <is>
          <t>MODART International</t>
        </is>
      </c>
      <c r="D16" s="35" t="inlineStr">
        <is>
          <t>Lyon</t>
        </is>
      </c>
      <c r="E16" s="23" t="inlineStr">
        <is>
          <t>Campus</t>
        </is>
      </c>
      <c r="F16" s="23" t="inlineStr">
        <is>
          <t>EUR</t>
        </is>
      </c>
    </row>
    <row r="17">
      <c r="B17" s="35" t="inlineStr">
        <is>
          <t>ESI-LIL</t>
        </is>
      </c>
      <c r="C17" s="35" t="inlineStr">
        <is>
          <t>ESIS</t>
        </is>
      </c>
      <c r="D17" s="35" t="inlineStr">
        <is>
          <t>Lille</t>
        </is>
      </c>
      <c r="E17" s="23" t="inlineStr">
        <is>
          <t>Campus</t>
        </is>
      </c>
      <c r="F17" s="23" t="inlineStr">
        <is>
          <t>EUR</t>
        </is>
      </c>
    </row>
    <row r="18">
      <c r="B18" s="35" t="inlineStr">
        <is>
          <t>ESI-MTP</t>
        </is>
      </c>
      <c r="C18" s="35" t="inlineStr">
        <is>
          <t>ESIS</t>
        </is>
      </c>
      <c r="D18" s="35" t="inlineStr">
        <is>
          <t>Montpellier</t>
        </is>
      </c>
      <c r="E18" s="23" t="inlineStr">
        <is>
          <t>Campus</t>
        </is>
      </c>
      <c r="F18" s="23" t="inlineStr">
        <is>
          <t>EUR</t>
        </is>
      </c>
    </row>
    <row r="20" ht="20" customHeight="1">
      <c r="B20" s="3" t="inlineStr">
        <is>
          <t>Dimension COMPTE (Account) — plan simplifié</t>
        </is>
      </c>
      <c r="C20" s="4" t="n"/>
      <c r="D20" s="4" t="n"/>
      <c r="E20" s="4" t="n"/>
      <c r="F20" s="4" t="n"/>
    </row>
    <row r="21">
      <c r="B21" s="15" t="inlineStr">
        <is>
          <t>Compte</t>
        </is>
      </c>
      <c r="C21" s="15" t="inlineStr">
        <is>
          <t>Libellé</t>
        </is>
      </c>
      <c r="D21" s="15" t="inlineStr">
        <is>
          <t>Type</t>
        </is>
      </c>
      <c r="E21" s="15" t="inlineStr">
        <is>
          <t>Signe</t>
        </is>
      </c>
      <c r="F21" s="15" t="inlineStr">
        <is>
          <t>Rubrique P&amp;L</t>
        </is>
      </c>
    </row>
    <row r="22">
      <c r="B22" s="35" t="inlineStr">
        <is>
          <t>70600</t>
        </is>
      </c>
      <c r="C22" s="9" t="inlineStr">
        <is>
          <t>Scolarité</t>
        </is>
      </c>
      <c r="D22" s="23" t="inlineStr">
        <is>
          <t>Produit</t>
        </is>
      </c>
      <c r="E22" s="23" t="inlineStr">
        <is>
          <t>+</t>
        </is>
      </c>
      <c r="F22" s="9" t="inlineStr">
        <is>
          <t>Chiffre d'affaires</t>
        </is>
      </c>
    </row>
    <row r="23">
      <c r="B23" s="35" t="inlineStr">
        <is>
          <t>70800</t>
        </is>
      </c>
      <c r="C23" s="9" t="inlineStr">
        <is>
          <t>Frais de dossier</t>
        </is>
      </c>
      <c r="D23" s="23" t="inlineStr">
        <is>
          <t>Produit</t>
        </is>
      </c>
      <c r="E23" s="23" t="inlineStr">
        <is>
          <t>+</t>
        </is>
      </c>
      <c r="F23" s="9" t="inlineStr">
        <is>
          <t>Chiffre d'affaires</t>
        </is>
      </c>
    </row>
    <row r="24">
      <c r="B24" s="35" t="inlineStr">
        <is>
          <t>70900</t>
        </is>
      </c>
      <c r="C24" s="9" t="inlineStr">
        <is>
          <t>Autres produits</t>
        </is>
      </c>
      <c r="D24" s="23" t="inlineStr">
        <is>
          <t>Produit</t>
        </is>
      </c>
      <c r="E24" s="23" t="inlineStr">
        <is>
          <t>+</t>
        </is>
      </c>
      <c r="F24" s="9" t="inlineStr">
        <is>
          <t>Chiffre d'affaires</t>
        </is>
      </c>
    </row>
    <row r="25">
      <c r="B25" s="35" t="inlineStr">
        <is>
          <t>64000</t>
        </is>
      </c>
      <c r="C25" s="9" t="inlineStr">
        <is>
          <t>Masse salariale</t>
        </is>
      </c>
      <c r="D25" s="23" t="inlineStr">
        <is>
          <t>Charge</t>
        </is>
      </c>
      <c r="E25" s="23" t="inlineStr">
        <is>
          <t>-</t>
        </is>
      </c>
      <c r="F25" s="9" t="inlineStr">
        <is>
          <t>Charges de personnel</t>
        </is>
      </c>
    </row>
    <row r="26">
      <c r="B26" s="35" t="inlineStr">
        <is>
          <t>61300</t>
        </is>
      </c>
      <c r="C26" s="9" t="inlineStr">
        <is>
          <t>Loyers &amp; charges locatives</t>
        </is>
      </c>
      <c r="D26" s="23" t="inlineStr">
        <is>
          <t>Charge</t>
        </is>
      </c>
      <c r="E26" s="23" t="inlineStr">
        <is>
          <t>-</t>
        </is>
      </c>
      <c r="F26" s="9" t="inlineStr">
        <is>
          <t>Charges externes</t>
        </is>
      </c>
    </row>
    <row r="27">
      <c r="B27" s="35" t="inlineStr">
        <is>
          <t>62300</t>
        </is>
      </c>
      <c r="C27" s="9" t="inlineStr">
        <is>
          <t>Marketing &amp; acquisition</t>
        </is>
      </c>
      <c r="D27" s="23" t="inlineStr">
        <is>
          <t>Charge</t>
        </is>
      </c>
      <c r="E27" s="23" t="inlineStr">
        <is>
          <t>-</t>
        </is>
      </c>
      <c r="F27" s="9" t="inlineStr">
        <is>
          <t>Charges externes</t>
        </is>
      </c>
    </row>
    <row r="28">
      <c r="B28" s="35" t="inlineStr">
        <is>
          <t>60000</t>
        </is>
      </c>
      <c r="C28" s="9" t="inlineStr">
        <is>
          <t>Autres charges d'exploitation</t>
        </is>
      </c>
      <c r="D28" s="23" t="inlineStr">
        <is>
          <t>Charge</t>
        </is>
      </c>
      <c r="E28" s="23" t="inlineStr">
        <is>
          <t>-</t>
        </is>
      </c>
      <c r="F28" s="9" t="inlineStr">
        <is>
          <t>Charges externes</t>
        </is>
      </c>
    </row>
    <row r="29">
      <c r="B29" s="35" t="inlineStr">
        <is>
          <t>68000</t>
        </is>
      </c>
      <c r="C29" s="9" t="inlineStr">
        <is>
          <t>Dotations amortissements (D&amp;A)</t>
        </is>
      </c>
      <c r="D29" s="23" t="inlineStr">
        <is>
          <t>Charge</t>
        </is>
      </c>
      <c r="E29" s="23" t="inlineStr">
        <is>
          <t>-</t>
        </is>
      </c>
      <c r="F29" s="9" t="inlineStr">
        <is>
          <t>D&amp;A</t>
        </is>
      </c>
    </row>
  </sheetData>
  <mergeCells count="3">
    <mergeCell ref="B2:F2"/>
    <mergeCell ref="B4:F4"/>
    <mergeCell ref="B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2" customWidth="1" min="4" max="4"/>
    <col width="13" customWidth="1" min="5" max="5"/>
    <col width="13" customWidth="1" min="6" max="6"/>
    <col width="10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12" customWidth="1" min="13" max="13"/>
    <col width="13" customWidth="1" min="14" max="14"/>
  </cols>
  <sheetData>
    <row r="1" ht="26" customHeight="1">
      <c r="A1" s="1" t="inlineStr">
        <is>
          <t>Réalisé N-1 par campus (base de cadrage)</t>
        </is>
      </c>
    </row>
    <row r="2">
      <c r="A2" s="2" t="inlineStr">
        <is>
          <t>Cellules bleues = données réelles à saisir. Valeurs actuelles ILLUSTRATIVES.</t>
        </is>
      </c>
    </row>
    <row r="3" ht="34" customHeight="1">
      <c r="A3" s="15" t="inlineStr">
        <is>
          <t>Code</t>
        </is>
      </c>
      <c r="B3" s="15" t="inlineStr">
        <is>
          <t>Marque / École</t>
        </is>
      </c>
      <c r="C3" s="15" t="inlineStr">
        <is>
          <t>Campus</t>
        </is>
      </c>
      <c r="D3" s="15" t="inlineStr">
        <is>
          <t>Effectif N-1</t>
        </is>
      </c>
      <c r="E3" s="15" t="inlineStr">
        <is>
          <t>Nouv. inscrits N-1</t>
        </is>
      </c>
      <c r="F3" s="15" t="inlineStr">
        <is>
          <t>Tarif moyen N-1</t>
        </is>
      </c>
      <c r="G3" s="15" t="inlineStr">
        <is>
          <t>ETP admin</t>
        </is>
      </c>
      <c r="H3" s="15" t="inlineStr">
        <is>
          <t>Loyers N-1</t>
        </is>
      </c>
      <c r="I3" s="15" t="inlineStr">
        <is>
          <t>D&amp;A</t>
        </is>
      </c>
      <c r="J3" s="15" t="inlineStr">
        <is>
          <t>CA N-1</t>
        </is>
      </c>
      <c r="K3" s="15" t="inlineStr">
        <is>
          <t>Masse sal. N-1</t>
        </is>
      </c>
      <c r="L3" s="15" t="inlineStr">
        <is>
          <t>Marketing N-1</t>
        </is>
      </c>
      <c r="M3" s="15" t="inlineStr">
        <is>
          <t>Autres ch. N-1</t>
        </is>
      </c>
      <c r="N3" s="15" t="inlineStr">
        <is>
          <t>EBITDA N-1</t>
        </is>
      </c>
    </row>
    <row r="4">
      <c r="A4" s="35" t="inlineStr">
        <is>
          <t>MDS-NAN</t>
        </is>
      </c>
      <c r="B4" s="35" t="inlineStr">
        <is>
          <t>MyDigitalSchool</t>
        </is>
      </c>
      <c r="C4" s="35" t="inlineStr">
        <is>
          <t>Nantes</t>
        </is>
      </c>
      <c r="D4" s="36" t="n">
        <v>620</v>
      </c>
      <c r="E4" s="36" t="n">
        <v>260</v>
      </c>
      <c r="F4" s="28" t="n">
        <v>7200</v>
      </c>
      <c r="G4" s="36" t="n">
        <v>9</v>
      </c>
      <c r="H4" s="37" t="n">
        <v>480000</v>
      </c>
      <c r="I4" s="37" t="n">
        <v>90000</v>
      </c>
      <c r="J4" s="37" t="n">
        <v>4580400</v>
      </c>
      <c r="K4" s="37" t="n">
        <v>2146000</v>
      </c>
      <c r="L4" s="37" t="n">
        <v>247000</v>
      </c>
      <c r="M4" s="37" t="n">
        <v>372000</v>
      </c>
      <c r="N4" s="37" t="n">
        <v>1335400</v>
      </c>
    </row>
    <row r="5">
      <c r="A5" s="35" t="inlineStr">
        <is>
          <t>MDS-PAR</t>
        </is>
      </c>
      <c r="B5" s="35" t="inlineStr">
        <is>
          <t>MyDigitalSchool</t>
        </is>
      </c>
      <c r="C5" s="35" t="inlineStr">
        <is>
          <t>Paris</t>
        </is>
      </c>
      <c r="D5" s="36" t="n">
        <v>880</v>
      </c>
      <c r="E5" s="36" t="n">
        <v>360</v>
      </c>
      <c r="F5" s="28" t="n">
        <v>7900</v>
      </c>
      <c r="G5" s="36" t="n">
        <v>12</v>
      </c>
      <c r="H5" s="37" t="n">
        <v>950000</v>
      </c>
      <c r="I5" s="37" t="n">
        <v>140000</v>
      </c>
      <c r="J5" s="37" t="n">
        <v>7116400</v>
      </c>
      <c r="K5" s="37" t="n">
        <v>3052000</v>
      </c>
      <c r="L5" s="37" t="n">
        <v>342000</v>
      </c>
      <c r="M5" s="37" t="n">
        <v>528000</v>
      </c>
      <c r="N5" s="37" t="n">
        <v>2244400</v>
      </c>
    </row>
    <row r="6">
      <c r="A6" s="35" t="inlineStr">
        <is>
          <t>MDS-LYO</t>
        </is>
      </c>
      <c r="B6" s="35" t="inlineStr">
        <is>
          <t>MyDigitalSchool</t>
        </is>
      </c>
      <c r="C6" s="35" t="inlineStr">
        <is>
          <t>Lyon</t>
        </is>
      </c>
      <c r="D6" s="36" t="n">
        <v>540</v>
      </c>
      <c r="E6" s="36" t="n">
        <v>230</v>
      </c>
      <c r="F6" s="28" t="n">
        <v>7400</v>
      </c>
      <c r="G6" s="36" t="n">
        <v>8</v>
      </c>
      <c r="H6" s="37" t="n">
        <v>520000</v>
      </c>
      <c r="I6" s="37" t="n">
        <v>80000</v>
      </c>
      <c r="J6" s="37" t="n">
        <v>4097700</v>
      </c>
      <c r="K6" s="37" t="n">
        <v>1896000</v>
      </c>
      <c r="L6" s="37" t="n">
        <v>218500</v>
      </c>
      <c r="M6" s="37" t="n">
        <v>324000</v>
      </c>
      <c r="N6" s="37" t="n">
        <v>1139200</v>
      </c>
    </row>
    <row r="7">
      <c r="A7" s="35" t="inlineStr">
        <is>
          <t>MDS-BOR</t>
        </is>
      </c>
      <c r="B7" s="35" t="inlineStr">
        <is>
          <t>MyDigitalSchool</t>
        </is>
      </c>
      <c r="C7" s="35" t="inlineStr">
        <is>
          <t>Bordeaux</t>
        </is>
      </c>
      <c r="D7" s="36" t="n">
        <v>360</v>
      </c>
      <c r="E7" s="36" t="n">
        <v>165</v>
      </c>
      <c r="F7" s="28" t="n">
        <v>7200</v>
      </c>
      <c r="G7" s="36" t="n">
        <v>6</v>
      </c>
      <c r="H7" s="37" t="n">
        <v>360000</v>
      </c>
      <c r="I7" s="37" t="n">
        <v>55000</v>
      </c>
      <c r="J7" s="37" t="n">
        <v>2660850</v>
      </c>
      <c r="K7" s="37" t="n">
        <v>1292000</v>
      </c>
      <c r="L7" s="37" t="n">
        <v>156750</v>
      </c>
      <c r="M7" s="37" t="n">
        <v>216000</v>
      </c>
      <c r="N7" s="37" t="n">
        <v>636100</v>
      </c>
    </row>
    <row r="8">
      <c r="A8" s="35" t="inlineStr">
        <is>
          <t>WSS-PAR</t>
        </is>
      </c>
      <c r="B8" s="35" t="inlineStr">
        <is>
          <t>Win Sport School</t>
        </is>
      </c>
      <c r="C8" s="35" t="inlineStr">
        <is>
          <t>Paris</t>
        </is>
      </c>
      <c r="D8" s="36" t="n">
        <v>430</v>
      </c>
      <c r="E8" s="36" t="n">
        <v>190</v>
      </c>
      <c r="F8" s="28" t="n">
        <v>8200</v>
      </c>
      <c r="G8" s="36" t="n">
        <v>7</v>
      </c>
      <c r="H8" s="37" t="n">
        <v>620000</v>
      </c>
      <c r="I8" s="37" t="n">
        <v>70000</v>
      </c>
      <c r="J8" s="37" t="n">
        <v>3607600</v>
      </c>
      <c r="K8" s="37" t="n">
        <v>1542000</v>
      </c>
      <c r="L8" s="37" t="n">
        <v>180500</v>
      </c>
      <c r="M8" s="37" t="n">
        <v>258000</v>
      </c>
      <c r="N8" s="37" t="n">
        <v>1007100</v>
      </c>
    </row>
    <row r="9">
      <c r="A9" s="35" t="inlineStr">
        <is>
          <t>WSS-LYO</t>
        </is>
      </c>
      <c r="B9" s="35" t="inlineStr">
        <is>
          <t>Win Sport School</t>
        </is>
      </c>
      <c r="C9" s="35" t="inlineStr">
        <is>
          <t>Lyon</t>
        </is>
      </c>
      <c r="D9" s="36" t="n">
        <v>300</v>
      </c>
      <c r="E9" s="36" t="n">
        <v>140</v>
      </c>
      <c r="F9" s="28" t="n">
        <v>7800</v>
      </c>
      <c r="G9" s="36" t="n">
        <v>5</v>
      </c>
      <c r="H9" s="37" t="n">
        <v>380000</v>
      </c>
      <c r="I9" s="37" t="n">
        <v>48000</v>
      </c>
      <c r="J9" s="37" t="n">
        <v>2397600</v>
      </c>
      <c r="K9" s="37" t="n">
        <v>1094000</v>
      </c>
      <c r="L9" s="37" t="n">
        <v>133000</v>
      </c>
      <c r="M9" s="37" t="n">
        <v>180000</v>
      </c>
      <c r="N9" s="37" t="n">
        <v>610600</v>
      </c>
    </row>
    <row r="10">
      <c r="A10" s="35" t="inlineStr">
        <is>
          <t>IHE-NAN</t>
        </is>
      </c>
      <c r="B10" s="35" t="inlineStr">
        <is>
          <t>IHECF</t>
        </is>
      </c>
      <c r="C10" s="35" t="inlineStr">
        <is>
          <t>Nantes</t>
        </is>
      </c>
      <c r="D10" s="36" t="n">
        <v>410</v>
      </c>
      <c r="E10" s="36" t="n">
        <v>150</v>
      </c>
      <c r="F10" s="28" t="n">
        <v>6900</v>
      </c>
      <c r="G10" s="36" t="n">
        <v>6</v>
      </c>
      <c r="H10" s="37" t="n">
        <v>300000</v>
      </c>
      <c r="I10" s="37" t="n">
        <v>40000</v>
      </c>
      <c r="J10" s="37" t="n">
        <v>2904000</v>
      </c>
      <c r="K10" s="37" t="n">
        <v>1448000</v>
      </c>
      <c r="L10" s="37" t="n">
        <v>142500</v>
      </c>
      <c r="M10" s="37" t="n">
        <v>246000</v>
      </c>
      <c r="N10" s="37" t="n">
        <v>767500</v>
      </c>
    </row>
    <row r="11">
      <c r="A11" s="35" t="inlineStr">
        <is>
          <t>IHE-TLS</t>
        </is>
      </c>
      <c r="B11" s="35" t="inlineStr">
        <is>
          <t>IHECF</t>
        </is>
      </c>
      <c r="C11" s="35" t="inlineStr">
        <is>
          <t>Toulouse</t>
        </is>
      </c>
      <c r="D11" s="36" t="n">
        <v>280</v>
      </c>
      <c r="E11" s="36" t="n">
        <v>120</v>
      </c>
      <c r="F11" s="28" t="n">
        <v>6700</v>
      </c>
      <c r="G11" s="36" t="n">
        <v>5</v>
      </c>
      <c r="H11" s="37" t="n">
        <v>260000</v>
      </c>
      <c r="I11" s="37" t="n">
        <v>35000</v>
      </c>
      <c r="J11" s="37" t="n">
        <v>1928800</v>
      </c>
      <c r="K11" s="37" t="n">
        <v>1042000</v>
      </c>
      <c r="L11" s="37" t="n">
        <v>114000</v>
      </c>
      <c r="M11" s="37" t="n">
        <v>168000</v>
      </c>
      <c r="N11" s="37" t="n">
        <v>344800</v>
      </c>
    </row>
    <row r="12">
      <c r="A12" s="35" t="inlineStr">
        <is>
          <t>MOD-PAR</t>
        </is>
      </c>
      <c r="B12" s="35" t="inlineStr">
        <is>
          <t>MODART International</t>
        </is>
      </c>
      <c r="C12" s="35" t="inlineStr">
        <is>
          <t>Paris</t>
        </is>
      </c>
      <c r="D12" s="36" t="n">
        <v>350</v>
      </c>
      <c r="E12" s="36" t="n">
        <v>150</v>
      </c>
      <c r="F12" s="28" t="n">
        <v>8600</v>
      </c>
      <c r="G12" s="36" t="n">
        <v>7</v>
      </c>
      <c r="H12" s="37" t="n">
        <v>700000</v>
      </c>
      <c r="I12" s="37" t="n">
        <v>95000</v>
      </c>
      <c r="J12" s="37" t="n">
        <v>3076000</v>
      </c>
      <c r="K12" s="37" t="n">
        <v>1282000</v>
      </c>
      <c r="L12" s="37" t="n">
        <v>142500</v>
      </c>
      <c r="M12" s="37" t="n">
        <v>210000</v>
      </c>
      <c r="N12" s="37" t="n">
        <v>741500</v>
      </c>
    </row>
    <row r="13">
      <c r="A13" s="35" t="inlineStr">
        <is>
          <t>MOD-LYO</t>
        </is>
      </c>
      <c r="B13" s="35" t="inlineStr">
        <is>
          <t>MODART International</t>
        </is>
      </c>
      <c r="C13" s="35" t="inlineStr">
        <is>
          <t>Lyon</t>
        </is>
      </c>
      <c r="D13" s="36" t="n">
        <v>230</v>
      </c>
      <c r="E13" s="36" t="n">
        <v>105</v>
      </c>
      <c r="F13" s="28" t="n">
        <v>8200</v>
      </c>
      <c r="G13" s="36" t="n">
        <v>4</v>
      </c>
      <c r="H13" s="37" t="n">
        <v>360000</v>
      </c>
      <c r="I13" s="37" t="n">
        <v>50000</v>
      </c>
      <c r="J13" s="37" t="n">
        <v>1929950</v>
      </c>
      <c r="K13" s="37" t="n">
        <v>844000</v>
      </c>
      <c r="L13" s="37" t="n">
        <v>99750</v>
      </c>
      <c r="M13" s="37" t="n">
        <v>138000</v>
      </c>
      <c r="N13" s="37" t="n">
        <v>488200</v>
      </c>
    </row>
    <row r="14">
      <c r="A14" s="35" t="inlineStr">
        <is>
          <t>ESI-LIL</t>
        </is>
      </c>
      <c r="B14" s="35" t="inlineStr">
        <is>
          <t>ESIS</t>
        </is>
      </c>
      <c r="C14" s="35" t="inlineStr">
        <is>
          <t>Lille</t>
        </is>
      </c>
      <c r="D14" s="36" t="n">
        <v>320</v>
      </c>
      <c r="E14" s="36" t="n">
        <v>150</v>
      </c>
      <c r="F14" s="28" t="n">
        <v>7000</v>
      </c>
      <c r="G14" s="36" t="n">
        <v>5</v>
      </c>
      <c r="H14" s="37" t="n">
        <v>300000</v>
      </c>
      <c r="I14" s="37" t="n">
        <v>42000</v>
      </c>
      <c r="J14" s="37" t="n">
        <v>2301500</v>
      </c>
      <c r="K14" s="37" t="n">
        <v>1146000</v>
      </c>
      <c r="L14" s="37" t="n">
        <v>142500</v>
      </c>
      <c r="M14" s="37" t="n">
        <v>192000</v>
      </c>
      <c r="N14" s="37" t="n">
        <v>521000</v>
      </c>
    </row>
    <row r="15">
      <c r="A15" s="35" t="inlineStr">
        <is>
          <t>ESI-MTP</t>
        </is>
      </c>
      <c r="B15" s="35" t="inlineStr">
        <is>
          <t>ESIS</t>
        </is>
      </c>
      <c r="C15" s="35" t="inlineStr">
        <is>
          <t>Montpellier</t>
        </is>
      </c>
      <c r="D15" s="36" t="n">
        <v>260</v>
      </c>
      <c r="E15" s="36" t="n">
        <v>125</v>
      </c>
      <c r="F15" s="28" t="n">
        <v>6800</v>
      </c>
      <c r="G15" s="36" t="n">
        <v>4</v>
      </c>
      <c r="H15" s="37" t="n">
        <v>250000</v>
      </c>
      <c r="I15" s="37" t="n">
        <v>33000</v>
      </c>
      <c r="J15" s="37" t="n">
        <v>1818250</v>
      </c>
      <c r="K15" s="37" t="n">
        <v>896000</v>
      </c>
      <c r="L15" s="37" t="n">
        <v>118750</v>
      </c>
      <c r="M15" s="37" t="n">
        <v>156000</v>
      </c>
      <c r="N15" s="37" t="n">
        <v>397500</v>
      </c>
    </row>
    <row r="16">
      <c r="A16" s="38" t="inlineStr">
        <is>
          <t>TOTAL GROUPE</t>
        </is>
      </c>
      <c r="B16" s="39" t="inlineStr">
        <is>
          <t> </t>
        </is>
      </c>
      <c r="C16" s="39" t="inlineStr">
        <is>
          <t> </t>
        </is>
      </c>
      <c r="D16" s="40">
        <f>SUM(D4:D15)</f>
        <v/>
      </c>
      <c r="E16" s="40">
        <f>SUM(E4:E15)</f>
        <v/>
      </c>
      <c r="F16" s="39" t="inlineStr">
        <is>
          <t> </t>
        </is>
      </c>
      <c r="G16" s="40">
        <f>SUM(G4:G15)</f>
        <v/>
      </c>
      <c r="H16" s="41">
        <f>SUM(H4:H15)</f>
        <v/>
      </c>
      <c r="I16" s="41">
        <f>SUM(I4:I15)</f>
        <v/>
      </c>
      <c r="J16" s="41">
        <f>SUM(J4:J15)</f>
        <v/>
      </c>
      <c r="K16" s="41">
        <f>SUM(K4:K15)</f>
        <v/>
      </c>
      <c r="L16" s="41">
        <f>SUM(L4:L15)</f>
        <v/>
      </c>
      <c r="M16" s="41">
        <f>SUM(M4:M15)</f>
        <v/>
      </c>
      <c r="N16" s="41">
        <f>SUM(N4:N15)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26" customHeight="1">
      <c r="A1" s="1" t="inlineStr">
        <is>
          <t>Moteur de budget N+1 par campus (calcul par inducteurs)</t>
        </is>
      </c>
    </row>
    <row r="2">
      <c r="A2" s="2" t="inlineStr">
        <is>
          <t>100% formules. Réagit aux leviers de 02_Parametres et au réalisé de 04_Historique.</t>
        </is>
      </c>
    </row>
    <row r="3" ht="34" customHeight="1">
      <c r="A3" s="15" t="inlineStr">
        <is>
          <t>Code</t>
        </is>
      </c>
      <c r="B3" s="15" t="inlineStr">
        <is>
          <t>Marque / École</t>
        </is>
      </c>
      <c r="C3" s="15" t="inlineStr">
        <is>
          <t>Campus</t>
        </is>
      </c>
      <c r="D3" s="15" t="inlineStr">
        <is>
          <t>Réinscrits</t>
        </is>
      </c>
      <c r="E3" s="15" t="inlineStr">
        <is>
          <t>Nouv. inscrits</t>
        </is>
      </c>
      <c r="F3" s="15" t="inlineStr">
        <is>
          <t>Effectif budget</t>
        </is>
      </c>
      <c r="G3" s="15" t="inlineStr">
        <is>
          <t>Tarif moyen</t>
        </is>
      </c>
      <c r="H3" s="15" t="inlineStr">
        <is>
          <t>Scolarité</t>
        </is>
      </c>
      <c r="I3" s="15" t="inlineStr">
        <is>
          <t>Frais dossier</t>
        </is>
      </c>
      <c r="J3" s="15" t="inlineStr">
        <is>
          <t>Autres produits</t>
        </is>
      </c>
      <c r="K3" s="15" t="inlineStr">
        <is>
          <t>CA Budget</t>
        </is>
      </c>
      <c r="L3" s="15" t="inlineStr">
        <is>
          <t>ETP enseignants</t>
        </is>
      </c>
      <c r="M3" s="15" t="inlineStr">
        <is>
          <t>ETP admin</t>
        </is>
      </c>
      <c r="N3" s="15" t="inlineStr">
        <is>
          <t>MS enseignants</t>
        </is>
      </c>
      <c r="O3" s="15" t="inlineStr">
        <is>
          <t>MS admin</t>
        </is>
      </c>
      <c r="P3" s="15" t="inlineStr">
        <is>
          <t>Masse salariale</t>
        </is>
      </c>
      <c r="Q3" s="15" t="inlineStr">
        <is>
          <t>Loyers</t>
        </is>
      </c>
      <c r="R3" s="15" t="inlineStr">
        <is>
          <t>Marketing</t>
        </is>
      </c>
      <c r="S3" s="15" t="inlineStr">
        <is>
          <t>Autres charges</t>
        </is>
      </c>
      <c r="T3" s="15" t="inlineStr">
        <is>
          <t>EBITDA</t>
        </is>
      </c>
      <c r="U3" s="15" t="inlineStr">
        <is>
          <t>D&amp;A</t>
        </is>
      </c>
      <c r="V3" s="15" t="inlineStr">
        <is>
          <t>EBIT</t>
        </is>
      </c>
      <c r="W3" s="15" t="inlineStr">
        <is>
          <t>Marge EBITDA %</t>
        </is>
      </c>
      <c r="X3" s="15" t="inlineStr">
        <is>
          <t>CA / étudiant</t>
        </is>
      </c>
    </row>
    <row r="4">
      <c r="A4" s="42">
        <f>'04_Historique'!A4</f>
        <v/>
      </c>
      <c r="B4" s="42">
        <f>'04_Historique'!B4</f>
        <v/>
      </c>
      <c r="C4" s="42">
        <f>'04_Historique'!C4</f>
        <v/>
      </c>
      <c r="D4" s="43">
        <f>'04_Historique'!D4*'02_Parametres'!$G$6</f>
        <v/>
      </c>
      <c r="E4" s="43">
        <f>'04_Historique'!E4*(1+'02_Parametres'!$G$7)</f>
        <v/>
      </c>
      <c r="F4" s="43">
        <f>D4+E4</f>
        <v/>
      </c>
      <c r="G4" s="44">
        <f>'04_Historique'!F4*(1+'02_Parametres'!$G$8)</f>
        <v/>
      </c>
      <c r="H4" s="45">
        <f>F4*G4</f>
        <v/>
      </c>
      <c r="I4" s="45">
        <f>E4*'02_Parametres'!$D$18</f>
        <v/>
      </c>
      <c r="J4" s="45">
        <f>F4*'02_Parametres'!$D$17</f>
        <v/>
      </c>
      <c r="K4" s="45">
        <f>H4+I4+J4</f>
        <v/>
      </c>
      <c r="L4" s="46">
        <f>F4/'02_Parametres'!$G$9</f>
        <v/>
      </c>
      <c r="M4" s="46">
        <f>'04_Historique'!G4</f>
        <v/>
      </c>
      <c r="N4" s="45">
        <f>L4*'02_Parametres'!$D$14*(1+'02_Parametres'!$G$10)</f>
        <v/>
      </c>
      <c r="O4" s="45">
        <f>M4*'02_Parametres'!$D$15*(1+'02_Parametres'!$G$10)</f>
        <v/>
      </c>
      <c r="P4" s="45">
        <f>N4+O4</f>
        <v/>
      </c>
      <c r="Q4" s="45">
        <f>'04_Historique'!H4*(1+'02_Parametres'!$G$11)</f>
        <v/>
      </c>
      <c r="R4" s="45">
        <f>E4*'02_Parametres'!$G$12</f>
        <v/>
      </c>
      <c r="S4" s="45">
        <f>F4*'02_Parametres'!$D$16*(1+'02_Parametres'!$G$11)</f>
        <v/>
      </c>
      <c r="T4" s="45">
        <f>K4-P4-Q4-R4-S4</f>
        <v/>
      </c>
      <c r="U4" s="45">
        <f>'04_Historique'!I4</f>
        <v/>
      </c>
      <c r="V4" s="45">
        <f>T4-U4</f>
        <v/>
      </c>
      <c r="W4" s="47">
        <f>IFERROR(T4/K4,0)</f>
        <v/>
      </c>
      <c r="X4" s="44">
        <f>IFERROR(K4/F4,0)</f>
        <v/>
      </c>
    </row>
    <row r="5">
      <c r="A5" s="42">
        <f>'04_Historique'!A5</f>
        <v/>
      </c>
      <c r="B5" s="42">
        <f>'04_Historique'!B5</f>
        <v/>
      </c>
      <c r="C5" s="42">
        <f>'04_Historique'!C5</f>
        <v/>
      </c>
      <c r="D5" s="43">
        <f>'04_Historique'!D5*'02_Parametres'!$G$6</f>
        <v/>
      </c>
      <c r="E5" s="43">
        <f>'04_Historique'!E5*(1+'02_Parametres'!$G$7)</f>
        <v/>
      </c>
      <c r="F5" s="43">
        <f>D5+E5</f>
        <v/>
      </c>
      <c r="G5" s="44">
        <f>'04_Historique'!F5*(1+'02_Parametres'!$G$8)</f>
        <v/>
      </c>
      <c r="H5" s="45">
        <f>F5*G5</f>
        <v/>
      </c>
      <c r="I5" s="45">
        <f>E5*'02_Parametres'!$D$18</f>
        <v/>
      </c>
      <c r="J5" s="45">
        <f>F5*'02_Parametres'!$D$17</f>
        <v/>
      </c>
      <c r="K5" s="45">
        <f>H5+I5+J5</f>
        <v/>
      </c>
      <c r="L5" s="46">
        <f>F5/'02_Parametres'!$G$9</f>
        <v/>
      </c>
      <c r="M5" s="46">
        <f>'04_Historique'!G5</f>
        <v/>
      </c>
      <c r="N5" s="45">
        <f>L5*'02_Parametres'!$D$14*(1+'02_Parametres'!$G$10)</f>
        <v/>
      </c>
      <c r="O5" s="45">
        <f>M5*'02_Parametres'!$D$15*(1+'02_Parametres'!$G$10)</f>
        <v/>
      </c>
      <c r="P5" s="45">
        <f>N5+O5</f>
        <v/>
      </c>
      <c r="Q5" s="45">
        <f>'04_Historique'!H5*(1+'02_Parametres'!$G$11)</f>
        <v/>
      </c>
      <c r="R5" s="45">
        <f>E5*'02_Parametres'!$G$12</f>
        <v/>
      </c>
      <c r="S5" s="45">
        <f>F5*'02_Parametres'!$D$16*(1+'02_Parametres'!$G$11)</f>
        <v/>
      </c>
      <c r="T5" s="45">
        <f>K5-P5-Q5-R5-S5</f>
        <v/>
      </c>
      <c r="U5" s="45">
        <f>'04_Historique'!I5</f>
        <v/>
      </c>
      <c r="V5" s="45">
        <f>T5-U5</f>
        <v/>
      </c>
      <c r="W5" s="47">
        <f>IFERROR(T5/K5,0)</f>
        <v/>
      </c>
      <c r="X5" s="44">
        <f>IFERROR(K5/F5,0)</f>
        <v/>
      </c>
    </row>
    <row r="6">
      <c r="A6" s="42">
        <f>'04_Historique'!A6</f>
        <v/>
      </c>
      <c r="B6" s="42">
        <f>'04_Historique'!B6</f>
        <v/>
      </c>
      <c r="C6" s="42">
        <f>'04_Historique'!C6</f>
        <v/>
      </c>
      <c r="D6" s="43">
        <f>'04_Historique'!D6*'02_Parametres'!$G$6</f>
        <v/>
      </c>
      <c r="E6" s="43">
        <f>'04_Historique'!E6*(1+'02_Parametres'!$G$7)</f>
        <v/>
      </c>
      <c r="F6" s="43">
        <f>D6+E6</f>
        <v/>
      </c>
      <c r="G6" s="44">
        <f>'04_Historique'!F6*(1+'02_Parametres'!$G$8)</f>
        <v/>
      </c>
      <c r="H6" s="45">
        <f>F6*G6</f>
        <v/>
      </c>
      <c r="I6" s="45">
        <f>E6*'02_Parametres'!$D$18</f>
        <v/>
      </c>
      <c r="J6" s="45">
        <f>F6*'02_Parametres'!$D$17</f>
        <v/>
      </c>
      <c r="K6" s="45">
        <f>H6+I6+J6</f>
        <v/>
      </c>
      <c r="L6" s="46">
        <f>F6/'02_Parametres'!$G$9</f>
        <v/>
      </c>
      <c r="M6" s="46">
        <f>'04_Historique'!G6</f>
        <v/>
      </c>
      <c r="N6" s="45">
        <f>L6*'02_Parametres'!$D$14*(1+'02_Parametres'!$G$10)</f>
        <v/>
      </c>
      <c r="O6" s="45">
        <f>M6*'02_Parametres'!$D$15*(1+'02_Parametres'!$G$10)</f>
        <v/>
      </c>
      <c r="P6" s="45">
        <f>N6+O6</f>
        <v/>
      </c>
      <c r="Q6" s="45">
        <f>'04_Historique'!H6*(1+'02_Parametres'!$G$11)</f>
        <v/>
      </c>
      <c r="R6" s="45">
        <f>E6*'02_Parametres'!$G$12</f>
        <v/>
      </c>
      <c r="S6" s="45">
        <f>F6*'02_Parametres'!$D$16*(1+'02_Parametres'!$G$11)</f>
        <v/>
      </c>
      <c r="T6" s="45">
        <f>K6-P6-Q6-R6-S6</f>
        <v/>
      </c>
      <c r="U6" s="45">
        <f>'04_Historique'!I6</f>
        <v/>
      </c>
      <c r="V6" s="45">
        <f>T6-U6</f>
        <v/>
      </c>
      <c r="W6" s="47">
        <f>IFERROR(T6/K6,0)</f>
        <v/>
      </c>
      <c r="X6" s="44">
        <f>IFERROR(K6/F6,0)</f>
        <v/>
      </c>
    </row>
    <row r="7">
      <c r="A7" s="42">
        <f>'04_Historique'!A7</f>
        <v/>
      </c>
      <c r="B7" s="42">
        <f>'04_Historique'!B7</f>
        <v/>
      </c>
      <c r="C7" s="42">
        <f>'04_Historique'!C7</f>
        <v/>
      </c>
      <c r="D7" s="43">
        <f>'04_Historique'!D7*'02_Parametres'!$G$6</f>
        <v/>
      </c>
      <c r="E7" s="43">
        <f>'04_Historique'!E7*(1+'02_Parametres'!$G$7)</f>
        <v/>
      </c>
      <c r="F7" s="43">
        <f>D7+E7</f>
        <v/>
      </c>
      <c r="G7" s="44">
        <f>'04_Historique'!F7*(1+'02_Parametres'!$G$8)</f>
        <v/>
      </c>
      <c r="H7" s="45">
        <f>F7*G7</f>
        <v/>
      </c>
      <c r="I7" s="45">
        <f>E7*'02_Parametres'!$D$18</f>
        <v/>
      </c>
      <c r="J7" s="45">
        <f>F7*'02_Parametres'!$D$17</f>
        <v/>
      </c>
      <c r="K7" s="45">
        <f>H7+I7+J7</f>
        <v/>
      </c>
      <c r="L7" s="46">
        <f>F7/'02_Parametres'!$G$9</f>
        <v/>
      </c>
      <c r="M7" s="46">
        <f>'04_Historique'!G7</f>
        <v/>
      </c>
      <c r="N7" s="45">
        <f>L7*'02_Parametres'!$D$14*(1+'02_Parametres'!$G$10)</f>
        <v/>
      </c>
      <c r="O7" s="45">
        <f>M7*'02_Parametres'!$D$15*(1+'02_Parametres'!$G$10)</f>
        <v/>
      </c>
      <c r="P7" s="45">
        <f>N7+O7</f>
        <v/>
      </c>
      <c r="Q7" s="45">
        <f>'04_Historique'!H7*(1+'02_Parametres'!$G$11)</f>
        <v/>
      </c>
      <c r="R7" s="45">
        <f>E7*'02_Parametres'!$G$12</f>
        <v/>
      </c>
      <c r="S7" s="45">
        <f>F7*'02_Parametres'!$D$16*(1+'02_Parametres'!$G$11)</f>
        <v/>
      </c>
      <c r="T7" s="45">
        <f>K7-P7-Q7-R7-S7</f>
        <v/>
      </c>
      <c r="U7" s="45">
        <f>'04_Historique'!I7</f>
        <v/>
      </c>
      <c r="V7" s="45">
        <f>T7-U7</f>
        <v/>
      </c>
      <c r="W7" s="47">
        <f>IFERROR(T7/K7,0)</f>
        <v/>
      </c>
      <c r="X7" s="44">
        <f>IFERROR(K7/F7,0)</f>
        <v/>
      </c>
    </row>
    <row r="8">
      <c r="A8" s="42">
        <f>'04_Historique'!A8</f>
        <v/>
      </c>
      <c r="B8" s="42">
        <f>'04_Historique'!B8</f>
        <v/>
      </c>
      <c r="C8" s="42">
        <f>'04_Historique'!C8</f>
        <v/>
      </c>
      <c r="D8" s="43">
        <f>'04_Historique'!D8*'02_Parametres'!$G$6</f>
        <v/>
      </c>
      <c r="E8" s="43">
        <f>'04_Historique'!E8*(1+'02_Parametres'!$G$7)</f>
        <v/>
      </c>
      <c r="F8" s="43">
        <f>D8+E8</f>
        <v/>
      </c>
      <c r="G8" s="44">
        <f>'04_Historique'!F8*(1+'02_Parametres'!$G$8)</f>
        <v/>
      </c>
      <c r="H8" s="45">
        <f>F8*G8</f>
        <v/>
      </c>
      <c r="I8" s="45">
        <f>E8*'02_Parametres'!$D$18</f>
        <v/>
      </c>
      <c r="J8" s="45">
        <f>F8*'02_Parametres'!$D$17</f>
        <v/>
      </c>
      <c r="K8" s="45">
        <f>H8+I8+J8</f>
        <v/>
      </c>
      <c r="L8" s="46">
        <f>F8/'02_Parametres'!$G$9</f>
        <v/>
      </c>
      <c r="M8" s="46">
        <f>'04_Historique'!G8</f>
        <v/>
      </c>
      <c r="N8" s="45">
        <f>L8*'02_Parametres'!$D$14*(1+'02_Parametres'!$G$10)</f>
        <v/>
      </c>
      <c r="O8" s="45">
        <f>M8*'02_Parametres'!$D$15*(1+'02_Parametres'!$G$10)</f>
        <v/>
      </c>
      <c r="P8" s="45">
        <f>N8+O8</f>
        <v/>
      </c>
      <c r="Q8" s="45">
        <f>'04_Historique'!H8*(1+'02_Parametres'!$G$11)</f>
        <v/>
      </c>
      <c r="R8" s="45">
        <f>E8*'02_Parametres'!$G$12</f>
        <v/>
      </c>
      <c r="S8" s="45">
        <f>F8*'02_Parametres'!$D$16*(1+'02_Parametres'!$G$11)</f>
        <v/>
      </c>
      <c r="T8" s="45">
        <f>K8-P8-Q8-R8-S8</f>
        <v/>
      </c>
      <c r="U8" s="45">
        <f>'04_Historique'!I8</f>
        <v/>
      </c>
      <c r="V8" s="45">
        <f>T8-U8</f>
        <v/>
      </c>
      <c r="W8" s="47">
        <f>IFERROR(T8/K8,0)</f>
        <v/>
      </c>
      <c r="X8" s="44">
        <f>IFERROR(K8/F8,0)</f>
        <v/>
      </c>
    </row>
    <row r="9">
      <c r="A9" s="42">
        <f>'04_Historique'!A9</f>
        <v/>
      </c>
      <c r="B9" s="42">
        <f>'04_Historique'!B9</f>
        <v/>
      </c>
      <c r="C9" s="42">
        <f>'04_Historique'!C9</f>
        <v/>
      </c>
      <c r="D9" s="43">
        <f>'04_Historique'!D9*'02_Parametres'!$G$6</f>
        <v/>
      </c>
      <c r="E9" s="43">
        <f>'04_Historique'!E9*(1+'02_Parametres'!$G$7)</f>
        <v/>
      </c>
      <c r="F9" s="43">
        <f>D9+E9</f>
        <v/>
      </c>
      <c r="G9" s="44">
        <f>'04_Historique'!F9*(1+'02_Parametres'!$G$8)</f>
        <v/>
      </c>
      <c r="H9" s="45">
        <f>F9*G9</f>
        <v/>
      </c>
      <c r="I9" s="45">
        <f>E9*'02_Parametres'!$D$18</f>
        <v/>
      </c>
      <c r="J9" s="45">
        <f>F9*'02_Parametres'!$D$17</f>
        <v/>
      </c>
      <c r="K9" s="45">
        <f>H9+I9+J9</f>
        <v/>
      </c>
      <c r="L9" s="46">
        <f>F9/'02_Parametres'!$G$9</f>
        <v/>
      </c>
      <c r="M9" s="46">
        <f>'04_Historique'!G9</f>
        <v/>
      </c>
      <c r="N9" s="45">
        <f>L9*'02_Parametres'!$D$14*(1+'02_Parametres'!$G$10)</f>
        <v/>
      </c>
      <c r="O9" s="45">
        <f>M9*'02_Parametres'!$D$15*(1+'02_Parametres'!$G$10)</f>
        <v/>
      </c>
      <c r="P9" s="45">
        <f>N9+O9</f>
        <v/>
      </c>
      <c r="Q9" s="45">
        <f>'04_Historique'!H9*(1+'02_Parametres'!$G$11)</f>
        <v/>
      </c>
      <c r="R9" s="45">
        <f>E9*'02_Parametres'!$G$12</f>
        <v/>
      </c>
      <c r="S9" s="45">
        <f>F9*'02_Parametres'!$D$16*(1+'02_Parametres'!$G$11)</f>
        <v/>
      </c>
      <c r="T9" s="45">
        <f>K9-P9-Q9-R9-S9</f>
        <v/>
      </c>
      <c r="U9" s="45">
        <f>'04_Historique'!I9</f>
        <v/>
      </c>
      <c r="V9" s="45">
        <f>T9-U9</f>
        <v/>
      </c>
      <c r="W9" s="47">
        <f>IFERROR(T9/K9,0)</f>
        <v/>
      </c>
      <c r="X9" s="44">
        <f>IFERROR(K9/F9,0)</f>
        <v/>
      </c>
    </row>
    <row r="10">
      <c r="A10" s="42">
        <f>'04_Historique'!A10</f>
        <v/>
      </c>
      <c r="B10" s="42">
        <f>'04_Historique'!B10</f>
        <v/>
      </c>
      <c r="C10" s="42">
        <f>'04_Historique'!C10</f>
        <v/>
      </c>
      <c r="D10" s="43">
        <f>'04_Historique'!D10*'02_Parametres'!$G$6</f>
        <v/>
      </c>
      <c r="E10" s="43">
        <f>'04_Historique'!E10*(1+'02_Parametres'!$G$7)</f>
        <v/>
      </c>
      <c r="F10" s="43">
        <f>D10+E10</f>
        <v/>
      </c>
      <c r="G10" s="44">
        <f>'04_Historique'!F10*(1+'02_Parametres'!$G$8)</f>
        <v/>
      </c>
      <c r="H10" s="45">
        <f>F10*G10</f>
        <v/>
      </c>
      <c r="I10" s="45">
        <f>E10*'02_Parametres'!$D$18</f>
        <v/>
      </c>
      <c r="J10" s="45">
        <f>F10*'02_Parametres'!$D$17</f>
        <v/>
      </c>
      <c r="K10" s="45">
        <f>H10+I10+J10</f>
        <v/>
      </c>
      <c r="L10" s="46">
        <f>F10/'02_Parametres'!$G$9</f>
        <v/>
      </c>
      <c r="M10" s="46">
        <f>'04_Historique'!G10</f>
        <v/>
      </c>
      <c r="N10" s="45">
        <f>L10*'02_Parametres'!$D$14*(1+'02_Parametres'!$G$10)</f>
        <v/>
      </c>
      <c r="O10" s="45">
        <f>M10*'02_Parametres'!$D$15*(1+'02_Parametres'!$G$10)</f>
        <v/>
      </c>
      <c r="P10" s="45">
        <f>N10+O10</f>
        <v/>
      </c>
      <c r="Q10" s="45">
        <f>'04_Historique'!H10*(1+'02_Parametres'!$G$11)</f>
        <v/>
      </c>
      <c r="R10" s="45">
        <f>E10*'02_Parametres'!$G$12</f>
        <v/>
      </c>
      <c r="S10" s="45">
        <f>F10*'02_Parametres'!$D$16*(1+'02_Parametres'!$G$11)</f>
        <v/>
      </c>
      <c r="T10" s="45">
        <f>K10-P10-Q10-R10-S10</f>
        <v/>
      </c>
      <c r="U10" s="45">
        <f>'04_Historique'!I10</f>
        <v/>
      </c>
      <c r="V10" s="45">
        <f>T10-U10</f>
        <v/>
      </c>
      <c r="W10" s="47">
        <f>IFERROR(T10/K10,0)</f>
        <v/>
      </c>
      <c r="X10" s="44">
        <f>IFERROR(K10/F10,0)</f>
        <v/>
      </c>
    </row>
    <row r="11">
      <c r="A11" s="42">
        <f>'04_Historique'!A11</f>
        <v/>
      </c>
      <c r="B11" s="42">
        <f>'04_Historique'!B11</f>
        <v/>
      </c>
      <c r="C11" s="42">
        <f>'04_Historique'!C11</f>
        <v/>
      </c>
      <c r="D11" s="43">
        <f>'04_Historique'!D11*'02_Parametres'!$G$6</f>
        <v/>
      </c>
      <c r="E11" s="43">
        <f>'04_Historique'!E11*(1+'02_Parametres'!$G$7)</f>
        <v/>
      </c>
      <c r="F11" s="43">
        <f>D11+E11</f>
        <v/>
      </c>
      <c r="G11" s="44">
        <f>'04_Historique'!F11*(1+'02_Parametres'!$G$8)</f>
        <v/>
      </c>
      <c r="H11" s="45">
        <f>F11*G11</f>
        <v/>
      </c>
      <c r="I11" s="45">
        <f>E11*'02_Parametres'!$D$18</f>
        <v/>
      </c>
      <c r="J11" s="45">
        <f>F11*'02_Parametres'!$D$17</f>
        <v/>
      </c>
      <c r="K11" s="45">
        <f>H11+I11+J11</f>
        <v/>
      </c>
      <c r="L11" s="46">
        <f>F11/'02_Parametres'!$G$9</f>
        <v/>
      </c>
      <c r="M11" s="46">
        <f>'04_Historique'!G11</f>
        <v/>
      </c>
      <c r="N11" s="45">
        <f>L11*'02_Parametres'!$D$14*(1+'02_Parametres'!$G$10)</f>
        <v/>
      </c>
      <c r="O11" s="45">
        <f>M11*'02_Parametres'!$D$15*(1+'02_Parametres'!$G$10)</f>
        <v/>
      </c>
      <c r="P11" s="45">
        <f>N11+O11</f>
        <v/>
      </c>
      <c r="Q11" s="45">
        <f>'04_Historique'!H11*(1+'02_Parametres'!$G$11)</f>
        <v/>
      </c>
      <c r="R11" s="45">
        <f>E11*'02_Parametres'!$G$12</f>
        <v/>
      </c>
      <c r="S11" s="45">
        <f>F11*'02_Parametres'!$D$16*(1+'02_Parametres'!$G$11)</f>
        <v/>
      </c>
      <c r="T11" s="45">
        <f>K11-P11-Q11-R11-S11</f>
        <v/>
      </c>
      <c r="U11" s="45">
        <f>'04_Historique'!I11</f>
        <v/>
      </c>
      <c r="V11" s="45">
        <f>T11-U11</f>
        <v/>
      </c>
      <c r="W11" s="47">
        <f>IFERROR(T11/K11,0)</f>
        <v/>
      </c>
      <c r="X11" s="44">
        <f>IFERROR(K11/F11,0)</f>
        <v/>
      </c>
    </row>
    <row r="12">
      <c r="A12" s="42">
        <f>'04_Historique'!A12</f>
        <v/>
      </c>
      <c r="B12" s="42">
        <f>'04_Historique'!B12</f>
        <v/>
      </c>
      <c r="C12" s="42">
        <f>'04_Historique'!C12</f>
        <v/>
      </c>
      <c r="D12" s="43">
        <f>'04_Historique'!D12*'02_Parametres'!$G$6</f>
        <v/>
      </c>
      <c r="E12" s="43">
        <f>'04_Historique'!E12*(1+'02_Parametres'!$G$7)</f>
        <v/>
      </c>
      <c r="F12" s="43">
        <f>D12+E12</f>
        <v/>
      </c>
      <c r="G12" s="44">
        <f>'04_Historique'!F12*(1+'02_Parametres'!$G$8)</f>
        <v/>
      </c>
      <c r="H12" s="45">
        <f>F12*G12</f>
        <v/>
      </c>
      <c r="I12" s="45">
        <f>E12*'02_Parametres'!$D$18</f>
        <v/>
      </c>
      <c r="J12" s="45">
        <f>F12*'02_Parametres'!$D$17</f>
        <v/>
      </c>
      <c r="K12" s="45">
        <f>H12+I12+J12</f>
        <v/>
      </c>
      <c r="L12" s="46">
        <f>F12/'02_Parametres'!$G$9</f>
        <v/>
      </c>
      <c r="M12" s="46">
        <f>'04_Historique'!G12</f>
        <v/>
      </c>
      <c r="N12" s="45">
        <f>L12*'02_Parametres'!$D$14*(1+'02_Parametres'!$G$10)</f>
        <v/>
      </c>
      <c r="O12" s="45">
        <f>M12*'02_Parametres'!$D$15*(1+'02_Parametres'!$G$10)</f>
        <v/>
      </c>
      <c r="P12" s="45">
        <f>N12+O12</f>
        <v/>
      </c>
      <c r="Q12" s="45">
        <f>'04_Historique'!H12*(1+'02_Parametres'!$G$11)</f>
        <v/>
      </c>
      <c r="R12" s="45">
        <f>E12*'02_Parametres'!$G$12</f>
        <v/>
      </c>
      <c r="S12" s="45">
        <f>F12*'02_Parametres'!$D$16*(1+'02_Parametres'!$G$11)</f>
        <v/>
      </c>
      <c r="T12" s="45">
        <f>K12-P12-Q12-R12-S12</f>
        <v/>
      </c>
      <c r="U12" s="45">
        <f>'04_Historique'!I12</f>
        <v/>
      </c>
      <c r="V12" s="45">
        <f>T12-U12</f>
        <v/>
      </c>
      <c r="W12" s="47">
        <f>IFERROR(T12/K12,0)</f>
        <v/>
      </c>
      <c r="X12" s="44">
        <f>IFERROR(K12/F12,0)</f>
        <v/>
      </c>
    </row>
    <row r="13">
      <c r="A13" s="42">
        <f>'04_Historique'!A13</f>
        <v/>
      </c>
      <c r="B13" s="42">
        <f>'04_Historique'!B13</f>
        <v/>
      </c>
      <c r="C13" s="42">
        <f>'04_Historique'!C13</f>
        <v/>
      </c>
      <c r="D13" s="43">
        <f>'04_Historique'!D13*'02_Parametres'!$G$6</f>
        <v/>
      </c>
      <c r="E13" s="43">
        <f>'04_Historique'!E13*(1+'02_Parametres'!$G$7)</f>
        <v/>
      </c>
      <c r="F13" s="43">
        <f>D13+E13</f>
        <v/>
      </c>
      <c r="G13" s="44">
        <f>'04_Historique'!F13*(1+'02_Parametres'!$G$8)</f>
        <v/>
      </c>
      <c r="H13" s="45">
        <f>F13*G13</f>
        <v/>
      </c>
      <c r="I13" s="45">
        <f>E13*'02_Parametres'!$D$18</f>
        <v/>
      </c>
      <c r="J13" s="45">
        <f>F13*'02_Parametres'!$D$17</f>
        <v/>
      </c>
      <c r="K13" s="45">
        <f>H13+I13+J13</f>
        <v/>
      </c>
      <c r="L13" s="46">
        <f>F13/'02_Parametres'!$G$9</f>
        <v/>
      </c>
      <c r="M13" s="46">
        <f>'04_Historique'!G13</f>
        <v/>
      </c>
      <c r="N13" s="45">
        <f>L13*'02_Parametres'!$D$14*(1+'02_Parametres'!$G$10)</f>
        <v/>
      </c>
      <c r="O13" s="45">
        <f>M13*'02_Parametres'!$D$15*(1+'02_Parametres'!$G$10)</f>
        <v/>
      </c>
      <c r="P13" s="45">
        <f>N13+O13</f>
        <v/>
      </c>
      <c r="Q13" s="45">
        <f>'04_Historique'!H13*(1+'02_Parametres'!$G$11)</f>
        <v/>
      </c>
      <c r="R13" s="45">
        <f>E13*'02_Parametres'!$G$12</f>
        <v/>
      </c>
      <c r="S13" s="45">
        <f>F13*'02_Parametres'!$D$16*(1+'02_Parametres'!$G$11)</f>
        <v/>
      </c>
      <c r="T13" s="45">
        <f>K13-P13-Q13-R13-S13</f>
        <v/>
      </c>
      <c r="U13" s="45">
        <f>'04_Historique'!I13</f>
        <v/>
      </c>
      <c r="V13" s="45">
        <f>T13-U13</f>
        <v/>
      </c>
      <c r="W13" s="47">
        <f>IFERROR(T13/K13,0)</f>
        <v/>
      </c>
      <c r="X13" s="44">
        <f>IFERROR(K13/F13,0)</f>
        <v/>
      </c>
    </row>
    <row r="14">
      <c r="A14" s="42">
        <f>'04_Historique'!A14</f>
        <v/>
      </c>
      <c r="B14" s="42">
        <f>'04_Historique'!B14</f>
        <v/>
      </c>
      <c r="C14" s="42">
        <f>'04_Historique'!C14</f>
        <v/>
      </c>
      <c r="D14" s="43">
        <f>'04_Historique'!D14*'02_Parametres'!$G$6</f>
        <v/>
      </c>
      <c r="E14" s="43">
        <f>'04_Historique'!E14*(1+'02_Parametres'!$G$7)</f>
        <v/>
      </c>
      <c r="F14" s="43">
        <f>D14+E14</f>
        <v/>
      </c>
      <c r="G14" s="44">
        <f>'04_Historique'!F14*(1+'02_Parametres'!$G$8)</f>
        <v/>
      </c>
      <c r="H14" s="45">
        <f>F14*G14</f>
        <v/>
      </c>
      <c r="I14" s="45">
        <f>E14*'02_Parametres'!$D$18</f>
        <v/>
      </c>
      <c r="J14" s="45">
        <f>F14*'02_Parametres'!$D$17</f>
        <v/>
      </c>
      <c r="K14" s="45">
        <f>H14+I14+J14</f>
        <v/>
      </c>
      <c r="L14" s="46">
        <f>F14/'02_Parametres'!$G$9</f>
        <v/>
      </c>
      <c r="M14" s="46">
        <f>'04_Historique'!G14</f>
        <v/>
      </c>
      <c r="N14" s="45">
        <f>L14*'02_Parametres'!$D$14*(1+'02_Parametres'!$G$10)</f>
        <v/>
      </c>
      <c r="O14" s="45">
        <f>M14*'02_Parametres'!$D$15*(1+'02_Parametres'!$G$10)</f>
        <v/>
      </c>
      <c r="P14" s="45">
        <f>N14+O14</f>
        <v/>
      </c>
      <c r="Q14" s="45">
        <f>'04_Historique'!H14*(1+'02_Parametres'!$G$11)</f>
        <v/>
      </c>
      <c r="R14" s="45">
        <f>E14*'02_Parametres'!$G$12</f>
        <v/>
      </c>
      <c r="S14" s="45">
        <f>F14*'02_Parametres'!$D$16*(1+'02_Parametres'!$G$11)</f>
        <v/>
      </c>
      <c r="T14" s="45">
        <f>K14-P14-Q14-R14-S14</f>
        <v/>
      </c>
      <c r="U14" s="45">
        <f>'04_Historique'!I14</f>
        <v/>
      </c>
      <c r="V14" s="45">
        <f>T14-U14</f>
        <v/>
      </c>
      <c r="W14" s="47">
        <f>IFERROR(T14/K14,0)</f>
        <v/>
      </c>
      <c r="X14" s="44">
        <f>IFERROR(K14/F14,0)</f>
        <v/>
      </c>
    </row>
    <row r="15">
      <c r="A15" s="42">
        <f>'04_Historique'!A15</f>
        <v/>
      </c>
      <c r="B15" s="42">
        <f>'04_Historique'!B15</f>
        <v/>
      </c>
      <c r="C15" s="42">
        <f>'04_Historique'!C15</f>
        <v/>
      </c>
      <c r="D15" s="43">
        <f>'04_Historique'!D15*'02_Parametres'!$G$6</f>
        <v/>
      </c>
      <c r="E15" s="43">
        <f>'04_Historique'!E15*(1+'02_Parametres'!$G$7)</f>
        <v/>
      </c>
      <c r="F15" s="43">
        <f>D15+E15</f>
        <v/>
      </c>
      <c r="G15" s="44">
        <f>'04_Historique'!F15*(1+'02_Parametres'!$G$8)</f>
        <v/>
      </c>
      <c r="H15" s="45">
        <f>F15*G15</f>
        <v/>
      </c>
      <c r="I15" s="45">
        <f>E15*'02_Parametres'!$D$18</f>
        <v/>
      </c>
      <c r="J15" s="45">
        <f>F15*'02_Parametres'!$D$17</f>
        <v/>
      </c>
      <c r="K15" s="45">
        <f>H15+I15+J15</f>
        <v/>
      </c>
      <c r="L15" s="46">
        <f>F15/'02_Parametres'!$G$9</f>
        <v/>
      </c>
      <c r="M15" s="46">
        <f>'04_Historique'!G15</f>
        <v/>
      </c>
      <c r="N15" s="45">
        <f>L15*'02_Parametres'!$D$14*(1+'02_Parametres'!$G$10)</f>
        <v/>
      </c>
      <c r="O15" s="45">
        <f>M15*'02_Parametres'!$D$15*(1+'02_Parametres'!$G$10)</f>
        <v/>
      </c>
      <c r="P15" s="45">
        <f>N15+O15</f>
        <v/>
      </c>
      <c r="Q15" s="45">
        <f>'04_Historique'!H15*(1+'02_Parametres'!$G$11)</f>
        <v/>
      </c>
      <c r="R15" s="45">
        <f>E15*'02_Parametres'!$G$12</f>
        <v/>
      </c>
      <c r="S15" s="45">
        <f>F15*'02_Parametres'!$D$16*(1+'02_Parametres'!$G$11)</f>
        <v/>
      </c>
      <c r="T15" s="45">
        <f>K15-P15-Q15-R15-S15</f>
        <v/>
      </c>
      <c r="U15" s="45">
        <f>'04_Historique'!I15</f>
        <v/>
      </c>
      <c r="V15" s="45">
        <f>T15-U15</f>
        <v/>
      </c>
      <c r="W15" s="47">
        <f>IFERROR(T15/K15,0)</f>
        <v/>
      </c>
      <c r="X15" s="44">
        <f>IFERROR(K15/F15,0)</f>
        <v/>
      </c>
    </row>
    <row r="16">
      <c r="A16" s="38" t="inlineStr">
        <is>
          <t>TOTAL GROUPE</t>
        </is>
      </c>
      <c r="B16" s="39" t="inlineStr">
        <is>
          <t> </t>
        </is>
      </c>
      <c r="C16" s="39" t="inlineStr">
        <is>
          <t> </t>
        </is>
      </c>
      <c r="D16" s="40">
        <f>SUM(D4:D15)</f>
        <v/>
      </c>
      <c r="E16" s="40">
        <f>SUM(E4:E15)</f>
        <v/>
      </c>
      <c r="F16" s="40">
        <f>SUM(F4:F15)</f>
        <v/>
      </c>
      <c r="G16" s="39" t="inlineStr">
        <is>
          <t> </t>
        </is>
      </c>
      <c r="H16" s="41">
        <f>SUM(H4:H15)</f>
        <v/>
      </c>
      <c r="I16" s="41">
        <f>SUM(I4:I15)</f>
        <v/>
      </c>
      <c r="J16" s="41">
        <f>SUM(J4:J15)</f>
        <v/>
      </c>
      <c r="K16" s="41">
        <f>SUM(K4:K15)</f>
        <v/>
      </c>
      <c r="L16" s="48">
        <f>SUM(L4:L15)</f>
        <v/>
      </c>
      <c r="M16" s="48">
        <f>SUM(M4:M15)</f>
        <v/>
      </c>
      <c r="N16" s="41">
        <f>SUM(N4:N15)</f>
        <v/>
      </c>
      <c r="O16" s="41">
        <f>SUM(O4:O15)</f>
        <v/>
      </c>
      <c r="P16" s="41">
        <f>SUM(P4:P15)</f>
        <v/>
      </c>
      <c r="Q16" s="41">
        <f>SUM(Q4:Q15)</f>
        <v/>
      </c>
      <c r="R16" s="41">
        <f>SUM(R4:R15)</f>
        <v/>
      </c>
      <c r="S16" s="41">
        <f>SUM(S4:S15)</f>
        <v/>
      </c>
      <c r="T16" s="41">
        <f>SUM(T4:T15)</f>
        <v/>
      </c>
      <c r="U16" s="41">
        <f>SUM(U4:U15)</f>
        <v/>
      </c>
      <c r="V16" s="41">
        <f>SUM(V4:V15)</f>
        <v/>
      </c>
      <c r="W16" s="49">
        <f>IFERROR(T16/K16,0)</f>
        <v/>
      </c>
      <c r="X16" s="50">
        <f>IFERROR(K16/F16,0)</f>
        <v/>
      </c>
    </row>
  </sheetData>
  <mergeCells count="2">
    <mergeCell ref="A2:X2"/>
    <mergeCell ref="A1:X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2" ht="26" customHeight="1">
      <c r="B2" s="1" t="inlineStr">
        <is>
          <t>Compte de résultat — Groupe (Budget N+1 vs Réalisé N-1)</t>
        </is>
      </c>
    </row>
    <row r="3">
      <c r="B3" s="20" t="inlineStr">
        <is>
          <t>Scénario actif :</t>
        </is>
      </c>
      <c r="C3" s="51">
        <f>'02_Parametres'!C3</f>
        <v/>
      </c>
    </row>
    <row r="5">
      <c r="B5" s="15" t="inlineStr">
        <is>
          <t>Rubrique</t>
        </is>
      </c>
      <c r="C5" s="15" t="inlineStr">
        <is>
          <t>Réalisé N-1</t>
        </is>
      </c>
      <c r="D5" s="15" t="inlineStr">
        <is>
          <t>Budget N+1</t>
        </is>
      </c>
      <c r="E5" s="15" t="inlineStr">
        <is>
          <t>Écart €</t>
        </is>
      </c>
      <c r="F5" s="15" t="inlineStr">
        <is>
          <t>Écart %</t>
        </is>
      </c>
    </row>
    <row r="6">
      <c r="B6" s="9" t="inlineStr">
        <is>
          <t>Effectifs (nb)</t>
        </is>
      </c>
      <c r="C6" s="52">
        <f>'04_Historique'!D16</f>
        <v/>
      </c>
      <c r="D6" s="52">
        <f>'05_Moteur'!F16</f>
        <v/>
      </c>
      <c r="E6" s="53">
        <f>D6-C6</f>
        <v/>
      </c>
      <c r="F6" s="54">
        <f>IFERROR(D6/C6-1,0)</f>
        <v/>
      </c>
    </row>
    <row r="7">
      <c r="B7" s="6" t="inlineStr">
        <is>
          <t>Chiffre d'affaires</t>
        </is>
      </c>
      <c r="C7" s="55">
        <f>'04_Historique'!J16</f>
        <v/>
      </c>
      <c r="D7" s="55">
        <f>'05_Moteur'!K16</f>
        <v/>
      </c>
      <c r="E7" s="55">
        <f>D7-C7</f>
        <v/>
      </c>
      <c r="F7" s="56">
        <f>IFERROR(D7/C7-1,0)</f>
        <v/>
      </c>
    </row>
    <row r="8">
      <c r="B8" s="9" t="inlineStr">
        <is>
          <t xml:space="preserve">  Masse salariale</t>
        </is>
      </c>
      <c r="C8" s="57">
        <f>-'04_Historique'!K16</f>
        <v/>
      </c>
      <c r="D8" s="57">
        <f>-'05_Moteur'!P16</f>
        <v/>
      </c>
      <c r="E8" s="58">
        <f>D8-C8</f>
        <v/>
      </c>
      <c r="F8" s="54">
        <f>IFERROR(D8/C8-1,0)</f>
        <v/>
      </c>
    </row>
    <row r="9">
      <c r="B9" s="9" t="inlineStr">
        <is>
          <t xml:space="preserve">  Loyers</t>
        </is>
      </c>
      <c r="C9" s="57">
        <f>-'04_Historique'!H16</f>
        <v/>
      </c>
      <c r="D9" s="57">
        <f>-'05_Moteur'!Q16</f>
        <v/>
      </c>
      <c r="E9" s="58">
        <f>D9-C9</f>
        <v/>
      </c>
      <c r="F9" s="54">
        <f>IFERROR(D9/C9-1,0)</f>
        <v/>
      </c>
    </row>
    <row r="10">
      <c r="B10" s="9" t="inlineStr">
        <is>
          <t xml:space="preserve">  Marketing</t>
        </is>
      </c>
      <c r="C10" s="57">
        <f>-'04_Historique'!L16</f>
        <v/>
      </c>
      <c r="D10" s="57">
        <f>-'05_Moteur'!R16</f>
        <v/>
      </c>
      <c r="E10" s="58">
        <f>D10-C10</f>
        <v/>
      </c>
      <c r="F10" s="54">
        <f>IFERROR(D10/C10-1,0)</f>
        <v/>
      </c>
    </row>
    <row r="11">
      <c r="B11" s="9" t="inlineStr">
        <is>
          <t xml:space="preserve">  Autres charges</t>
        </is>
      </c>
      <c r="C11" s="57">
        <f>-'04_Historique'!M16</f>
        <v/>
      </c>
      <c r="D11" s="57">
        <f>-'05_Moteur'!S16</f>
        <v/>
      </c>
      <c r="E11" s="58">
        <f>D11-C11</f>
        <v/>
      </c>
      <c r="F11" s="54">
        <f>IFERROR(D11/C11-1,0)</f>
        <v/>
      </c>
    </row>
    <row r="12">
      <c r="B12" s="6" t="inlineStr">
        <is>
          <t>EBITDA</t>
        </is>
      </c>
      <c r="C12" s="55">
        <f>'04_Historique'!N16</f>
        <v/>
      </c>
      <c r="D12" s="55">
        <f>'05_Moteur'!T16</f>
        <v/>
      </c>
      <c r="E12" s="55">
        <f>D12-C12</f>
        <v/>
      </c>
      <c r="F12" s="56">
        <f>IFERROR(D12/C12-1,0)</f>
        <v/>
      </c>
    </row>
    <row r="13">
      <c r="B13" s="9" t="inlineStr">
        <is>
          <t xml:space="preserve">  Marge EBITDA %</t>
        </is>
      </c>
      <c r="C13" s="59">
        <f>IFERROR('04_Historique'!N16/'04_Historique'!J16,0)</f>
        <v/>
      </c>
      <c r="D13" s="59">
        <f>IFERROR('05_Moteur'!T16/'05_Moteur'!K16,0)</f>
        <v/>
      </c>
      <c r="E13" s="54">
        <f>D13-C13</f>
        <v/>
      </c>
      <c r="F13" s="31" t="inlineStr">
        <is>
          <t> </t>
        </is>
      </c>
    </row>
    <row r="14">
      <c r="B14" s="9" t="inlineStr">
        <is>
          <t xml:space="preserve">  D&amp;A</t>
        </is>
      </c>
      <c r="C14" s="57">
        <f>-'04_Historique'!I16</f>
        <v/>
      </c>
      <c r="D14" s="57">
        <f>-'05_Moteur'!U16</f>
        <v/>
      </c>
      <c r="E14" s="58">
        <f>D14-C14</f>
        <v/>
      </c>
      <c r="F14" s="54">
        <f>IFERROR(D14/C14-1,0)</f>
        <v/>
      </c>
    </row>
    <row r="15">
      <c r="B15" s="6" t="inlineStr">
        <is>
          <t>EBIT</t>
        </is>
      </c>
      <c r="C15" s="55">
        <f>'04_Historique'!N16-'04_Historique'!I16</f>
        <v/>
      </c>
      <c r="D15" s="55">
        <f>'05_Moteur'!V16</f>
        <v/>
      </c>
      <c r="E15" s="55">
        <f>D15-C15</f>
        <v/>
      </c>
      <c r="F15" s="56">
        <f>IFERROR(D15/C15-1,0)</f>
        <v/>
      </c>
    </row>
    <row r="17" ht="20" customHeight="1">
      <c r="B17" s="3" t="inlineStr">
        <is>
          <t>Synthèse par marque / école</t>
        </is>
      </c>
      <c r="C17" s="4" t="n"/>
      <c r="D17" s="4" t="n"/>
      <c r="E17" s="4" t="n"/>
      <c r="F17" s="4" t="n"/>
    </row>
    <row r="18">
      <c r="B18" s="15" t="inlineStr">
        <is>
          <t>Marque / École</t>
        </is>
      </c>
      <c r="C18" s="15" t="inlineStr">
        <is>
          <t>CA Budget</t>
        </is>
      </c>
      <c r="D18" s="15" t="inlineStr">
        <is>
          <t>EBITDA Budget</t>
        </is>
      </c>
      <c r="E18" s="15" t="inlineStr">
        <is>
          <t>Marge EBITDA %</t>
        </is>
      </c>
      <c r="F18" s="15" t="inlineStr">
        <is>
          <t>Δ CA vs N-1</t>
        </is>
      </c>
    </row>
    <row r="19">
      <c r="B19" s="9" t="inlineStr">
        <is>
          <t>MyDigitalSchool</t>
        </is>
      </c>
      <c r="C19" s="45">
        <f>SUMIF('05_Moteur'!$B$4:$B$15,"MyDigitalSchool",'05_Moteur'!$K$4:$K$15)</f>
        <v/>
      </c>
      <c r="D19" s="45">
        <f>SUMIF('05_Moteur'!$B$4:$B$15,"MyDigitalSchool",'05_Moteur'!$T$4:$T$15)</f>
        <v/>
      </c>
      <c r="E19" s="60">
        <f>IFERROR(D19/C19,0)</f>
        <v/>
      </c>
      <c r="F19" s="60">
        <f>IFERROR(C19/SUMIF('04_Historique'!$B$4:$B$15,"MyDigitalSchool",'04_Historique'!$J$4:$J$15)-1,0)</f>
        <v/>
      </c>
    </row>
    <row r="20">
      <c r="B20" s="9" t="inlineStr">
        <is>
          <t>Win Sport School</t>
        </is>
      </c>
      <c r="C20" s="45">
        <f>SUMIF('05_Moteur'!$B$4:$B$15,"Win Sport School",'05_Moteur'!$K$4:$K$15)</f>
        <v/>
      </c>
      <c r="D20" s="45">
        <f>SUMIF('05_Moteur'!$B$4:$B$15,"Win Sport School",'05_Moteur'!$T$4:$T$15)</f>
        <v/>
      </c>
      <c r="E20" s="60">
        <f>IFERROR(D20/C20,0)</f>
        <v/>
      </c>
      <c r="F20" s="60">
        <f>IFERROR(C20/SUMIF('04_Historique'!$B$4:$B$15,"Win Sport School",'04_Historique'!$J$4:$J$15)-1,0)</f>
        <v/>
      </c>
    </row>
    <row r="21">
      <c r="B21" s="9" t="inlineStr">
        <is>
          <t>IHECF</t>
        </is>
      </c>
      <c r="C21" s="45">
        <f>SUMIF('05_Moteur'!$B$4:$B$15,"IHECF",'05_Moteur'!$K$4:$K$15)</f>
        <v/>
      </c>
      <c r="D21" s="45">
        <f>SUMIF('05_Moteur'!$B$4:$B$15,"IHECF",'05_Moteur'!$T$4:$T$15)</f>
        <v/>
      </c>
      <c r="E21" s="60">
        <f>IFERROR(D21/C21,0)</f>
        <v/>
      </c>
      <c r="F21" s="60">
        <f>IFERROR(C21/SUMIF('04_Historique'!$B$4:$B$15,"IHECF",'04_Historique'!$J$4:$J$15)-1,0)</f>
        <v/>
      </c>
    </row>
    <row r="22">
      <c r="B22" s="9" t="inlineStr">
        <is>
          <t>MODART International</t>
        </is>
      </c>
      <c r="C22" s="45">
        <f>SUMIF('05_Moteur'!$B$4:$B$15,"MODART International",'05_Moteur'!$K$4:$K$15)</f>
        <v/>
      </c>
      <c r="D22" s="45">
        <f>SUMIF('05_Moteur'!$B$4:$B$15,"MODART International",'05_Moteur'!$T$4:$T$15)</f>
        <v/>
      </c>
      <c r="E22" s="60">
        <f>IFERROR(D22/C22,0)</f>
        <v/>
      </c>
      <c r="F22" s="60">
        <f>IFERROR(C22/SUMIF('04_Historique'!$B$4:$B$15,"MODART International",'04_Historique'!$J$4:$J$15)-1,0)</f>
        <v/>
      </c>
    </row>
    <row r="23">
      <c r="B23" s="9" t="inlineStr">
        <is>
          <t>ESIS</t>
        </is>
      </c>
      <c r="C23" s="45">
        <f>SUMIF('05_Moteur'!$B$4:$B$15,"ESIS",'05_Moteur'!$K$4:$K$15)</f>
        <v/>
      </c>
      <c r="D23" s="45">
        <f>SUMIF('05_Moteur'!$B$4:$B$15,"ESIS",'05_Moteur'!$T$4:$T$15)</f>
        <v/>
      </c>
      <c r="E23" s="60">
        <f>IFERROR(D23/C23,0)</f>
        <v/>
      </c>
      <c r="F23" s="60">
        <f>IFERROR(C23/SUMIF('04_Historique'!$B$4:$B$15,"ESIS",'04_Historique'!$J$4:$J$15)-1,0)</f>
        <v/>
      </c>
    </row>
    <row r="24">
      <c r="B24" s="38" t="inlineStr">
        <is>
          <t>TOTAL</t>
        </is>
      </c>
      <c r="C24" s="41">
        <f>SUM(C19:C23)</f>
        <v/>
      </c>
      <c r="D24" s="41">
        <f>SUM(D19:D23)</f>
        <v/>
      </c>
      <c r="E24" s="61">
        <f>IFERROR(D24/C24,0)</f>
        <v/>
      </c>
      <c r="F24" s="39" t="inlineStr">
        <is>
          <t> </t>
        </is>
      </c>
    </row>
  </sheetData>
  <mergeCells count="2">
    <mergeCell ref="B2:F2"/>
    <mergeCell ref="B17:F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8" customWidth="1" min="4" max="4"/>
    <col width="16" customWidth="1" min="5" max="5"/>
    <col width="16" customWidth="1" min="6" max="6"/>
  </cols>
  <sheetData>
    <row r="2" ht="26" customHeight="1">
      <c r="B2" s="1" t="inlineStr">
        <is>
          <t>Tableau de bord — Simulation budgétaire</t>
        </is>
      </c>
    </row>
    <row r="3">
      <c r="B3" s="2" t="inlineStr">
        <is>
          <t>Change le scénario en 02_Parametres!C3 et tous les indicateurs ci-dessous se recalculent.</t>
        </is>
      </c>
    </row>
    <row r="4">
      <c r="B4" s="20" t="inlineStr">
        <is>
          <t>Scénario actif :</t>
        </is>
      </c>
      <c r="C4" s="62">
        <f>'02_Parametres'!C3</f>
        <v/>
      </c>
    </row>
    <row r="6" ht="20" customHeight="1">
      <c r="B6" s="3" t="inlineStr">
        <is>
          <t>Indicateurs clés — Budget N+1</t>
        </is>
      </c>
      <c r="C6" s="4" t="n"/>
      <c r="D6" s="4" t="n"/>
      <c r="E6" s="4" t="n"/>
      <c r="F6" s="4" t="n"/>
    </row>
    <row r="7">
      <c r="B7" s="14" t="inlineStr">
        <is>
          <t>Indicateur</t>
        </is>
      </c>
      <c r="C7" s="15" t="inlineStr">
        <is>
          <t>Budget N+1</t>
        </is>
      </c>
      <c r="D7" s="15" t="inlineStr">
        <is>
          <t>Réalisé N-1</t>
        </is>
      </c>
      <c r="E7" s="15" t="inlineStr">
        <is>
          <t>Évolution</t>
        </is>
      </c>
    </row>
    <row r="8">
      <c r="B8" s="63" t="inlineStr">
        <is>
          <t>Effectif total (nb)</t>
        </is>
      </c>
      <c r="C8" s="43">
        <f>'05_Moteur'!F16</f>
        <v/>
      </c>
      <c r="D8" s="64">
        <f>'04_Historique'!D16</f>
        <v/>
      </c>
      <c r="E8" s="47">
        <f>IFERROR('05_Moteur'!F16/'04_Historique'!D16-1,0)</f>
        <v/>
      </c>
    </row>
    <row r="9">
      <c r="B9" s="63" t="inlineStr">
        <is>
          <t>Chiffre d'affaires</t>
        </is>
      </c>
      <c r="C9" s="44">
        <f>'05_Moteur'!K16</f>
        <v/>
      </c>
      <c r="D9" s="19">
        <f>'04_Historique'!J16</f>
        <v/>
      </c>
      <c r="E9" s="47">
        <f>IFERROR('05_Moteur'!K16/'04_Historique'!J16-1,0)</f>
        <v/>
      </c>
    </row>
    <row r="10">
      <c r="B10" s="63" t="inlineStr">
        <is>
          <t>EBITDA</t>
        </is>
      </c>
      <c r="C10" s="44">
        <f>'05_Moteur'!T16</f>
        <v/>
      </c>
      <c r="D10" s="19">
        <f>'04_Historique'!N16</f>
        <v/>
      </c>
      <c r="E10" s="47">
        <f>IFERROR('05_Moteur'!T16/'04_Historique'!N16-1,0)</f>
        <v/>
      </c>
    </row>
    <row r="11">
      <c r="B11" s="63" t="inlineStr">
        <is>
          <t>Marge EBITDA %</t>
        </is>
      </c>
      <c r="C11" s="47">
        <f>IFERROR('05_Moteur'!T16/'05_Moteur'!K16,0)</f>
        <v/>
      </c>
      <c r="D11" s="16">
        <f>IFERROR('04_Historique'!N16/'04_Historique'!J16,0)</f>
        <v/>
      </c>
      <c r="E11" s="47">
        <f>IFERROR(C11/D11-1,0)</f>
        <v/>
      </c>
    </row>
    <row r="12">
      <c r="B12" s="63" t="inlineStr">
        <is>
          <t>EBIT</t>
        </is>
      </c>
      <c r="C12" s="44">
        <f>'05_Moteur'!V16</f>
        <v/>
      </c>
      <c r="D12" s="19">
        <f>'04_Historique'!N16-'04_Historique'!I16</f>
        <v/>
      </c>
      <c r="E12" s="47">
        <f>IFERROR(C12/D12-1,0)</f>
        <v/>
      </c>
    </row>
    <row r="13">
      <c r="B13" s="63" t="inlineStr">
        <is>
          <t>CA / étudiant</t>
        </is>
      </c>
      <c r="C13" s="44">
        <f>IFERROR('05_Moteur'!K16/'05_Moteur'!F16,0)</f>
        <v/>
      </c>
      <c r="D13" s="19">
        <f>IFERROR('04_Historique'!J16/'04_Historique'!D16,0)</f>
        <v/>
      </c>
      <c r="E13" s="47">
        <f>IFERROR(C13/D13-1,0)</f>
        <v/>
      </c>
    </row>
    <row r="15" ht="20" customHeight="1">
      <c r="B15" s="3" t="inlineStr">
        <is>
          <t>Comparatif des scénarios (rappel des hypothèses)</t>
        </is>
      </c>
      <c r="C15" s="4" t="n"/>
      <c r="D15" s="4" t="n"/>
      <c r="E15" s="4" t="n"/>
      <c r="F15" s="4" t="n"/>
    </row>
    <row r="16">
      <c r="B16" s="14" t="inlineStr">
        <is>
          <t>Levier</t>
        </is>
      </c>
      <c r="C16" s="15" t="inlineStr">
        <is>
          <t>Cadrage</t>
        </is>
      </c>
      <c r="D16" s="15" t="inlineStr">
        <is>
          <t>Optimiste</t>
        </is>
      </c>
      <c r="E16" s="15" t="inlineStr">
        <is>
          <t>Prudent</t>
        </is>
      </c>
      <c r="F16" s="22" t="inlineStr">
        <is>
          <t>Actif</t>
        </is>
      </c>
    </row>
    <row r="17">
      <c r="B17" s="9" t="inlineStr">
        <is>
          <t>Réinscription</t>
        </is>
      </c>
      <c r="C17" s="16">
        <f>'02_Parametres'!D6</f>
        <v/>
      </c>
      <c r="D17" s="16">
        <f>'02_Parametres'!E6</f>
        <v/>
      </c>
      <c r="E17" s="16">
        <f>'02_Parametres'!F6</f>
        <v/>
      </c>
      <c r="F17" s="65">
        <f>'02_Parametres'!G6</f>
        <v/>
      </c>
    </row>
    <row r="18">
      <c r="B18" s="9" t="inlineStr">
        <is>
          <t>Croissance recrut.</t>
        </is>
      </c>
      <c r="C18" s="16">
        <f>'02_Parametres'!D7</f>
        <v/>
      </c>
      <c r="D18" s="16">
        <f>'02_Parametres'!E7</f>
        <v/>
      </c>
      <c r="E18" s="16">
        <f>'02_Parametres'!F7</f>
        <v/>
      </c>
      <c r="F18" s="65">
        <f>'02_Parametres'!G7</f>
        <v/>
      </c>
    </row>
    <row r="19">
      <c r="B19" s="9" t="inlineStr">
        <is>
          <t>Hausse tarifaire</t>
        </is>
      </c>
      <c r="C19" s="16">
        <f>'02_Parametres'!D8</f>
        <v/>
      </c>
      <c r="D19" s="16">
        <f>'02_Parametres'!E8</f>
        <v/>
      </c>
      <c r="E19" s="16">
        <f>'02_Parametres'!F8</f>
        <v/>
      </c>
      <c r="F19" s="65">
        <f>'02_Parametres'!G8</f>
        <v/>
      </c>
    </row>
    <row r="20">
      <c r="B20" s="9" t="inlineStr">
        <is>
          <t>Ratio encadrement</t>
        </is>
      </c>
      <c r="C20" s="18">
        <f>'02_Parametres'!D9</f>
        <v/>
      </c>
      <c r="D20" s="18">
        <f>'02_Parametres'!E9</f>
        <v/>
      </c>
      <c r="E20" s="18">
        <f>'02_Parametres'!F9</f>
        <v/>
      </c>
      <c r="F20" s="66">
        <f>'02_Parametres'!G9</f>
        <v/>
      </c>
    </row>
    <row r="21">
      <c r="B21" s="9" t="inlineStr">
        <is>
          <t>Politique salariale</t>
        </is>
      </c>
      <c r="C21" s="16">
        <f>'02_Parametres'!D10</f>
        <v/>
      </c>
      <c r="D21" s="16">
        <f>'02_Parametres'!E10</f>
        <v/>
      </c>
      <c r="E21" s="16">
        <f>'02_Parametres'!F10</f>
        <v/>
      </c>
      <c r="F21" s="65">
        <f>'02_Parametres'!G10</f>
        <v/>
      </c>
    </row>
    <row r="22">
      <c r="B22" s="9" t="inlineStr">
        <is>
          <t>Inflation charges</t>
        </is>
      </c>
      <c r="C22" s="16">
        <f>'02_Parametres'!D11</f>
        <v/>
      </c>
      <c r="D22" s="16">
        <f>'02_Parametres'!E11</f>
        <v/>
      </c>
      <c r="E22" s="16">
        <f>'02_Parametres'!F11</f>
        <v/>
      </c>
      <c r="F22" s="65">
        <f>'02_Parametres'!G11</f>
        <v/>
      </c>
    </row>
    <row r="23">
      <c r="B23" s="9" t="inlineStr">
        <is>
          <t>CAC (€)</t>
        </is>
      </c>
      <c r="C23" s="19">
        <f>'02_Parametres'!D12</f>
        <v/>
      </c>
      <c r="D23" s="19">
        <f>'02_Parametres'!E12</f>
        <v/>
      </c>
      <c r="E23" s="19">
        <f>'02_Parametres'!F12</f>
        <v/>
      </c>
      <c r="F23" s="67">
        <f>'02_Parametres'!G12</f>
        <v/>
      </c>
    </row>
  </sheetData>
  <mergeCells count="4">
    <mergeCell ref="B2:F2"/>
    <mergeCell ref="B6:F6"/>
    <mergeCell ref="B15:F15"/>
    <mergeCell ref="B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0" customWidth="1" min="3" max="3"/>
    <col width="50" customWidth="1" min="4" max="4"/>
  </cols>
  <sheetData>
    <row r="2" ht="26" customHeight="1">
      <c r="B2" s="1" t="inlineStr">
        <is>
          <t>Passerelle vers CCH Tagetik</t>
        </is>
      </c>
    </row>
    <row r="3">
      <c r="B3" s="2" t="inlineStr">
        <is>
          <t>Correspondance entre le modèle Excel et les objets Tagetik pour l'implémentation.</t>
        </is>
      </c>
    </row>
    <row r="5" ht="20" customHeight="1">
      <c r="B5" s="3" t="inlineStr">
        <is>
          <t>Dimensions</t>
        </is>
      </c>
      <c r="C5" s="4" t="n"/>
      <c r="D5" s="4" t="n"/>
    </row>
    <row r="6">
      <c r="B6" s="15" t="inlineStr">
        <is>
          <t>Concept du modèle</t>
        </is>
      </c>
      <c r="C6" s="15" t="inlineStr">
        <is>
          <t>Dimension Tagetik</t>
        </is>
      </c>
      <c r="D6" s="15" t="inlineStr">
        <is>
          <t>Détail / valeurs</t>
        </is>
      </c>
    </row>
    <row r="7" ht="32" customHeight="1">
      <c r="B7" s="68" t="inlineStr">
        <is>
          <t>Campus</t>
        </is>
      </c>
      <c r="C7" s="7" t="inlineStr">
        <is>
          <t>Entity</t>
        </is>
      </c>
      <c r="D7" s="7" t="inlineStr">
        <is>
          <t>GRP-EDU → marques → campus (voir 03_Referentiel). Hiérarchie de consolidation.</t>
        </is>
      </c>
    </row>
    <row r="8" ht="32" customHeight="1">
      <c r="B8" s="68" t="inlineStr">
        <is>
          <t>Compte P&amp;L</t>
        </is>
      </c>
      <c r="C8" s="7" t="inlineStr">
        <is>
          <t>Account</t>
        </is>
      </c>
      <c r="D8" s="7" t="inlineStr">
        <is>
          <t>Plan de comptes 03_Referentiel (70600, 64000…) rattaché à l'arbre Account.</t>
        </is>
      </c>
    </row>
    <row r="9" ht="32" customHeight="1">
      <c r="B9" s="68" t="inlineStr">
        <is>
          <t>Budget N+1 / Réalisé N-1</t>
        </is>
      </c>
      <c r="C9" s="7" t="inlineStr">
        <is>
          <t>Category</t>
        </is>
      </c>
      <c r="D9" s="7" t="inlineStr">
        <is>
          <t>Category = ACTUAL (N-1) et BUDGET (N+1). Scénarios = versions/Category dédiées.</t>
        </is>
      </c>
    </row>
    <row r="10" ht="32" customHeight="1">
      <c r="B10" s="68" t="inlineStr">
        <is>
          <t>Année budgétaire</t>
        </is>
      </c>
      <c r="C10" s="7" t="inlineStr">
        <is>
          <t>Period / Year</t>
        </is>
      </c>
      <c r="D10" s="7" t="inlineStr">
        <is>
          <t>Budget annuel : Period = FY. Détail mensuel possible via allocation Tagetik.</t>
        </is>
      </c>
    </row>
    <row r="11" ht="32" customHeight="1">
      <c r="B11" s="68" t="inlineStr">
        <is>
          <t>Scénario (Cadrage/Opt/Prudent)</t>
        </is>
      </c>
      <c r="C11" s="7" t="inlineStr">
        <is>
          <t>Category ou Custom dim.</t>
        </is>
      </c>
      <c r="D11" s="7" t="inlineStr">
        <is>
          <t>Un jeu de valeurs par scénario ; en Excel via le sélecteur 02_Parametres!C3.</t>
        </is>
      </c>
    </row>
    <row r="12" ht="32" customHeight="1">
      <c r="B12" s="68" t="inlineStr">
        <is>
          <t>Effectifs, ETP, ratio, CAC</t>
        </is>
      </c>
      <c r="C12" s="7" t="inlineStr">
        <is>
          <t>Comptes techniques / drivers</t>
        </is>
      </c>
      <c r="D12" s="7" t="inlineStr">
        <is>
          <t>Stockés comme comptes non-financiers (statistiques) pour le calcul piloté par inducteurs.</t>
        </is>
      </c>
    </row>
    <row r="14" ht="20" customHeight="1">
      <c r="B14" s="3" t="inlineStr">
        <is>
          <t>Étapes d'implémentation recommandées</t>
        </is>
      </c>
      <c r="C14" s="4" t="n"/>
      <c r="D14" s="4" t="n"/>
    </row>
    <row r="15">
      <c r="B15" s="5" t="inlineStr">
        <is>
          <t>1. Créer/valider les dimensions Entity (campus→marque→groupe) et Account.</t>
        </is>
      </c>
    </row>
    <row r="16">
      <c r="B16" s="5" t="inlineStr">
        <is>
          <t>2. Charger le réalisé N-1 (Category ACTUAL) depuis 04_Historique.</t>
        </is>
      </c>
    </row>
    <row r="17">
      <c r="B17" s="5" t="inlineStr">
        <is>
          <t>3. Traduire les inducteurs (02_Parametres) en formules de calcul / règles Tagetik.</t>
        </is>
      </c>
    </row>
    <row r="18">
      <c r="B18" s="5" t="inlineStr">
        <is>
          <t>4. Rejouer le budget par campus (logique de 05_Moteur) et vérifier vs 06_PnL.</t>
        </is>
      </c>
    </row>
    <row r="19">
      <c r="B19" s="5" t="inlineStr">
        <is>
          <t>5. Décliner les scénarios en versions et automatiser la simulation.</t>
        </is>
      </c>
    </row>
  </sheetData>
  <mergeCells count="9">
    <mergeCell ref="B3:D3"/>
    <mergeCell ref="B5:D5"/>
    <mergeCell ref="B14:D14"/>
    <mergeCell ref="B19:D19"/>
    <mergeCell ref="B16:D16"/>
    <mergeCell ref="B17:D17"/>
    <mergeCell ref="B18:D18"/>
    <mergeCell ref="B15:D15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2026-08-11T22:44:24Z</dcterms:created>
  <dcterms:modified xsi:type="dcterms:W3CDTF">2026-08-11T22:44:24Z</dcterms:modified>
</cp:coreProperties>
</file>