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EBITD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0.0%"/>
    <numFmt numFmtId="166" formatCode="0.00&quot; €&quot;"/>
  </numFmts>
  <fonts count="15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Fira Sans Medium"/>
      <b val="1"/>
      <color rgb="00202733"/>
      <sz val="14"/>
    </font>
    <font>
      <name val="Arial"/>
      <i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b val="1"/>
      <color rgb="00202733"/>
      <sz val="9"/>
    </font>
    <font>
      <name val="Arial"/>
      <color rgb="00202733"/>
      <sz val="9"/>
    </font>
    <font>
      <name val="Arial"/>
      <color rgb="0069778B"/>
      <sz val="8.5"/>
    </font>
    <font>
      <name val="Arial"/>
      <b val="1"/>
      <color rgb="0069778B"/>
      <sz val="8.5"/>
    </font>
    <font>
      <name val="Arial"/>
      <b val="1"/>
      <color rgb="001E9E89"/>
      <sz val="11"/>
    </font>
    <font>
      <name val="Arial"/>
      <b val="1"/>
      <color rgb="00202733"/>
      <sz val="8.5"/>
    </font>
    <font>
      <name val="Arial"/>
      <color rgb="00202733"/>
      <sz val="8.5"/>
    </font>
  </fonts>
  <fills count="8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D9E2EF"/>
      </patternFill>
    </fill>
    <fill>
      <patternFill patternType="solid">
        <fgColor rgb="00FFFFFF"/>
      </patternFill>
    </fill>
    <fill>
      <patternFill patternType="solid">
        <fgColor rgb="00EAF2FC"/>
      </patternFill>
    </fill>
  </fills>
  <borders count="5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bottom style="thin">
        <color rgb="00E9EDF3"/>
      </bottom>
    </border>
    <border>
      <top style="medium">
        <color rgb="00526071"/>
      </top>
      <bottom style="medium">
        <color rgb="00526071"/>
      </bottom>
    </border>
    <border>
      <top style="medium">
        <color rgb="00526071"/>
      </top>
      <bottom style="thin">
        <color rgb="00526071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indent="1"/>
    </xf>
    <xf numFmtId="164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indent="1"/>
    </xf>
    <xf numFmtId="164" fontId="9" fillId="6" borderId="2" applyAlignment="1" pivotButton="0" quotePrefix="0" xfId="0">
      <alignment horizontal="right" vertical="center"/>
    </xf>
    <xf numFmtId="165" fontId="10" fillId="6" borderId="2" applyAlignment="1" pivotButton="0" quotePrefix="0" xfId="0">
      <alignment horizontal="right" vertical="center"/>
    </xf>
    <xf numFmtId="0" fontId="11" fillId="7" borderId="3" applyAlignment="1" pivotButton="0" quotePrefix="0" xfId="0">
      <alignment horizontal="left" vertical="center" indent="1"/>
    </xf>
    <xf numFmtId="166" fontId="12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13" fillId="5" borderId="4" applyAlignment="1" pivotButton="0" quotePrefix="0" xfId="0">
      <alignment horizontal="left" vertical="center" indent="1"/>
    </xf>
    <xf numFmtId="3" fontId="13" fillId="5" borderId="4" applyAlignment="1" pivotButton="0" quotePrefix="0" xfId="0">
      <alignment horizontal="right" vertical="center"/>
    </xf>
    <xf numFmtId="4" fontId="10" fillId="5" borderId="4" applyAlignment="1" pivotButton="0" quotePrefix="0" xfId="0">
      <alignment horizontal="center" vertical="center"/>
    </xf>
    <xf numFmtId="4" fontId="13" fillId="5" borderId="4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center" indent="1"/>
    </xf>
    <xf numFmtId="3" fontId="14" fillId="2" borderId="0" applyAlignment="1" pivotButton="0" quotePrefix="0" xfId="0">
      <alignment horizontal="right" vertical="center"/>
    </xf>
    <xf numFmtId="4" fontId="14" fillId="2" borderId="0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font>
        <name val="Arial"/>
        <color rgb="001E9E89"/>
        <sz val="9"/>
      </font>
    </dxf>
    <dxf>
      <font>
        <name val="Arial"/>
        <color rgb="00D64545"/>
        <sz val="9"/>
      </font>
    </dxf>
    <dxf>
      <fill>
        <patternFill>
          <bgColor rgb="00FFFFFF"/>
        </patternFill>
      </fill>
      <border>
        <bottom style="thin">
          <color rgb="00E9EDF3"/>
        </bottom>
      </border>
    </dxf>
    <dxf>
      <fill>
        <patternFill>
          <bgColor rgb="00FFF1E8"/>
        </patternFill>
      </fill>
      <border>
        <bottom style="thin">
          <color rgb="00E9EDF3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stacked"/>
        <ser>
          <idx val="0"/>
          <order val="0"/>
          <spPr>
            <a:noFill/>
            <a:ln>
              <a:prstDash val="solid"/>
            </a:ln>
          </spPr>
          <cat>
            <strRef>
              <f>'Drill EBITDA'!$Y$29:$Y$35</f>
            </strRef>
          </cat>
          <val>
            <numRef>
              <f>'Drill EBITDA'!$Z$29:$Z$35</f>
            </numRef>
          </val>
        </ser>
        <ser>
          <idx val="1"/>
          <order val="1"/>
          <spPr>
            <a:solidFill>
              <a:srgbClr val="526071"/>
            </a:solidFill>
            <a:ln>
              <a:noFill/>
              <a:prstDash val="solid"/>
            </a:ln>
          </spPr>
          <cat>
            <strRef>
              <f>'Drill EBITDA'!$Y$29:$Y$35</f>
            </strRef>
          </cat>
          <val>
            <numRef>
              <f>'Drill EBITDA'!$AA$29:$AA$35</f>
            </numRef>
          </val>
        </ser>
        <ser>
          <idx val="2"/>
          <order val="2"/>
          <spPr>
            <a:solidFill>
              <a:srgbClr val="1E9E89"/>
            </a:solidFill>
            <a:ln>
              <a:noFill/>
              <a:prstDash val="solid"/>
            </a:ln>
          </spPr>
          <cat>
            <strRef>
              <f>'Drill EBITDA'!$Y$29:$Y$35</f>
            </strRef>
          </cat>
          <val>
            <numRef>
              <f>'Drill EBITDA'!$AB$29:$AB$35</f>
            </numRef>
          </val>
        </ser>
        <ser>
          <idx val="3"/>
          <order val="3"/>
          <spPr>
            <a:solidFill>
              <a:srgbClr val="D64545"/>
            </a:solidFill>
            <a:ln>
              <a:noFill/>
              <a:prstDash val="solid"/>
            </a:ln>
          </spPr>
          <cat>
            <strRef>
              <f>'Drill EBITDA'!$Y$29:$Y$35</f>
            </strRef>
          </cat>
          <val>
            <numRef>
              <f>'Drill EBITDA'!$AC$29:$AC$35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864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11" customWidth="1" min="3" max="3"/>
    <col width="11" customWidth="1" min="4" max="4"/>
    <col width="12" customWidth="1" min="5" max="5"/>
    <col width="13" customWidth="1" min="6" max="6"/>
    <col width="13" customWidth="1" min="7" max="7"/>
    <col width="15" customWidth="1" min="8" max="8"/>
    <col width="15" customWidth="1" min="9" max="9"/>
    <col width="19" customWidth="1" min="10" max="10"/>
    <col width="14" customWidth="1" min="11" max="11"/>
    <col width="14" customWidth="1" min="12" max="12"/>
    <col width="12" customWidth="1" min="13" max="13"/>
    <col width="12" customWidth="1" min="14" max="14"/>
    <col width="13" customWidth="1" min="15" max="15"/>
    <col width="13" customWidth="1" min="16" max="16"/>
    <col width="3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26" customHeight="1">
      <c r="A2" s="1" t="n"/>
      <c r="B2" s="2" t="inlineStr">
        <is>
          <t>POURQUOI L'EBITDA A BOUGÉ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 ht="15" customHeight="1">
      <c r="A3" s="1" t="n"/>
      <c r="B3" s="3" t="inlineStr">
        <is>
          <t>drill sur la cellule cliquée · 2026 contre 2025 · V_ALLOCATION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 ht="10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</row>
    <row r="5" ht="24" customHeight="1">
      <c r="A5" s="4" t="n"/>
      <c r="B5" s="5">
        <f>"L'EBITDA passe de "&amp;TEXT(C29,"#,##0 €")&amp;" à "&amp;TEXT(C35,"#,##0 €")&amp;", soit "&amp;TEXT(C35-C29,"+#,##0 €;-#,##0 €")&amp;"  ("&amp;TEXT(C35/C29-1,"+0.0%;-0.0%")&amp;")"</f>
        <v/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</row>
    <row r="6" ht="14" customHeight="1">
      <c r="A6" s="4" t="n"/>
      <c r="B6" s="6" t="inlineStr">
        <is>
          <t>le pont ci-dessous décompose cette variation en cinq causes, sans reste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 ht="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</row>
    <row r="8" ht="15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</row>
    <row r="9" ht="15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</row>
    <row r="10" ht="15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</row>
    <row r="11" ht="15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</row>
    <row r="12" ht="15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</row>
    <row r="13" ht="15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</row>
    <row r="14" ht="15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</row>
    <row r="15" ht="15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</row>
    <row r="16" ht="15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</row>
    <row r="17" ht="15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</row>
    <row r="18" ht="15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</row>
    <row r="19" ht="15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</row>
    <row r="20" ht="15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</row>
    <row r="22" ht="15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</row>
    <row r="23" ht="15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</row>
    <row r="24" ht="15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</row>
    <row r="25" ht="15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</row>
    <row r="26" ht="15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</row>
    <row r="27">
      <c r="A27" s="4" t="n"/>
      <c r="B27" s="7" t="inlineStr">
        <is>
          <t>LE PONT, CHIFFRE PAR CHIFFRE</t>
        </is>
      </c>
      <c r="C27" s="4" t="n"/>
      <c r="D27" s="8" t="inlineStr">
        <is>
          <t xml:space="preserve">la légende du graphe  </t>
        </is>
      </c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</row>
    <row r="28" ht="20" customHeight="1">
      <c r="A28" s="4" t="n"/>
      <c r="B28" s="9" t="inlineStr">
        <is>
          <t>Effet</t>
        </is>
      </c>
      <c r="C28" s="10" t="inlineStr">
        <is>
          <t>Montant</t>
        </is>
      </c>
      <c r="D28" s="10" t="inlineStr">
        <is>
          <t>Part de la variation</t>
        </is>
      </c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</row>
    <row r="29">
      <c r="A29" s="4" t="n"/>
      <c r="B29" s="11" t="inlineStr">
        <is>
          <t>EBITDA 2025</t>
        </is>
      </c>
      <c r="C29" s="12">
        <f>SUM(O44:O73)</f>
        <v/>
      </c>
      <c r="D29" s="13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Y29" t="inlineStr">
        <is>
          <t>EBITDA 2025</t>
        </is>
      </c>
      <c r="Z29" t="n">
        <v>0</v>
      </c>
      <c r="AA29">
        <f>C29</f>
        <v/>
      </c>
      <c r="AB29" t="n">
        <v>0</v>
      </c>
      <c r="AC29" t="n">
        <v>0</v>
      </c>
    </row>
    <row r="30">
      <c r="A30" s="4" t="n"/>
      <c r="B30" s="14" t="inlineStr">
        <is>
          <t>Effet effectifs</t>
        </is>
      </c>
      <c r="C30" s="15">
        <f>S43</f>
        <v/>
      </c>
      <c r="D30" s="16">
        <f>IFERROR(C30/(C35-C29),"")</f>
        <v/>
      </c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Y30" t="inlineStr">
        <is>
          <t>Effet effectifs</t>
        </is>
      </c>
      <c r="Z30">
        <f>MIN(C29,C29+SUM(C30:C30))</f>
        <v/>
      </c>
      <c r="AA30" t="n">
        <v>0</v>
      </c>
      <c r="AB30">
        <f>MAX(C30,0)</f>
        <v/>
      </c>
      <c r="AC30">
        <f>MAX(-C30,0)</f>
        <v/>
      </c>
    </row>
    <row r="31">
      <c r="A31" s="4" t="n"/>
      <c r="B31" s="14" t="inlineStr">
        <is>
          <t>Effet prix et mix</t>
        </is>
      </c>
      <c r="C31" s="15">
        <f>T43</f>
        <v/>
      </c>
      <c r="D31" s="16">
        <f>IFERROR(C31/(C35-C29),"")</f>
        <v/>
      </c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Y31" t="inlineStr">
        <is>
          <t>Effet prix et mix</t>
        </is>
      </c>
      <c r="Z31">
        <f>MIN(C29+SUM(C30:C30),C29+SUM(C30:C31))</f>
        <v/>
      </c>
      <c r="AA31" t="n">
        <v>0</v>
      </c>
      <c r="AB31">
        <f>MAX(C31,0)</f>
        <v/>
      </c>
      <c r="AC31">
        <f>MAX(-C31,0)</f>
        <v/>
      </c>
    </row>
    <row r="32">
      <c r="A32" s="4" t="n"/>
      <c r="B32" s="14" t="inlineStr">
        <is>
          <t>Effet coût var. unitaire</t>
        </is>
      </c>
      <c r="C32" s="15">
        <f>U43</f>
        <v/>
      </c>
      <c r="D32" s="16">
        <f>IFERROR(C32/(C35-C29),"")</f>
        <v/>
      </c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Y32" t="inlineStr">
        <is>
          <t>Effet coût var. unitaire</t>
        </is>
      </c>
      <c r="Z32">
        <f>MIN(C29+SUM(C30:C31),C29+SUM(C30:C32))</f>
        <v/>
      </c>
      <c r="AA32" t="n">
        <v>0</v>
      </c>
      <c r="AB32">
        <f>MAX(C32,0)</f>
        <v/>
      </c>
      <c r="AC32">
        <f>MAX(-C32,0)</f>
        <v/>
      </c>
    </row>
    <row r="33">
      <c r="A33" s="4" t="n"/>
      <c r="B33" s="14" t="inlineStr">
        <is>
          <t>Effet coûts directs</t>
        </is>
      </c>
      <c r="C33" s="15">
        <f>V43</f>
        <v/>
      </c>
      <c r="D33" s="16">
        <f>IFERROR(C33/(C35-C29),"")</f>
        <v/>
      </c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Y33" t="inlineStr">
        <is>
          <t>Effet coûts directs</t>
        </is>
      </c>
      <c r="Z33">
        <f>MIN(C29+SUM(C30:C32),C29+SUM(C30:C33))</f>
        <v/>
      </c>
      <c r="AA33" t="n">
        <v>0</v>
      </c>
      <c r="AB33">
        <f>MAX(C33,0)</f>
        <v/>
      </c>
      <c r="AC33">
        <f>MAX(-C33,0)</f>
        <v/>
      </c>
    </row>
    <row r="34">
      <c r="A34" s="4" t="n"/>
      <c r="B34" s="14" t="inlineStr">
        <is>
          <t>Effet siège</t>
        </is>
      </c>
      <c r="C34" s="15">
        <f>W43</f>
        <v/>
      </c>
      <c r="D34" s="16">
        <f>IFERROR(C34/(C35-C29),"")</f>
        <v/>
      </c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Y34" t="inlineStr">
        <is>
          <t>Effet siège</t>
        </is>
      </c>
      <c r="Z34">
        <f>MIN(C29+SUM(C30:C33),C29+SUM(C30:C34))</f>
        <v/>
      </c>
      <c r="AA34" t="n">
        <v>0</v>
      </c>
      <c r="AB34">
        <f>MAX(C34,0)</f>
        <v/>
      </c>
      <c r="AC34">
        <f>MAX(-C34,0)</f>
        <v/>
      </c>
    </row>
    <row r="35">
      <c r="A35" s="4" t="n"/>
      <c r="B35" s="11" t="inlineStr">
        <is>
          <t>EBITDA 2026</t>
        </is>
      </c>
      <c r="C35" s="12">
        <f>SUM(P44:P73)</f>
        <v/>
      </c>
      <c r="D35" s="13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Y35" t="inlineStr">
        <is>
          <t>EBITDA 2026</t>
        </is>
      </c>
      <c r="Z35" t="n">
        <v>0</v>
      </c>
      <c r="AA35">
        <f>C35</f>
        <v/>
      </c>
      <c r="AB35" t="n">
        <v>0</v>
      </c>
      <c r="AC35" t="n">
        <v>0</v>
      </c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</row>
    <row r="38">
      <c r="A38" s="4" t="n"/>
      <c r="B38" s="17" t="inlineStr">
        <is>
          <t>Contrôle · les cinq effets moins la variation</t>
        </is>
      </c>
      <c r="C38" s="18">
        <f>SUM(C30:C34)-(C35-C29)</f>
        <v/>
      </c>
      <c r="D38" s="19" t="inlineStr">
        <is>
          <t>doit valoir 0,00 €</t>
        </is>
      </c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</row>
    <row r="41">
      <c r="A41" s="4" t="n"/>
      <c r="B41" s="7" t="inlineStr">
        <is>
          <t>LE DÉTAIL PAR CAMPUS  ·  ce que la requête renvoie</t>
        </is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8" t="inlineStr">
        <is>
          <t xml:space="preserve">une ligne par campus  </t>
        </is>
      </c>
      <c r="Q41" s="4" t="n"/>
      <c r="R41" s="4" t="n"/>
      <c r="S41" s="7" t="inlineStr">
        <is>
          <t>CE QUE LE CLASSEUR CALCULE</t>
        </is>
      </c>
      <c r="T41" s="4" t="n"/>
      <c r="U41" s="4" t="n"/>
      <c r="V41" s="4" t="n"/>
      <c r="W41" s="8" t="inlineStr">
        <is>
          <t xml:space="preserve">une multiplication par effet  </t>
        </is>
      </c>
    </row>
    <row r="42" ht="20" customHeight="1">
      <c r="A42" s="4" t="n"/>
      <c r="B42" s="9" t="inlineStr">
        <is>
          <t>Campus</t>
        </is>
      </c>
      <c r="C42" s="10" t="inlineStr">
        <is>
          <t>Effectifs 2025</t>
        </is>
      </c>
      <c r="D42" s="10" t="inlineStr">
        <is>
          <t>Effectifs 2026</t>
        </is>
      </c>
      <c r="E42" s="10" t="inlineStr">
        <is>
          <t>Élèves gagnés</t>
        </is>
      </c>
      <c r="F42" s="10" t="inlineStr">
        <is>
          <t>CA par élève 2025</t>
        </is>
      </c>
      <c r="G42" s="10" t="inlineStr">
        <is>
          <t>CA par élève 2026</t>
        </is>
      </c>
      <c r="H42" s="10" t="inlineStr">
        <is>
          <t>Coût var. par élève 2025</t>
        </is>
      </c>
      <c r="I42" s="10" t="inlineStr">
        <is>
          <t>Coût var. par élève 2026</t>
        </is>
      </c>
      <c r="J42" s="10" t="inlineStr">
        <is>
          <t>Marge sur coût var. par élève 2025</t>
        </is>
      </c>
      <c r="K42" s="10" t="inlineStr">
        <is>
          <t>Coûts directs 2025</t>
        </is>
      </c>
      <c r="L42" s="10" t="inlineStr">
        <is>
          <t>Coûts directs 2026</t>
        </is>
      </c>
      <c r="M42" s="10" t="inlineStr">
        <is>
          <t>Siège 2025</t>
        </is>
      </c>
      <c r="N42" s="10" t="inlineStr">
        <is>
          <t>Siège 2026</t>
        </is>
      </c>
      <c r="O42" s="10" t="inlineStr">
        <is>
          <t>EBITDA 2025</t>
        </is>
      </c>
      <c r="P42" s="10" t="inlineStr">
        <is>
          <t>EBITDA 2026</t>
        </is>
      </c>
      <c r="Q42" s="4" t="n"/>
      <c r="R42" s="4" t="n"/>
      <c r="S42" s="9" t="inlineStr">
        <is>
          <t>Effet effectifs</t>
        </is>
      </c>
      <c r="T42" s="10" t="inlineStr">
        <is>
          <t>Effet prix et mix</t>
        </is>
      </c>
      <c r="U42" s="10" t="inlineStr">
        <is>
          <t>Effet coût var. unitaire</t>
        </is>
      </c>
      <c r="V42" s="10" t="inlineStr">
        <is>
          <t>Effet coûts directs</t>
        </is>
      </c>
      <c r="W42" s="10" t="inlineStr">
        <is>
          <t>Effet siège</t>
        </is>
      </c>
    </row>
    <row r="43">
      <c r="A43" s="4" t="n"/>
      <c r="B43" s="20" t="inlineStr">
        <is>
          <t>TOTAL du périmètre</t>
        </is>
      </c>
      <c r="C43" s="21">
        <f>SUM(C44:C73)</f>
        <v/>
      </c>
      <c r="D43" s="21">
        <f>SUM(D44:D73)</f>
        <v/>
      </c>
      <c r="E43" s="21">
        <f>SUM(E44:E73)</f>
        <v/>
      </c>
      <c r="F43" s="22" t="inlineStr">
        <is>
          <t>—</t>
        </is>
      </c>
      <c r="G43" s="23" t="n"/>
      <c r="H43" s="23" t="n"/>
      <c r="I43" s="23" t="n"/>
      <c r="J43" s="23" t="n"/>
      <c r="K43" s="21">
        <f>SUM(K44:K73)</f>
        <v/>
      </c>
      <c r="L43" s="21">
        <f>SUM(L44:L73)</f>
        <v/>
      </c>
      <c r="M43" s="21">
        <f>SUM(M44:M73)</f>
        <v/>
      </c>
      <c r="N43" s="21">
        <f>SUM(N44:N73)</f>
        <v/>
      </c>
      <c r="O43" s="21">
        <f>SUM(O44:O73)</f>
        <v/>
      </c>
      <c r="P43" s="21">
        <f>SUM(P44:P73)</f>
        <v/>
      </c>
      <c r="Q43" s="4" t="n"/>
      <c r="R43" s="4" t="n"/>
      <c r="S43" s="21">
        <f>SUM(S44:S73)</f>
        <v/>
      </c>
      <c r="T43" s="21">
        <f>SUM(T44:T73)</f>
        <v/>
      </c>
      <c r="U43" s="21">
        <f>SUM(U44:U73)</f>
        <v/>
      </c>
      <c r="V43" s="21">
        <f>SUM(V44:V73)</f>
        <v/>
      </c>
      <c r="W43" s="21">
        <f>SUM(W44:W73)</f>
        <v/>
      </c>
    </row>
    <row r="44" ht="15.5" customHeight="1">
      <c r="A44" s="4" t="n"/>
      <c r="B44" s="24" t="inlineStr">
        <is>
          <t>ISCOM Lille</t>
        </is>
      </c>
      <c r="C44" s="25" t="n">
        <v>229</v>
      </c>
      <c r="D44" s="25" t="n">
        <v>244</v>
      </c>
      <c r="E44" s="25" t="n">
        <v>15</v>
      </c>
      <c r="F44" s="26" t="n">
        <v>7196.50655</v>
      </c>
      <c r="G44" s="26" t="n">
        <v>7196.106557</v>
      </c>
      <c r="H44" s="26" t="n">
        <v>981.7074239999999</v>
      </c>
      <c r="I44" s="26" t="n">
        <v>970.245902</v>
      </c>
      <c r="J44" s="26" t="n">
        <v>6214.799127</v>
      </c>
      <c r="K44" s="25" t="n">
        <v>901529.53</v>
      </c>
      <c r="L44" s="25" t="n">
        <v>948506.29</v>
      </c>
      <c r="M44" s="25" t="n">
        <v>261958.4339533122</v>
      </c>
      <c r="N44" s="25" t="n">
        <v>280833.8246002989</v>
      </c>
      <c r="O44" s="25" t="n">
        <v>259701.0360466878</v>
      </c>
      <c r="P44" s="25" t="n">
        <v>289769.8853997011</v>
      </c>
      <c r="Q44" s="4" t="n"/>
      <c r="R44" s="4" t="n"/>
      <c r="S44" s="25">
        <f>E44*J44</f>
        <v/>
      </c>
      <c r="T44" s="25">
        <f>(G44-F44)*D44</f>
        <v/>
      </c>
      <c r="U44" s="25">
        <f>-(I44-H44)*D44</f>
        <v/>
      </c>
      <c r="V44" s="25">
        <f>-(L44-K44)</f>
        <v/>
      </c>
      <c r="W44" s="25">
        <f>-(N44-M44)</f>
        <v/>
      </c>
    </row>
    <row r="45" ht="15.5" customHeight="1">
      <c r="A45" s="4" t="n"/>
      <c r="B45" s="24" t="inlineStr">
        <is>
          <t>ISCOM Paris</t>
        </is>
      </c>
      <c r="C45" s="25" t="n">
        <v>334</v>
      </c>
      <c r="D45" s="25" t="n">
        <v>354</v>
      </c>
      <c r="E45" s="25" t="n">
        <v>20</v>
      </c>
      <c r="F45" s="26" t="n">
        <v>8217.005988000001</v>
      </c>
      <c r="G45" s="26" t="n">
        <v>8216.723164000001</v>
      </c>
      <c r="H45" s="26" t="n">
        <v>1059.389222</v>
      </c>
      <c r="I45" s="26" t="n">
        <v>1055.412429</v>
      </c>
      <c r="J45" s="26" t="n">
        <v>7157.616766</v>
      </c>
      <c r="K45" s="25" t="n">
        <v>1532006.33</v>
      </c>
      <c r="L45" s="25" t="n">
        <v>1601085.78</v>
      </c>
      <c r="M45" s="25" t="n">
        <v>382070.6040951031</v>
      </c>
      <c r="N45" s="25" t="n">
        <v>407439.4766752479</v>
      </c>
      <c r="O45" s="25" t="n">
        <v>476567.0659048968</v>
      </c>
      <c r="P45" s="25" t="n">
        <v>526578.7433247521</v>
      </c>
      <c r="Q45" s="4" t="n"/>
      <c r="R45" s="4" t="n"/>
      <c r="S45" s="25">
        <f>E45*J45</f>
        <v/>
      </c>
      <c r="T45" s="25">
        <f>(G45-F45)*D45</f>
        <v/>
      </c>
      <c r="U45" s="25">
        <f>-(I45-H45)*D45</f>
        <v/>
      </c>
      <c r="V45" s="25">
        <f>-(L45-K45)</f>
        <v/>
      </c>
      <c r="W45" s="25">
        <f>-(N45-M45)</f>
        <v/>
      </c>
    </row>
    <row r="46" ht="15.5" customHeight="1">
      <c r="A46" s="4" t="n"/>
      <c r="B46" s="24" t="inlineStr">
        <is>
          <t>ISCOM Toulouse</t>
        </is>
      </c>
      <c r="C46" s="25" t="n">
        <v>216</v>
      </c>
      <c r="D46" s="25" t="n">
        <v>231</v>
      </c>
      <c r="E46" s="25" t="n">
        <v>15</v>
      </c>
      <c r="F46" s="26" t="n">
        <v>7047.777778</v>
      </c>
      <c r="G46" s="26" t="n">
        <v>7047.532468</v>
      </c>
      <c r="H46" s="26" t="n">
        <v>1006.217593</v>
      </c>
      <c r="I46" s="26" t="n">
        <v>990.3290040000001</v>
      </c>
      <c r="J46" s="26" t="n">
        <v>6041.560185</v>
      </c>
      <c r="K46" s="25" t="n">
        <v>822578.02</v>
      </c>
      <c r="L46" s="25" t="n">
        <v>869560.28</v>
      </c>
      <c r="M46" s="25" t="n">
        <v>247087.0060874675</v>
      </c>
      <c r="N46" s="25" t="n">
        <v>265870.9093532066</v>
      </c>
      <c r="O46" s="25" t="n">
        <v>235311.9739125325</v>
      </c>
      <c r="P46" s="25" t="n">
        <v>263782.8106467934</v>
      </c>
      <c r="Q46" s="4" t="n"/>
      <c r="R46" s="4" t="n"/>
      <c r="S46" s="25">
        <f>E46*J46</f>
        <v/>
      </c>
      <c r="T46" s="25">
        <f>(G46-F46)*D46</f>
        <v/>
      </c>
      <c r="U46" s="25">
        <f>-(I46-H46)*D46</f>
        <v/>
      </c>
      <c r="V46" s="25">
        <f>-(L46-K46)</f>
        <v/>
      </c>
      <c r="W46" s="25">
        <f>-(N46-M46)</f>
        <v/>
      </c>
    </row>
    <row r="47" ht="15.5" customHeight="1">
      <c r="A47" s="4" t="n"/>
      <c r="B47" s="24" t="inlineStr">
        <is>
          <t>Ipac Montpellier</t>
        </is>
      </c>
      <c r="C47" s="25" t="n">
        <v>111</v>
      </c>
      <c r="D47" s="25" t="n">
        <v>117</v>
      </c>
      <c r="E47" s="25" t="n">
        <v>6</v>
      </c>
      <c r="F47" s="26" t="n">
        <v>6680.810811</v>
      </c>
      <c r="G47" s="26" t="n">
        <v>6680.769231</v>
      </c>
      <c r="H47" s="26" t="n">
        <v>1121.504505</v>
      </c>
      <c r="I47" s="26" t="n">
        <v>1120.948718</v>
      </c>
      <c r="J47" s="26" t="n">
        <v>5559.306306</v>
      </c>
      <c r="K47" s="25" t="n">
        <v>398826.0100000001</v>
      </c>
      <c r="L47" s="25" t="n">
        <v>410605.25</v>
      </c>
      <c r="M47" s="25" t="n">
        <v>124469.3147420315</v>
      </c>
      <c r="N47" s="25" t="n">
        <v>132004.2356159417</v>
      </c>
      <c r="O47" s="25" t="n">
        <v>93787.6752579684</v>
      </c>
      <c r="P47" s="25" t="n">
        <v>107889.5143840583</v>
      </c>
      <c r="Q47" s="4" t="n"/>
      <c r="R47" s="4" t="n"/>
      <c r="S47" s="25">
        <f>E47*J47</f>
        <v/>
      </c>
      <c r="T47" s="25">
        <f>(G47-F47)*D47</f>
        <v/>
      </c>
      <c r="U47" s="25">
        <f>-(I47-H47)*D47</f>
        <v/>
      </c>
      <c r="V47" s="25">
        <f>-(L47-K47)</f>
        <v/>
      </c>
      <c r="W47" s="25">
        <f>-(N47-M47)</f>
        <v/>
      </c>
    </row>
    <row r="48" ht="15.5" customHeight="1">
      <c r="A48" s="4" t="n"/>
      <c r="B48" s="24" t="inlineStr">
        <is>
          <t>Ipac Nantes</t>
        </is>
      </c>
      <c r="C48" s="25" t="n">
        <v>136</v>
      </c>
      <c r="D48" s="25" t="n">
        <v>145</v>
      </c>
      <c r="E48" s="25" t="n">
        <v>9</v>
      </c>
      <c r="F48" s="26" t="n">
        <v>7031.102941</v>
      </c>
      <c r="G48" s="26" t="n">
        <v>7031.034483</v>
      </c>
      <c r="H48" s="26" t="n">
        <v>1032.455882</v>
      </c>
      <c r="I48" s="26" t="n">
        <v>1021.737931</v>
      </c>
      <c r="J48" s="26" t="n">
        <v>5998.647059</v>
      </c>
      <c r="K48" s="25" t="n">
        <v>533738.6800000001</v>
      </c>
      <c r="L48" s="25" t="n">
        <v>557856.2</v>
      </c>
      <c r="M48" s="25" t="n">
        <v>152502.7022939203</v>
      </c>
      <c r="N48" s="25" t="n">
        <v>163594.7333690526</v>
      </c>
      <c r="O48" s="25" t="n">
        <v>129574.6177060797</v>
      </c>
      <c r="P48" s="25" t="n">
        <v>149897.0666309475</v>
      </c>
      <c r="Q48" s="4" t="n"/>
      <c r="R48" s="4" t="n"/>
      <c r="S48" s="25">
        <f>E48*J48</f>
        <v/>
      </c>
      <c r="T48" s="25">
        <f>(G48-F48)*D48</f>
        <v/>
      </c>
      <c r="U48" s="25">
        <f>-(I48-H48)*D48</f>
        <v/>
      </c>
      <c r="V48" s="25">
        <f>-(L48-K48)</f>
        <v/>
      </c>
      <c r="W48" s="25">
        <f>-(N48-M48)</f>
        <v/>
      </c>
    </row>
    <row r="49" ht="15.5" customHeight="1">
      <c r="A49" s="4" t="n"/>
      <c r="B49" s="24" t="inlineStr">
        <is>
          <t>Ipac Rennes</t>
        </is>
      </c>
      <c r="C49" s="25" t="n">
        <v>111</v>
      </c>
      <c r="D49" s="25" t="n">
        <v>117</v>
      </c>
      <c r="E49" s="25" t="n">
        <v>6</v>
      </c>
      <c r="F49" s="26" t="n">
        <v>6680.810811</v>
      </c>
      <c r="G49" s="26" t="n">
        <v>6680.769231</v>
      </c>
      <c r="H49" s="26" t="n">
        <v>1119.495495</v>
      </c>
      <c r="I49" s="26" t="n">
        <v>1118.854701</v>
      </c>
      <c r="J49" s="26" t="n">
        <v>5561.315315</v>
      </c>
      <c r="K49" s="25" t="n">
        <v>399049.03</v>
      </c>
      <c r="L49" s="25" t="n">
        <v>410850.2499999999</v>
      </c>
      <c r="M49" s="25" t="n">
        <v>124469.3147420315</v>
      </c>
      <c r="N49" s="25" t="n">
        <v>132004.2356159417</v>
      </c>
      <c r="O49" s="25" t="n">
        <v>93787.65525796849</v>
      </c>
      <c r="P49" s="25" t="n">
        <v>107889.5143840584</v>
      </c>
      <c r="Q49" s="4" t="n"/>
      <c r="R49" s="4" t="n"/>
      <c r="S49" s="25">
        <f>E49*J49</f>
        <v/>
      </c>
      <c r="T49" s="25">
        <f>(G49-F49)*D49</f>
        <v/>
      </c>
      <c r="U49" s="25">
        <f>-(I49-H49)*D49</f>
        <v/>
      </c>
      <c r="V49" s="25">
        <f>-(L49-K49)</f>
        <v/>
      </c>
      <c r="W49" s="25">
        <f>-(N49-M49)</f>
        <v/>
      </c>
    </row>
    <row r="50" ht="15.5" customHeight="1">
      <c r="A50" s="4" t="n"/>
      <c r="B50" s="24" t="inlineStr">
        <is>
          <t>MBway Bordeaux</t>
        </is>
      </c>
      <c r="C50" s="25" t="n">
        <v>234</v>
      </c>
      <c r="D50" s="25" t="n">
        <v>249</v>
      </c>
      <c r="E50" s="25" t="n">
        <v>15</v>
      </c>
      <c r="F50" s="26" t="n">
        <v>7123.311966</v>
      </c>
      <c r="G50" s="26" t="n">
        <v>7122.931727</v>
      </c>
      <c r="H50" s="26" t="n">
        <v>967.162393</v>
      </c>
      <c r="I50" s="26" t="n">
        <v>957.044177</v>
      </c>
      <c r="J50" s="26" t="n">
        <v>6156.149573</v>
      </c>
      <c r="K50" s="25" t="n">
        <v>901334.7799999998</v>
      </c>
      <c r="L50" s="25" t="n">
        <v>943075.91</v>
      </c>
      <c r="M50" s="25" t="n">
        <v>268151.2278180838</v>
      </c>
      <c r="N50" s="25" t="n">
        <v>287095.221903666</v>
      </c>
      <c r="O50" s="25" t="n">
        <v>271052.9921819164</v>
      </c>
      <c r="P50" s="25" t="n">
        <v>305134.8680963339</v>
      </c>
      <c r="Q50" s="4" t="n"/>
      <c r="R50" s="4" t="n"/>
      <c r="S50" s="25">
        <f>E50*J50</f>
        <v/>
      </c>
      <c r="T50" s="25">
        <f>(G50-F50)*D50</f>
        <v/>
      </c>
      <c r="U50" s="25">
        <f>-(I50-H50)*D50</f>
        <v/>
      </c>
      <c r="V50" s="25">
        <f>-(L50-K50)</f>
        <v/>
      </c>
      <c r="W50" s="25">
        <f>-(N50-M50)</f>
        <v/>
      </c>
    </row>
    <row r="51" ht="15.5" customHeight="1">
      <c r="A51" s="4" t="n"/>
      <c r="B51" s="24" t="inlineStr">
        <is>
          <t>MBway Lyon</t>
        </is>
      </c>
      <c r="C51" s="25" t="n">
        <v>304</v>
      </c>
      <c r="D51" s="25" t="n">
        <v>324</v>
      </c>
      <c r="E51" s="25" t="n">
        <v>20</v>
      </c>
      <c r="F51" s="26" t="n">
        <v>7706.200658</v>
      </c>
      <c r="G51" s="26" t="n">
        <v>7705.87963</v>
      </c>
      <c r="H51" s="26" t="n">
        <v>996.2171049999999</v>
      </c>
      <c r="I51" s="26" t="n">
        <v>985.4629629999999</v>
      </c>
      <c r="J51" s="26" t="n">
        <v>6709.983553</v>
      </c>
      <c r="K51" s="25" t="n">
        <v>1284681.03</v>
      </c>
      <c r="L51" s="25" t="n">
        <v>1346872.36</v>
      </c>
      <c r="M51" s="25" t="n">
        <v>348367.1950673439</v>
      </c>
      <c r="N51" s="25" t="n">
        <v>373569.4589820922</v>
      </c>
      <c r="O51" s="25" t="n">
        <v>406786.7749326563</v>
      </c>
      <c r="P51" s="25" t="n">
        <v>456973.1810179077</v>
      </c>
      <c r="Q51" s="4" t="n"/>
      <c r="R51" s="4" t="n"/>
      <c r="S51" s="25">
        <f>E51*J51</f>
        <v/>
      </c>
      <c r="T51" s="25">
        <f>(G51-F51)*D51</f>
        <v/>
      </c>
      <c r="U51" s="25">
        <f>-(I51-H51)*D51</f>
        <v/>
      </c>
      <c r="V51" s="25">
        <f>-(L51-K51)</f>
        <v/>
      </c>
      <c r="W51" s="25">
        <f>-(N51-M51)</f>
        <v/>
      </c>
    </row>
    <row r="52" ht="15.5" customHeight="1">
      <c r="A52" s="4" t="n"/>
      <c r="B52" s="24" t="inlineStr">
        <is>
          <t>MBway Nantes</t>
        </is>
      </c>
      <c r="C52" s="25" t="n">
        <v>279</v>
      </c>
      <c r="D52" s="25" t="n">
        <v>294</v>
      </c>
      <c r="E52" s="25" t="n">
        <v>15</v>
      </c>
      <c r="F52" s="26" t="n">
        <v>7341.433692</v>
      </c>
      <c r="G52" s="26" t="n">
        <v>7341.156463</v>
      </c>
      <c r="H52" s="26" t="n">
        <v>972.591398</v>
      </c>
      <c r="I52" s="26" t="n">
        <v>972.122449</v>
      </c>
      <c r="J52" s="26" t="n">
        <v>6368.842294</v>
      </c>
      <c r="K52" s="25" t="n">
        <v>1111778.52</v>
      </c>
      <c r="L52" s="25" t="n">
        <v>1149246.53</v>
      </c>
      <c r="M52" s="25" t="n">
        <v>319718.4864015467</v>
      </c>
      <c r="N52" s="25" t="n">
        <v>338979.5981499978</v>
      </c>
      <c r="O52" s="25" t="n">
        <v>345409.9935984532</v>
      </c>
      <c r="P52" s="25" t="n">
        <v>384269.8718500021</v>
      </c>
      <c r="Q52" s="4" t="n"/>
      <c r="R52" s="4" t="n"/>
      <c r="S52" s="25">
        <f>E52*J52</f>
        <v/>
      </c>
      <c r="T52" s="25">
        <f>(G52-F52)*D52</f>
        <v/>
      </c>
      <c r="U52" s="25">
        <f>-(I52-H52)*D52</f>
        <v/>
      </c>
      <c r="V52" s="25">
        <f>-(L52-K52)</f>
        <v/>
      </c>
      <c r="W52" s="25">
        <f>-(N52-M52)</f>
        <v/>
      </c>
    </row>
    <row r="53" ht="15.5" customHeight="1">
      <c r="A53" s="4" t="n"/>
      <c r="B53" s="24" t="inlineStr">
        <is>
          <t>MBway Paris</t>
        </is>
      </c>
      <c r="C53" s="25" t="n">
        <v>362</v>
      </c>
      <c r="D53" s="25" t="n">
        <v>382</v>
      </c>
      <c r="E53" s="25" t="n">
        <v>20</v>
      </c>
      <c r="F53" s="26" t="n">
        <v>8217.127071999999</v>
      </c>
      <c r="G53" s="26" t="n">
        <v>8216.858639</v>
      </c>
      <c r="H53" s="26" t="n">
        <v>1023.732044</v>
      </c>
      <c r="I53" s="26" t="n">
        <v>1024.934555</v>
      </c>
      <c r="J53" s="26" t="n">
        <v>7193.395028</v>
      </c>
      <c r="K53" s="25" t="n">
        <v>1648776.64</v>
      </c>
      <c r="L53" s="25" t="n">
        <v>1707251.49</v>
      </c>
      <c r="M53" s="25" t="n">
        <v>414832.3340357959</v>
      </c>
      <c r="N53" s="25" t="n">
        <v>440443.3705915956</v>
      </c>
      <c r="O53" s="25" t="n">
        <v>540400.0259642038</v>
      </c>
      <c r="P53" s="25" t="n">
        <v>599620.1394084045</v>
      </c>
      <c r="Q53" s="4" t="n"/>
      <c r="R53" s="4" t="n"/>
      <c r="S53" s="25">
        <f>E53*J53</f>
        <v/>
      </c>
      <c r="T53" s="25">
        <f>(G53-F53)*D53</f>
        <v/>
      </c>
      <c r="U53" s="25">
        <f>-(I53-H53)*D53</f>
        <v/>
      </c>
      <c r="V53" s="25">
        <f>-(L53-K53)</f>
        <v/>
      </c>
      <c r="W53" s="25">
        <f>-(N53-M53)</f>
        <v/>
      </c>
    </row>
    <row r="54" ht="15.5" customHeight="1">
      <c r="A54" s="4" t="n"/>
      <c r="B54" s="24" t="inlineStr">
        <is>
          <t>Pigier Bordeaux</t>
        </is>
      </c>
      <c r="C54" s="25" t="n">
        <v>166</v>
      </c>
      <c r="D54" s="25" t="n">
        <v>176</v>
      </c>
      <c r="E54" s="25" t="n">
        <v>10</v>
      </c>
      <c r="F54" s="26" t="n">
        <v>6435.361446</v>
      </c>
      <c r="G54" s="26" t="n">
        <v>6435.511364</v>
      </c>
      <c r="H54" s="26" t="n">
        <v>979.421687</v>
      </c>
      <c r="I54" s="26" t="n">
        <v>973.801136</v>
      </c>
      <c r="J54" s="26" t="n">
        <v>5455.939759</v>
      </c>
      <c r="K54" s="25" t="n">
        <v>508701.5699999999</v>
      </c>
      <c r="L54" s="25" t="n">
        <v>530872.76</v>
      </c>
      <c r="M54" s="25" t="n">
        <v>185745.8159994536</v>
      </c>
      <c r="N54" s="25" t="n">
        <v>198146.4540348334</v>
      </c>
      <c r="O54" s="25" t="n">
        <v>211238.6140005465</v>
      </c>
      <c r="P54" s="25" t="n">
        <v>232241.7859651666</v>
      </c>
      <c r="Q54" s="4" t="n"/>
      <c r="R54" s="4" t="n"/>
      <c r="S54" s="25">
        <f>E54*J54</f>
        <v/>
      </c>
      <c r="T54" s="25">
        <f>(G54-F54)*D54</f>
        <v/>
      </c>
      <c r="U54" s="25">
        <f>-(I54-H54)*D54</f>
        <v/>
      </c>
      <c r="V54" s="25">
        <f>-(L54-K54)</f>
        <v/>
      </c>
      <c r="W54" s="25">
        <f>-(N54-M54)</f>
        <v/>
      </c>
    </row>
    <row r="55" ht="15.5" customHeight="1">
      <c r="A55" s="4" t="n"/>
      <c r="B55" s="24" t="inlineStr">
        <is>
          <t>Pigier Lyon</t>
        </is>
      </c>
      <c r="C55" s="25" t="n">
        <v>211</v>
      </c>
      <c r="D55" s="25" t="n">
        <v>226</v>
      </c>
      <c r="E55" s="25" t="n">
        <v>15</v>
      </c>
      <c r="F55" s="26" t="n">
        <v>6963.696682</v>
      </c>
      <c r="G55" s="26" t="n">
        <v>6963.849558</v>
      </c>
      <c r="H55" s="26" t="n">
        <v>900.962085</v>
      </c>
      <c r="I55" s="26" t="n">
        <v>889.013274</v>
      </c>
      <c r="J55" s="26" t="n">
        <v>6062.734597</v>
      </c>
      <c r="K55" s="25" t="n">
        <v>736369.5600000001</v>
      </c>
      <c r="L55" s="25" t="n">
        <v>778456.91</v>
      </c>
      <c r="M55" s="25" t="n">
        <v>236099.0885076113</v>
      </c>
      <c r="N55" s="25" t="n">
        <v>254438.5895015823</v>
      </c>
      <c r="O55" s="25" t="n">
        <v>306768.3514923886</v>
      </c>
      <c r="P55" s="25" t="n">
        <v>340017.5004984176</v>
      </c>
      <c r="Q55" s="4" t="n"/>
      <c r="R55" s="4" t="n"/>
      <c r="S55" s="25">
        <f>E55*J55</f>
        <v/>
      </c>
      <c r="T55" s="25">
        <f>(G55-F55)*D55</f>
        <v/>
      </c>
      <c r="U55" s="25">
        <f>-(I55-H55)*D55</f>
        <v/>
      </c>
      <c r="V55" s="25">
        <f>-(L55-K55)</f>
        <v/>
      </c>
      <c r="W55" s="25">
        <f>-(N55-M55)</f>
        <v/>
      </c>
    </row>
    <row r="56" ht="15.5" customHeight="1">
      <c r="A56" s="4" t="n"/>
      <c r="B56" s="24" t="inlineStr">
        <is>
          <t>Tunon Lyon</t>
        </is>
      </c>
      <c r="C56" s="25" t="n">
        <v>111</v>
      </c>
      <c r="D56" s="25" t="n">
        <v>117</v>
      </c>
      <c r="E56" s="25" t="n">
        <v>6</v>
      </c>
      <c r="F56" s="26" t="n">
        <v>7380.810811</v>
      </c>
      <c r="G56" s="26" t="n">
        <v>7380.769231</v>
      </c>
      <c r="H56" s="26" t="n">
        <v>1151.576577</v>
      </c>
      <c r="I56" s="26" t="n">
        <v>1152.333333</v>
      </c>
      <c r="J56" s="26" t="n">
        <v>6229.234234</v>
      </c>
      <c r="K56" s="25" t="n">
        <v>523989.18</v>
      </c>
      <c r="L56" s="25" t="n">
        <v>561046.28</v>
      </c>
      <c r="M56" s="25" t="n">
        <v>127153.9396992599</v>
      </c>
      <c r="N56" s="25" t="n">
        <v>134851.3780311536</v>
      </c>
      <c r="O56" s="25" t="n">
        <v>40301.88030074014</v>
      </c>
      <c r="P56" s="25" t="n">
        <v>32829.34196884636</v>
      </c>
      <c r="Q56" s="4" t="n"/>
      <c r="R56" s="4" t="n"/>
      <c r="S56" s="25">
        <f>E56*J56</f>
        <v/>
      </c>
      <c r="T56" s="25">
        <f>(G56-F56)*D56</f>
        <v/>
      </c>
      <c r="U56" s="25">
        <f>-(I56-H56)*D56</f>
        <v/>
      </c>
      <c r="V56" s="25">
        <f>-(L56-K56)</f>
        <v/>
      </c>
      <c r="W56" s="25">
        <f>-(N56-M56)</f>
        <v/>
      </c>
    </row>
    <row r="57" ht="15.5" customHeight="1">
      <c r="A57" s="4" t="n"/>
      <c r="B57" s="24" t="inlineStr">
        <is>
          <t>Tunon Paris</t>
        </is>
      </c>
      <c r="C57" s="25" t="n">
        <v>129</v>
      </c>
      <c r="D57" s="25" t="n">
        <v>138</v>
      </c>
      <c r="E57" s="25" t="n">
        <v>9</v>
      </c>
      <c r="F57" s="26" t="n">
        <v>7870.697674</v>
      </c>
      <c r="G57" s="26" t="n">
        <v>7870.652174</v>
      </c>
      <c r="H57" s="26" t="n">
        <v>1128.976744</v>
      </c>
      <c r="I57" s="26" t="n">
        <v>1116.137681</v>
      </c>
      <c r="J57" s="26" t="n">
        <v>6741.72093</v>
      </c>
      <c r="K57" s="25" t="n">
        <v>664829.1599999999</v>
      </c>
      <c r="L57" s="25" t="n">
        <v>724171.6999999998</v>
      </c>
      <c r="M57" s="25" t="n">
        <v>147773.5365570392</v>
      </c>
      <c r="N57" s="25" t="n">
        <v>159055.5135753902</v>
      </c>
      <c r="O57" s="25" t="n">
        <v>57079.30344296087</v>
      </c>
      <c r="P57" s="25" t="n">
        <v>48895.78642460998</v>
      </c>
      <c r="Q57" s="4" t="n"/>
      <c r="R57" s="4" t="n"/>
      <c r="S57" s="25">
        <f>E57*J57</f>
        <v/>
      </c>
      <c r="T57" s="25">
        <f>(G57-F57)*D57</f>
        <v/>
      </c>
      <c r="U57" s="25">
        <f>-(I57-H57)*D57</f>
        <v/>
      </c>
      <c r="V57" s="25">
        <f>-(L57-K57)</f>
        <v/>
      </c>
      <c r="W57" s="25">
        <f>-(N57-M57)</f>
        <v/>
      </c>
    </row>
    <row r="58" ht="15.5" customHeight="1">
      <c r="A58" s="4" t="n"/>
      <c r="B58" s="24" t="n"/>
      <c r="C58" s="25" t="n"/>
      <c r="D58" s="25" t="n"/>
      <c r="E58" s="25" t="n"/>
      <c r="F58" s="26" t="n"/>
      <c r="G58" s="26" t="n"/>
      <c r="H58" s="26" t="n"/>
      <c r="I58" s="26" t="n"/>
      <c r="J58" s="26" t="n"/>
      <c r="K58" s="25" t="n"/>
      <c r="L58" s="25" t="n"/>
      <c r="M58" s="25" t="n"/>
      <c r="N58" s="25" t="n"/>
      <c r="O58" s="25" t="n"/>
      <c r="P58" s="25" t="n"/>
      <c r="Q58" s="4" t="n"/>
      <c r="R58" s="4" t="n"/>
      <c r="S58" s="25" t="n"/>
      <c r="T58" s="25" t="n"/>
      <c r="U58" s="25" t="n"/>
      <c r="V58" s="25" t="n"/>
      <c r="W58" s="25" t="n"/>
    </row>
    <row r="59" ht="15.5" customHeight="1">
      <c r="A59" s="4" t="n"/>
      <c r="B59" s="24" t="n"/>
      <c r="C59" s="25" t="n"/>
      <c r="D59" s="25" t="n"/>
      <c r="E59" s="25" t="n"/>
      <c r="F59" s="26" t="n"/>
      <c r="G59" s="26" t="n"/>
      <c r="H59" s="26" t="n"/>
      <c r="I59" s="26" t="n"/>
      <c r="J59" s="26" t="n"/>
      <c r="K59" s="25" t="n"/>
      <c r="L59" s="25" t="n"/>
      <c r="M59" s="25" t="n"/>
      <c r="N59" s="25" t="n"/>
      <c r="O59" s="25" t="n"/>
      <c r="P59" s="25" t="n"/>
      <c r="Q59" s="4" t="n"/>
      <c r="R59" s="4" t="n"/>
      <c r="S59" s="25" t="n"/>
      <c r="T59" s="25" t="n"/>
      <c r="U59" s="25" t="n"/>
      <c r="V59" s="25" t="n"/>
      <c r="W59" s="25" t="n"/>
    </row>
    <row r="60" ht="15.5" customHeight="1">
      <c r="A60" s="4" t="n"/>
      <c r="B60" s="24" t="n"/>
      <c r="C60" s="25" t="n"/>
      <c r="D60" s="25" t="n"/>
      <c r="E60" s="25" t="n"/>
      <c r="F60" s="26" t="n"/>
      <c r="G60" s="26" t="n"/>
      <c r="H60" s="26" t="n"/>
      <c r="I60" s="26" t="n"/>
      <c r="J60" s="26" t="n"/>
      <c r="K60" s="25" t="n"/>
      <c r="L60" s="25" t="n"/>
      <c r="M60" s="25" t="n"/>
      <c r="N60" s="25" t="n"/>
      <c r="O60" s="25" t="n"/>
      <c r="P60" s="25" t="n"/>
      <c r="Q60" s="4" t="n"/>
      <c r="R60" s="4" t="n"/>
      <c r="S60" s="25" t="n"/>
      <c r="T60" s="25" t="n"/>
      <c r="U60" s="25" t="n"/>
      <c r="V60" s="25" t="n"/>
      <c r="W60" s="25" t="n"/>
    </row>
    <row r="61" ht="15.5" customHeight="1">
      <c r="A61" s="4" t="n"/>
      <c r="B61" s="24" t="n"/>
      <c r="C61" s="25" t="n"/>
      <c r="D61" s="25" t="n"/>
      <c r="E61" s="25" t="n"/>
      <c r="F61" s="26" t="n"/>
      <c r="G61" s="26" t="n"/>
      <c r="H61" s="26" t="n"/>
      <c r="I61" s="26" t="n"/>
      <c r="J61" s="26" t="n"/>
      <c r="K61" s="25" t="n"/>
      <c r="L61" s="25" t="n"/>
      <c r="M61" s="25" t="n"/>
      <c r="N61" s="25" t="n"/>
      <c r="O61" s="25" t="n"/>
      <c r="P61" s="25" t="n"/>
      <c r="Q61" s="4" t="n"/>
      <c r="R61" s="4" t="n"/>
      <c r="S61" s="25" t="n"/>
      <c r="T61" s="25" t="n"/>
      <c r="U61" s="25" t="n"/>
      <c r="V61" s="25" t="n"/>
      <c r="W61" s="25" t="n"/>
    </row>
    <row r="62" ht="15.5" customHeight="1">
      <c r="A62" s="4" t="n"/>
      <c r="B62" s="24" t="n"/>
      <c r="C62" s="25" t="n"/>
      <c r="D62" s="25" t="n"/>
      <c r="E62" s="25" t="n"/>
      <c r="F62" s="26" t="n"/>
      <c r="G62" s="26" t="n"/>
      <c r="H62" s="26" t="n"/>
      <c r="I62" s="26" t="n"/>
      <c r="J62" s="26" t="n"/>
      <c r="K62" s="25" t="n"/>
      <c r="L62" s="25" t="n"/>
      <c r="M62" s="25" t="n"/>
      <c r="N62" s="25" t="n"/>
      <c r="O62" s="25" t="n"/>
      <c r="P62" s="25" t="n"/>
      <c r="Q62" s="4" t="n"/>
      <c r="R62" s="4" t="n"/>
      <c r="S62" s="25" t="n"/>
      <c r="T62" s="25" t="n"/>
      <c r="U62" s="25" t="n"/>
      <c r="V62" s="25" t="n"/>
      <c r="W62" s="25" t="n"/>
    </row>
    <row r="63" ht="15.5" customHeight="1">
      <c r="A63" s="4" t="n"/>
      <c r="B63" s="24" t="n"/>
      <c r="C63" s="25" t="n"/>
      <c r="D63" s="25" t="n"/>
      <c r="E63" s="25" t="n"/>
      <c r="F63" s="26" t="n"/>
      <c r="G63" s="26" t="n"/>
      <c r="H63" s="26" t="n"/>
      <c r="I63" s="26" t="n"/>
      <c r="J63" s="26" t="n"/>
      <c r="K63" s="25" t="n"/>
      <c r="L63" s="25" t="n"/>
      <c r="M63" s="25" t="n"/>
      <c r="N63" s="25" t="n"/>
      <c r="O63" s="25" t="n"/>
      <c r="P63" s="25" t="n"/>
      <c r="Q63" s="4" t="n"/>
      <c r="R63" s="4" t="n"/>
      <c r="S63" s="25" t="n"/>
      <c r="T63" s="25" t="n"/>
      <c r="U63" s="25" t="n"/>
      <c r="V63" s="25" t="n"/>
      <c r="W63" s="25" t="n"/>
    </row>
    <row r="64" ht="15.5" customHeight="1">
      <c r="A64" s="4" t="n"/>
      <c r="B64" s="24" t="n"/>
      <c r="C64" s="25" t="n"/>
      <c r="D64" s="25" t="n"/>
      <c r="E64" s="25" t="n"/>
      <c r="F64" s="26" t="n"/>
      <c r="G64" s="26" t="n"/>
      <c r="H64" s="26" t="n"/>
      <c r="I64" s="26" t="n"/>
      <c r="J64" s="26" t="n"/>
      <c r="K64" s="25" t="n"/>
      <c r="L64" s="25" t="n"/>
      <c r="M64" s="25" t="n"/>
      <c r="N64" s="25" t="n"/>
      <c r="O64" s="25" t="n"/>
      <c r="P64" s="25" t="n"/>
      <c r="Q64" s="4" t="n"/>
      <c r="R64" s="4" t="n"/>
      <c r="S64" s="25" t="n"/>
      <c r="T64" s="25" t="n"/>
      <c r="U64" s="25" t="n"/>
      <c r="V64" s="25" t="n"/>
      <c r="W64" s="25" t="n"/>
    </row>
    <row r="65" ht="15.5" customHeight="1">
      <c r="A65" s="4" t="n"/>
      <c r="B65" s="24" t="n"/>
      <c r="C65" s="25" t="n"/>
      <c r="D65" s="25" t="n"/>
      <c r="E65" s="25" t="n"/>
      <c r="F65" s="26" t="n"/>
      <c r="G65" s="26" t="n"/>
      <c r="H65" s="26" t="n"/>
      <c r="I65" s="26" t="n"/>
      <c r="J65" s="26" t="n"/>
      <c r="K65" s="25" t="n"/>
      <c r="L65" s="25" t="n"/>
      <c r="M65" s="25" t="n"/>
      <c r="N65" s="25" t="n"/>
      <c r="O65" s="25" t="n"/>
      <c r="P65" s="25" t="n"/>
      <c r="Q65" s="4" t="n"/>
      <c r="R65" s="4" t="n"/>
      <c r="S65" s="25" t="n"/>
      <c r="T65" s="25" t="n"/>
      <c r="U65" s="25" t="n"/>
      <c r="V65" s="25" t="n"/>
      <c r="W65" s="25" t="n"/>
    </row>
    <row r="66" ht="15.5" customHeight="1">
      <c r="A66" s="4" t="n"/>
      <c r="B66" s="24" t="n"/>
      <c r="C66" s="25" t="n"/>
      <c r="D66" s="25" t="n"/>
      <c r="E66" s="25" t="n"/>
      <c r="F66" s="26" t="n"/>
      <c r="G66" s="26" t="n"/>
      <c r="H66" s="26" t="n"/>
      <c r="I66" s="26" t="n"/>
      <c r="J66" s="26" t="n"/>
      <c r="K66" s="25" t="n"/>
      <c r="L66" s="25" t="n"/>
      <c r="M66" s="25" t="n"/>
      <c r="N66" s="25" t="n"/>
      <c r="O66" s="25" t="n"/>
      <c r="P66" s="25" t="n"/>
      <c r="Q66" s="4" t="n"/>
      <c r="R66" s="4" t="n"/>
      <c r="S66" s="25" t="n"/>
      <c r="T66" s="25" t="n"/>
      <c r="U66" s="25" t="n"/>
      <c r="V66" s="25" t="n"/>
      <c r="W66" s="25" t="n"/>
    </row>
    <row r="67" ht="15.5" customHeight="1">
      <c r="A67" s="4" t="n"/>
      <c r="B67" s="24" t="n"/>
      <c r="C67" s="25" t="n"/>
      <c r="D67" s="25" t="n"/>
      <c r="E67" s="25" t="n"/>
      <c r="F67" s="26" t="n"/>
      <c r="G67" s="26" t="n"/>
      <c r="H67" s="26" t="n"/>
      <c r="I67" s="26" t="n"/>
      <c r="J67" s="26" t="n"/>
      <c r="K67" s="25" t="n"/>
      <c r="L67" s="25" t="n"/>
      <c r="M67" s="25" t="n"/>
      <c r="N67" s="25" t="n"/>
      <c r="O67" s="25" t="n"/>
      <c r="P67" s="25" t="n"/>
      <c r="Q67" s="4" t="n"/>
      <c r="R67" s="4" t="n"/>
      <c r="S67" s="25" t="n"/>
      <c r="T67" s="25" t="n"/>
      <c r="U67" s="25" t="n"/>
      <c r="V67" s="25" t="n"/>
      <c r="W67" s="25" t="n"/>
    </row>
    <row r="68" ht="15.5" customHeight="1">
      <c r="A68" s="4" t="n"/>
      <c r="B68" s="24" t="n"/>
      <c r="C68" s="25" t="n"/>
      <c r="D68" s="25" t="n"/>
      <c r="E68" s="25" t="n"/>
      <c r="F68" s="26" t="n"/>
      <c r="G68" s="26" t="n"/>
      <c r="H68" s="26" t="n"/>
      <c r="I68" s="26" t="n"/>
      <c r="J68" s="26" t="n"/>
      <c r="K68" s="25" t="n"/>
      <c r="L68" s="25" t="n"/>
      <c r="M68" s="25" t="n"/>
      <c r="N68" s="25" t="n"/>
      <c r="O68" s="25" t="n"/>
      <c r="P68" s="25" t="n"/>
      <c r="Q68" s="4" t="n"/>
      <c r="R68" s="4" t="n"/>
      <c r="S68" s="25" t="n"/>
      <c r="T68" s="25" t="n"/>
      <c r="U68" s="25" t="n"/>
      <c r="V68" s="25" t="n"/>
      <c r="W68" s="25" t="n"/>
    </row>
    <row r="69" ht="15.5" customHeight="1">
      <c r="A69" s="4" t="n"/>
      <c r="B69" s="24" t="n"/>
      <c r="C69" s="25" t="n"/>
      <c r="D69" s="25" t="n"/>
      <c r="E69" s="25" t="n"/>
      <c r="F69" s="26" t="n"/>
      <c r="G69" s="26" t="n"/>
      <c r="H69" s="26" t="n"/>
      <c r="I69" s="26" t="n"/>
      <c r="J69" s="26" t="n"/>
      <c r="K69" s="25" t="n"/>
      <c r="L69" s="25" t="n"/>
      <c r="M69" s="25" t="n"/>
      <c r="N69" s="25" t="n"/>
      <c r="O69" s="25" t="n"/>
      <c r="P69" s="25" t="n"/>
      <c r="Q69" s="4" t="n"/>
      <c r="R69" s="4" t="n"/>
      <c r="S69" s="25" t="n"/>
      <c r="T69" s="25" t="n"/>
      <c r="U69" s="25" t="n"/>
      <c r="V69" s="25" t="n"/>
      <c r="W69" s="25" t="n"/>
    </row>
    <row r="70" ht="15.5" customHeight="1">
      <c r="A70" s="4" t="n"/>
      <c r="B70" s="24" t="n"/>
      <c r="C70" s="25" t="n"/>
      <c r="D70" s="25" t="n"/>
      <c r="E70" s="25" t="n"/>
      <c r="F70" s="26" t="n"/>
      <c r="G70" s="26" t="n"/>
      <c r="H70" s="26" t="n"/>
      <c r="I70" s="26" t="n"/>
      <c r="J70" s="26" t="n"/>
      <c r="K70" s="25" t="n"/>
      <c r="L70" s="25" t="n"/>
      <c r="M70" s="25" t="n"/>
      <c r="N70" s="25" t="n"/>
      <c r="O70" s="25" t="n"/>
      <c r="P70" s="25" t="n"/>
      <c r="Q70" s="4" t="n"/>
      <c r="R70" s="4" t="n"/>
      <c r="S70" s="25" t="n"/>
      <c r="T70" s="25" t="n"/>
      <c r="U70" s="25" t="n"/>
      <c r="V70" s="25" t="n"/>
      <c r="W70" s="25" t="n"/>
    </row>
    <row r="71" ht="15.5" customHeight="1">
      <c r="A71" s="4" t="n"/>
      <c r="B71" s="24" t="n"/>
      <c r="C71" s="25" t="n"/>
      <c r="D71" s="25" t="n"/>
      <c r="E71" s="25" t="n"/>
      <c r="F71" s="26" t="n"/>
      <c r="G71" s="26" t="n"/>
      <c r="H71" s="26" t="n"/>
      <c r="I71" s="26" t="n"/>
      <c r="J71" s="26" t="n"/>
      <c r="K71" s="25" t="n"/>
      <c r="L71" s="25" t="n"/>
      <c r="M71" s="25" t="n"/>
      <c r="N71" s="25" t="n"/>
      <c r="O71" s="25" t="n"/>
      <c r="P71" s="25" t="n"/>
      <c r="Q71" s="4" t="n"/>
      <c r="R71" s="4" t="n"/>
      <c r="S71" s="25" t="n"/>
      <c r="T71" s="25" t="n"/>
      <c r="U71" s="25" t="n"/>
      <c r="V71" s="25" t="n"/>
      <c r="W71" s="25" t="n"/>
    </row>
    <row r="72" ht="15.5" customHeight="1">
      <c r="A72" s="4" t="n"/>
      <c r="B72" s="24" t="n"/>
      <c r="C72" s="25" t="n"/>
      <c r="D72" s="25" t="n"/>
      <c r="E72" s="25" t="n"/>
      <c r="F72" s="26" t="n"/>
      <c r="G72" s="26" t="n"/>
      <c r="H72" s="26" t="n"/>
      <c r="I72" s="26" t="n"/>
      <c r="J72" s="26" t="n"/>
      <c r="K72" s="25" t="n"/>
      <c r="L72" s="25" t="n"/>
      <c r="M72" s="25" t="n"/>
      <c r="N72" s="25" t="n"/>
      <c r="O72" s="25" t="n"/>
      <c r="P72" s="25" t="n"/>
      <c r="Q72" s="4" t="n"/>
      <c r="R72" s="4" t="n"/>
      <c r="S72" s="25" t="n"/>
      <c r="T72" s="25" t="n"/>
      <c r="U72" s="25" t="n"/>
      <c r="V72" s="25" t="n"/>
      <c r="W72" s="25" t="n"/>
    </row>
    <row r="73" ht="15.5" customHeight="1">
      <c r="A73" s="4" t="n"/>
      <c r="B73" s="24" t="n"/>
      <c r="C73" s="25" t="n"/>
      <c r="D73" s="25" t="n"/>
      <c r="E73" s="25" t="n"/>
      <c r="F73" s="26" t="n"/>
      <c r="G73" s="26" t="n"/>
      <c r="H73" s="26" t="n"/>
      <c r="I73" s="26" t="n"/>
      <c r="J73" s="26" t="n"/>
      <c r="K73" s="25" t="n"/>
      <c r="L73" s="25" t="n"/>
      <c r="M73" s="25" t="n"/>
      <c r="N73" s="25" t="n"/>
      <c r="O73" s="25" t="n"/>
      <c r="P73" s="25" t="n"/>
      <c r="Q73" s="4" t="n"/>
      <c r="R73" s="4" t="n"/>
      <c r="S73" s="25" t="n"/>
      <c r="T73" s="25" t="n"/>
      <c r="U73" s="25" t="n"/>
      <c r="V73" s="25" t="n"/>
      <c r="W73" s="25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</row>
  </sheetData>
  <conditionalFormatting sqref="C30:C3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44:P73">
    <cfRule type="expression" priority="3" dxfId="2">
      <formula>$B44&lt;&gt;""</formula>
    </cfRule>
  </conditionalFormatting>
  <conditionalFormatting sqref="S44:W73">
    <cfRule type="expression" priority="4" dxfId="3">
      <formula>$B44&lt;&gt;""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2026-09-06T22:38:41Z</dcterms:created>
  <dcterms:modified xsi:type="dcterms:W3CDTF">2026-09-06T22:38:41Z</dcterms:modified>
</cp:coreProperties>
</file>