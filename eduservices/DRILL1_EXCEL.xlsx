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rill EBITD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&quot; €&quot;"/>
    <numFmt numFmtId="165" formatCode="0.0%"/>
    <numFmt numFmtId="166" formatCode="0.00&quot; €&quot;"/>
  </numFmts>
  <fonts count="12">
    <font>
      <name val="Calibri"/>
      <family val="2"/>
      <color theme="1"/>
      <sz val="11"/>
      <scheme val="minor"/>
    </font>
    <font>
      <name val="Fira Sans Medium"/>
      <b val="1"/>
      <color rgb="00FFFFFF"/>
      <sz val="15"/>
    </font>
    <font>
      <name val="Arial"/>
      <color rgb="00B8C6DA"/>
      <sz val="8"/>
    </font>
    <font>
      <name val="Fira Sans Medium"/>
      <b val="1"/>
      <color rgb="00202733"/>
      <sz val="10"/>
    </font>
    <font>
      <name val="Arial"/>
      <i val="1"/>
      <color rgb="0069778B"/>
      <sz val="7.5"/>
    </font>
    <font>
      <name val="Fira Sans Medium"/>
      <b val="1"/>
      <color rgb="00FFFFFF"/>
      <sz val="8"/>
    </font>
    <font>
      <name val="Arial"/>
      <color rgb="00202733"/>
      <sz val="8.5"/>
    </font>
    <font>
      <name val="Arial"/>
      <b val="1"/>
      <color rgb="00202733"/>
      <sz val="8.5"/>
    </font>
    <font>
      <name val="Arial"/>
      <color rgb="0069778B"/>
      <sz val="7.5"/>
    </font>
    <font>
      <name val="Arial"/>
      <color rgb="0069778B"/>
      <sz val="8.5"/>
    </font>
    <font>
      <name val="Arial"/>
      <b val="1"/>
      <color rgb="0069778B"/>
      <sz val="8"/>
    </font>
    <font>
      <name val="Arial"/>
      <b val="1"/>
      <color rgb="001E9E89"/>
      <sz val="10"/>
    </font>
  </fonts>
  <fills count="8">
    <fill>
      <patternFill/>
    </fill>
    <fill>
      <patternFill patternType="gray125"/>
    </fill>
    <fill>
      <patternFill patternType="solid">
        <fgColor rgb="00F3F6FA"/>
      </patternFill>
    </fill>
    <fill>
      <patternFill patternType="solid">
        <fgColor rgb="00172033"/>
      </patternFill>
    </fill>
    <fill>
      <patternFill patternType="solid">
        <fgColor rgb="00526071"/>
      </patternFill>
    </fill>
    <fill>
      <patternFill patternType="solid">
        <fgColor rgb="00FFFFFF"/>
      </patternFill>
    </fill>
    <fill>
      <patternFill patternType="solid">
        <fgColor rgb="00FFF1E8"/>
      </patternFill>
    </fill>
    <fill>
      <patternFill patternType="solid">
        <fgColor rgb="00EAF2FC"/>
      </patternFill>
    </fill>
  </fills>
  <borders count="4">
    <border>
      <left/>
      <right/>
      <top/>
      <bottom/>
      <diagonal/>
    </border>
    <border>
      <left style="thin">
        <color rgb="00526071"/>
      </left>
      <right style="thin">
        <color rgb="00526071"/>
      </right>
      <top style="thin">
        <color rgb="00526071"/>
      </top>
      <bottom style="thin">
        <color rgb="00526071"/>
      </bottom>
    </border>
    <border>
      <bottom style="thin">
        <color rgb="00E9EDF3"/>
      </bottom>
    </border>
    <border>
      <top style="medium">
        <color rgb="00526071"/>
      </top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0" fillId="3" borderId="0" pivotButton="0" quotePrefix="0" xfId="0"/>
    <xf numFmtId="0" fontId="1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0" fillId="2" borderId="0" pivotButton="0" quotePrefix="0" xfId="0"/>
    <xf numFmtId="0" fontId="3" fillId="2" borderId="0" applyAlignment="1" pivotButton="0" quotePrefix="0" xfId="0">
      <alignment horizontal="left" vertical="center"/>
    </xf>
    <xf numFmtId="0" fontId="4" fillId="2" borderId="0" applyAlignment="1" pivotButton="0" quotePrefix="0" xfId="0">
      <alignment horizontal="right" vertical="center"/>
    </xf>
    <xf numFmtId="0" fontId="5" fillId="4" borderId="1" applyAlignment="1" pivotButton="0" quotePrefix="0" xfId="0">
      <alignment horizontal="left" vertical="center" indent="1"/>
    </xf>
    <xf numFmtId="0" fontId="5" fillId="4" borderId="1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 indent="1"/>
    </xf>
    <xf numFmtId="0" fontId="6" fillId="5" borderId="2" applyAlignment="1" pivotButton="0" quotePrefix="0" xfId="0">
      <alignment horizontal="right" vertical="center"/>
    </xf>
    <xf numFmtId="3" fontId="6" fillId="5" borderId="2" applyAlignment="1" pivotButton="0" quotePrefix="0" xfId="0">
      <alignment horizontal="right" vertical="center"/>
    </xf>
    <xf numFmtId="3" fontId="6" fillId="6" borderId="2" applyAlignment="1" pivotButton="0" quotePrefix="0" xfId="0">
      <alignment horizontal="right" vertical="center"/>
    </xf>
    <xf numFmtId="0" fontId="7" fillId="7" borderId="3" applyAlignment="1" pivotButton="0" quotePrefix="0" xfId="0">
      <alignment horizontal="left" vertical="center" indent="1"/>
    </xf>
    <xf numFmtId="3" fontId="7" fillId="7" borderId="3" applyAlignment="1" pivotButton="0" quotePrefix="0" xfId="0">
      <alignment horizontal="right" vertical="center"/>
    </xf>
    <xf numFmtId="0" fontId="8" fillId="7" borderId="2" applyAlignment="1" pivotButton="0" quotePrefix="0" xfId="0">
      <alignment horizontal="center" vertical="center"/>
    </xf>
    <xf numFmtId="0" fontId="7" fillId="7" borderId="2" applyAlignment="1" pivotButton="0" quotePrefix="0" xfId="0">
      <alignment horizontal="left" vertical="center" indent="1"/>
    </xf>
    <xf numFmtId="164" fontId="7" fillId="7" borderId="2" applyAlignment="1" pivotButton="0" quotePrefix="0" xfId="0">
      <alignment horizontal="right" vertical="center"/>
    </xf>
    <xf numFmtId="0" fontId="0" fillId="7" borderId="2" pivotButton="0" quotePrefix="0" xfId="0"/>
    <xf numFmtId="0" fontId="6" fillId="7" borderId="2" applyAlignment="1" pivotButton="0" quotePrefix="0" xfId="0">
      <alignment horizontal="left" vertical="center" indent="1"/>
    </xf>
    <xf numFmtId="3" fontId="6" fillId="7" borderId="2" applyAlignment="1" pivotButton="0" quotePrefix="0" xfId="0">
      <alignment horizontal="right" vertical="center"/>
    </xf>
    <xf numFmtId="0" fontId="8" fillId="5" borderId="2" applyAlignment="1" pivotButton="0" quotePrefix="0" xfId="0">
      <alignment horizontal="center" vertical="center"/>
    </xf>
    <xf numFmtId="164" fontId="6" fillId="5" borderId="2" applyAlignment="1" pivotButton="0" quotePrefix="0" xfId="0">
      <alignment horizontal="right" vertical="center"/>
    </xf>
    <xf numFmtId="165" fontId="9" fillId="5" borderId="2" applyAlignment="1" pivotButton="0" quotePrefix="0" xfId="0">
      <alignment horizontal="right" vertical="center"/>
    </xf>
    <xf numFmtId="0" fontId="10" fillId="2" borderId="0" applyAlignment="1" pivotButton="0" quotePrefix="0" xfId="0">
      <alignment horizontal="left" vertical="center" indent="1"/>
    </xf>
    <xf numFmtId="166" fontId="11" fillId="2" borderId="0" applyAlignment="1" pivotButton="0" quotePrefix="0" xfId="0">
      <alignment horizontal="right" vertical="center"/>
    </xf>
    <xf numFmtId="0" fontId="4" fillId="2" borderId="0" applyAlignment="1" pivotButton="0" quotePrefix="0" xfId="0">
      <alignment horizontal="left" vertical="center" indent="1"/>
    </xf>
  </cellXfs>
  <cellStyles count="1">
    <cellStyle name="Normal" xfId="0" builtinId="0" hidden="0"/>
  </cellStyles>
  <dxfs count="2">
    <dxf>
      <font>
        <name val="Arial"/>
        <color rgb="001E9E89"/>
        <sz val="8.5"/>
      </font>
    </dxf>
    <dxf>
      <font>
        <name val="Arial"/>
        <color rgb="00D64545"/>
        <sz val="8.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col"/>
        <grouping val="stacked"/>
        <ser>
          <idx val="0"/>
          <order val="0"/>
          <spPr>
            <a:noFill/>
            <a:ln>
              <a:prstDash val="solid"/>
            </a:ln>
          </spPr>
          <cat>
            <strRef>
              <f>'Drill EBITDA'!$G$25:$G$31</f>
            </strRef>
          </cat>
          <val>
            <numRef>
              <f>'Drill EBITDA'!$H$25:$H$31</f>
            </numRef>
          </val>
        </ser>
        <ser>
          <idx val="1"/>
          <order val="1"/>
          <spPr>
            <a:solidFill>
              <a:srgbClr val="526071"/>
            </a:solidFill>
            <a:ln>
              <a:noFill/>
              <a:prstDash val="solid"/>
            </a:ln>
          </spPr>
          <cat>
            <strRef>
              <f>'Drill EBITDA'!$G$25:$G$31</f>
            </strRef>
          </cat>
          <val>
            <numRef>
              <f>'Drill EBITDA'!$I$25:$I$31</f>
            </numRef>
          </val>
        </ser>
        <ser>
          <idx val="2"/>
          <order val="2"/>
          <spPr>
            <a:solidFill>
              <a:srgbClr val="1E9E89"/>
            </a:solidFill>
            <a:ln>
              <a:noFill/>
              <a:prstDash val="solid"/>
            </a:ln>
          </spPr>
          <cat>
            <strRef>
              <f>'Drill EBITDA'!$G$25:$G$31</f>
            </strRef>
          </cat>
          <val>
            <numRef>
              <f>'Drill EBITDA'!$J$25:$J$31</f>
            </numRef>
          </val>
        </ser>
        <ser>
          <idx val="3"/>
          <order val="3"/>
          <spPr>
            <a:solidFill>
              <a:srgbClr val="D64545"/>
            </a:solidFill>
            <a:ln>
              <a:noFill/>
              <a:prstDash val="solid"/>
            </a:ln>
          </spPr>
          <cat>
            <strRef>
              <f>'Drill EBITDA'!$G$25:$G$31</f>
            </strRef>
          </cat>
          <val>
            <numRef>
              <f>'Drill EBITDA'!$K$25:$K$31</f>
            </numRef>
          </val>
        </ser>
        <gapWidth val="4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34</row>
      <rowOff>0</rowOff>
    </from>
    <ext cx="792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9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26" customHeight="1">
      <c r="A2" s="1" t="n"/>
      <c r="B2" s="2" t="inlineStr">
        <is>
          <t>POURQUOI L'EBITDA A BOUGÉ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</row>
    <row r="3" ht="15" customHeight="1">
      <c r="A3" s="1" t="n"/>
      <c r="B3" s="3" t="inlineStr">
        <is>
          <t>drill sur EDUSERVICES · 2026 contre 2025 · la requête ne renvoie que des sommes, tout le reste est formule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</row>
    <row r="4" ht="8" customHeight="1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</row>
    <row r="5" ht="17" customHeight="1">
      <c r="A5" s="4" t="n"/>
      <c r="B5" s="5" t="inlineStr">
        <is>
          <t>Q_D1_SOCLE — ce que la requête renvoie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6" t="inlineStr">
        <is>
          <t xml:space="preserve">valeurs  </t>
        </is>
      </c>
      <c r="M5" s="4" t="n"/>
      <c r="N5" s="5" t="inlineStr">
        <is>
          <t>Les cinq effets, calculés ici</t>
        </is>
      </c>
      <c r="O5" s="4" t="n"/>
      <c r="P5" s="4" t="n"/>
      <c r="Q5" s="4" t="n"/>
      <c r="R5" s="6" t="inlineStr">
        <is>
          <t xml:space="preserve">formules  </t>
        </is>
      </c>
      <c r="S5" s="4" t="n"/>
    </row>
    <row r="6" ht="16" customHeight="1">
      <c r="A6" s="4" t="n"/>
      <c r="B6" s="7" t="inlineStr">
        <is>
          <t>ENTITY</t>
        </is>
      </c>
      <c r="C6" s="8" t="inlineStr">
        <is>
          <t>EFF_P</t>
        </is>
      </c>
      <c r="D6" s="8" t="inlineStr">
        <is>
          <t>EFF_N</t>
        </is>
      </c>
      <c r="E6" s="8" t="inlineStr">
        <is>
          <t>CA_P</t>
        </is>
      </c>
      <c r="F6" s="8" t="inlineStr">
        <is>
          <t>CA_N</t>
        </is>
      </c>
      <c r="G6" s="8" t="inlineStr">
        <is>
          <t>CVAR_P</t>
        </is>
      </c>
      <c r="H6" s="8" t="inlineStr">
        <is>
          <t>CVAR_N</t>
        </is>
      </c>
      <c r="I6" s="8" t="inlineStr">
        <is>
          <t>CDIR_P</t>
        </is>
      </c>
      <c r="J6" s="8" t="inlineStr">
        <is>
          <t>CDIR_N</t>
        </is>
      </c>
      <c r="K6" s="8" t="inlineStr">
        <is>
          <t>SIEGE_P</t>
        </is>
      </c>
      <c r="L6" s="8" t="inlineStr">
        <is>
          <t>SIEGE_N</t>
        </is>
      </c>
      <c r="M6" s="4" t="n"/>
      <c r="N6" s="7" t="inlineStr">
        <is>
          <t>Effectifs</t>
        </is>
      </c>
      <c r="O6" s="8" t="inlineStr">
        <is>
          <t>Prix et mix</t>
        </is>
      </c>
      <c r="P6" s="8" t="inlineStr">
        <is>
          <t>Coût var. unit.</t>
        </is>
      </c>
      <c r="Q6" s="8" t="inlineStr">
        <is>
          <t>Coûts directs</t>
        </is>
      </c>
      <c r="R6" s="8" t="inlineStr">
        <is>
          <t>Siège</t>
        </is>
      </c>
      <c r="S6" s="4" t="n"/>
    </row>
    <row r="7">
      <c r="A7" s="4" t="n"/>
      <c r="B7" s="9" t="inlineStr">
        <is>
          <t>ISCOM Lille</t>
        </is>
      </c>
      <c r="C7" s="10" t="n">
        <v>229</v>
      </c>
      <c r="D7" s="11" t="n">
        <v>244</v>
      </c>
      <c r="E7" s="11" t="n">
        <v>1648000</v>
      </c>
      <c r="F7" s="11" t="n">
        <v>1755850</v>
      </c>
      <c r="G7" s="11" t="n">
        <v>224811</v>
      </c>
      <c r="H7" s="11" t="n">
        <v>236740</v>
      </c>
      <c r="I7" s="11" t="n">
        <v>901529.53</v>
      </c>
      <c r="J7" s="11" t="n">
        <v>948506.29</v>
      </c>
      <c r="K7" s="11" t="n">
        <v>261958.4339533122</v>
      </c>
      <c r="L7" s="11" t="n">
        <v>280833.8246002989</v>
      </c>
      <c r="M7" s="4" t="n"/>
      <c r="N7" s="12">
        <f>(D7-C7)*(E7/C7-G7/C7)</f>
        <v/>
      </c>
      <c r="O7" s="12">
        <f>(F7/D7-E7/C7)*D7</f>
        <v/>
      </c>
      <c r="P7" s="12">
        <f>-(H7/D7-G7/C7)*D7</f>
        <v/>
      </c>
      <c r="Q7" s="12">
        <f>-(J7-I7)</f>
        <v/>
      </c>
      <c r="R7" s="12">
        <f>-(L7-K7)</f>
        <v/>
      </c>
      <c r="S7" s="4" t="n"/>
    </row>
    <row r="8">
      <c r="A8" s="4" t="n"/>
      <c r="B8" s="9" t="inlineStr">
        <is>
          <t>ISCOM Paris</t>
        </is>
      </c>
      <c r="C8" s="10" t="n">
        <v>334</v>
      </c>
      <c r="D8" s="11" t="n">
        <v>354</v>
      </c>
      <c r="E8" s="11" t="n">
        <v>2744480</v>
      </c>
      <c r="F8" s="11" t="n">
        <v>2908720</v>
      </c>
      <c r="G8" s="11" t="n">
        <v>353836</v>
      </c>
      <c r="H8" s="11" t="n">
        <v>373616</v>
      </c>
      <c r="I8" s="11" t="n">
        <v>1532006.33</v>
      </c>
      <c r="J8" s="11" t="n">
        <v>1601085.78</v>
      </c>
      <c r="K8" s="11" t="n">
        <v>382070.6040951031</v>
      </c>
      <c r="L8" s="11" t="n">
        <v>407439.4766752479</v>
      </c>
      <c r="M8" s="4" t="n"/>
      <c r="N8" s="12">
        <f>(D8-C8)*(E8/C8-G8/C8)</f>
        <v/>
      </c>
      <c r="O8" s="12">
        <f>(F8/D8-E8/C8)*D8</f>
        <v/>
      </c>
      <c r="P8" s="12">
        <f>-(H8/D8-G8/C8)*D8</f>
        <v/>
      </c>
      <c r="Q8" s="12">
        <f>-(J8-I8)</f>
        <v/>
      </c>
      <c r="R8" s="12">
        <f>-(L8-K8)</f>
        <v/>
      </c>
      <c r="S8" s="4" t="n"/>
    </row>
    <row r="9">
      <c r="A9" s="4" t="n"/>
      <c r="B9" s="9" t="inlineStr">
        <is>
          <t>ISCOM Toulouse</t>
        </is>
      </c>
      <c r="C9" s="10" t="n">
        <v>216</v>
      </c>
      <c r="D9" s="11" t="n">
        <v>231</v>
      </c>
      <c r="E9" s="11" t="n">
        <v>1522320</v>
      </c>
      <c r="F9" s="11" t="n">
        <v>1627980</v>
      </c>
      <c r="G9" s="11" t="n">
        <v>217343</v>
      </c>
      <c r="H9" s="11" t="n">
        <v>228766</v>
      </c>
      <c r="I9" s="11" t="n">
        <v>822578.02</v>
      </c>
      <c r="J9" s="11" t="n">
        <v>869560.28</v>
      </c>
      <c r="K9" s="11" t="n">
        <v>247087.0060874675</v>
      </c>
      <c r="L9" s="11" t="n">
        <v>265870.9093532066</v>
      </c>
      <c r="M9" s="4" t="n"/>
      <c r="N9" s="12">
        <f>(D9-C9)*(E9/C9-G9/C9)</f>
        <v/>
      </c>
      <c r="O9" s="12">
        <f>(F9/D9-E9/C9)*D9</f>
        <v/>
      </c>
      <c r="P9" s="12">
        <f>-(H9/D9-G9/C9)*D9</f>
        <v/>
      </c>
      <c r="Q9" s="12">
        <f>-(J9-I9)</f>
        <v/>
      </c>
      <c r="R9" s="12">
        <f>-(L9-K9)</f>
        <v/>
      </c>
      <c r="S9" s="4" t="n"/>
    </row>
    <row r="10">
      <c r="A10" s="4" t="n"/>
      <c r="B10" s="9" t="inlineStr">
        <is>
          <t>Ipac Montpellier</t>
        </is>
      </c>
      <c r="C10" s="10" t="n">
        <v>111</v>
      </c>
      <c r="D10" s="11" t="n">
        <v>117</v>
      </c>
      <c r="E10" s="11" t="n">
        <v>741570</v>
      </c>
      <c r="F10" s="11" t="n">
        <v>781650</v>
      </c>
      <c r="G10" s="11" t="n">
        <v>124487</v>
      </c>
      <c r="H10" s="11" t="n">
        <v>131151</v>
      </c>
      <c r="I10" s="11" t="n">
        <v>398826.0100000001</v>
      </c>
      <c r="J10" s="11" t="n">
        <v>410605.25</v>
      </c>
      <c r="K10" s="11" t="n">
        <v>124469.3147420315</v>
      </c>
      <c r="L10" s="11" t="n">
        <v>132004.2356159417</v>
      </c>
      <c r="M10" s="4" t="n"/>
      <c r="N10" s="12">
        <f>(D10-C10)*(E10/C10-G10/C10)</f>
        <v/>
      </c>
      <c r="O10" s="12">
        <f>(F10/D10-E10/C10)*D10</f>
        <v/>
      </c>
      <c r="P10" s="12">
        <f>-(H10/D10-G10/C10)*D10</f>
        <v/>
      </c>
      <c r="Q10" s="12">
        <f>-(J10-I10)</f>
        <v/>
      </c>
      <c r="R10" s="12">
        <f>-(L10-K10)</f>
        <v/>
      </c>
      <c r="S10" s="4" t="n"/>
    </row>
    <row r="11">
      <c r="A11" s="4" t="n"/>
      <c r="B11" s="9" t="inlineStr">
        <is>
          <t>Ipac Nantes</t>
        </is>
      </c>
      <c r="C11" s="10" t="n">
        <v>136</v>
      </c>
      <c r="D11" s="11" t="n">
        <v>145</v>
      </c>
      <c r="E11" s="11" t="n">
        <v>956230</v>
      </c>
      <c r="F11" s="11" t="n">
        <v>1019500</v>
      </c>
      <c r="G11" s="11" t="n">
        <v>140414</v>
      </c>
      <c r="H11" s="11" t="n">
        <v>148152</v>
      </c>
      <c r="I11" s="11" t="n">
        <v>533738.6800000001</v>
      </c>
      <c r="J11" s="11" t="n">
        <v>557856.2</v>
      </c>
      <c r="K11" s="11" t="n">
        <v>152502.7022939203</v>
      </c>
      <c r="L11" s="11" t="n">
        <v>163594.7333690526</v>
      </c>
      <c r="M11" s="4" t="n"/>
      <c r="N11" s="12">
        <f>(D11-C11)*(E11/C11-G11/C11)</f>
        <v/>
      </c>
      <c r="O11" s="12">
        <f>(F11/D11-E11/C11)*D11</f>
        <v/>
      </c>
      <c r="P11" s="12">
        <f>-(H11/D11-G11/C11)*D11</f>
        <v/>
      </c>
      <c r="Q11" s="12">
        <f>-(J11-I11)</f>
        <v/>
      </c>
      <c r="R11" s="12">
        <f>-(L11-K11)</f>
        <v/>
      </c>
      <c r="S11" s="4" t="n"/>
    </row>
    <row r="12">
      <c r="A12" s="4" t="n"/>
      <c r="B12" s="9" t="inlineStr">
        <is>
          <t>Ipac Rennes</t>
        </is>
      </c>
      <c r="C12" s="10" t="n">
        <v>111</v>
      </c>
      <c r="D12" s="11" t="n">
        <v>117</v>
      </c>
      <c r="E12" s="11" t="n">
        <v>741570</v>
      </c>
      <c r="F12" s="11" t="n">
        <v>781650</v>
      </c>
      <c r="G12" s="11" t="n">
        <v>124264</v>
      </c>
      <c r="H12" s="11" t="n">
        <v>130906</v>
      </c>
      <c r="I12" s="11" t="n">
        <v>399049.03</v>
      </c>
      <c r="J12" s="11" t="n">
        <v>410850.2499999999</v>
      </c>
      <c r="K12" s="11" t="n">
        <v>124469.3147420315</v>
      </c>
      <c r="L12" s="11" t="n">
        <v>132004.2356159417</v>
      </c>
      <c r="M12" s="4" t="n"/>
      <c r="N12" s="12">
        <f>(D12-C12)*(E12/C12-G12/C12)</f>
        <v/>
      </c>
      <c r="O12" s="12">
        <f>(F12/D12-E12/C12)*D12</f>
        <v/>
      </c>
      <c r="P12" s="12">
        <f>-(H12/D12-G12/C12)*D12</f>
        <v/>
      </c>
      <c r="Q12" s="12">
        <f>-(J12-I12)</f>
        <v/>
      </c>
      <c r="R12" s="12">
        <f>-(L12-K12)</f>
        <v/>
      </c>
      <c r="S12" s="4" t="n"/>
    </row>
    <row r="13">
      <c r="A13" s="4" t="n"/>
      <c r="B13" s="9" t="inlineStr">
        <is>
          <t>MBway Bordeaux</t>
        </is>
      </c>
      <c r="C13" s="10" t="n">
        <v>234</v>
      </c>
      <c r="D13" s="11" t="n">
        <v>249</v>
      </c>
      <c r="E13" s="11" t="n">
        <v>1666855</v>
      </c>
      <c r="F13" s="11" t="n">
        <v>1773610</v>
      </c>
      <c r="G13" s="11" t="n">
        <v>226316</v>
      </c>
      <c r="H13" s="11" t="n">
        <v>238304</v>
      </c>
      <c r="I13" s="11" t="n">
        <v>901334.7799999998</v>
      </c>
      <c r="J13" s="11" t="n">
        <v>943075.91</v>
      </c>
      <c r="K13" s="11" t="n">
        <v>268151.2278180838</v>
      </c>
      <c r="L13" s="11" t="n">
        <v>287095.221903666</v>
      </c>
      <c r="M13" s="4" t="n"/>
      <c r="N13" s="12">
        <f>(D13-C13)*(E13/C13-G13/C13)</f>
        <v/>
      </c>
      <c r="O13" s="12">
        <f>(F13/D13-E13/C13)*D13</f>
        <v/>
      </c>
      <c r="P13" s="12">
        <f>-(H13/D13-G13/C13)*D13</f>
        <v/>
      </c>
      <c r="Q13" s="12">
        <f>-(J13-I13)</f>
        <v/>
      </c>
      <c r="R13" s="12">
        <f>-(L13-K13)</f>
        <v/>
      </c>
      <c r="S13" s="4" t="n"/>
    </row>
    <row r="14">
      <c r="A14" s="4" t="n"/>
      <c r="B14" s="9" t="inlineStr">
        <is>
          <t>MBway Lyon</t>
        </is>
      </c>
      <c r="C14" s="10" t="n">
        <v>304</v>
      </c>
      <c r="D14" s="11" t="n">
        <v>324</v>
      </c>
      <c r="E14" s="11" t="n">
        <v>2342685</v>
      </c>
      <c r="F14" s="11" t="n">
        <v>2496705</v>
      </c>
      <c r="G14" s="11" t="n">
        <v>302850</v>
      </c>
      <c r="H14" s="11" t="n">
        <v>319290</v>
      </c>
      <c r="I14" s="11" t="n">
        <v>1284681.03</v>
      </c>
      <c r="J14" s="11" t="n">
        <v>1346872.36</v>
      </c>
      <c r="K14" s="11" t="n">
        <v>348367.1950673439</v>
      </c>
      <c r="L14" s="11" t="n">
        <v>373569.4589820922</v>
      </c>
      <c r="M14" s="4" t="n"/>
      <c r="N14" s="12">
        <f>(D14-C14)*(E14/C14-G14/C14)</f>
        <v/>
      </c>
      <c r="O14" s="12">
        <f>(F14/D14-E14/C14)*D14</f>
        <v/>
      </c>
      <c r="P14" s="12">
        <f>-(H14/D14-G14/C14)*D14</f>
        <v/>
      </c>
      <c r="Q14" s="12">
        <f>-(J14-I14)</f>
        <v/>
      </c>
      <c r="R14" s="12">
        <f>-(L14-K14)</f>
        <v/>
      </c>
      <c r="S14" s="4" t="n"/>
    </row>
    <row r="15">
      <c r="A15" s="4" t="n"/>
      <c r="B15" s="9" t="inlineStr">
        <is>
          <t>MBway Nantes</t>
        </is>
      </c>
      <c r="C15" s="10" t="n">
        <v>279</v>
      </c>
      <c r="D15" s="11" t="n">
        <v>294</v>
      </c>
      <c r="E15" s="11" t="n">
        <v>2048260</v>
      </c>
      <c r="F15" s="11" t="n">
        <v>2158300</v>
      </c>
      <c r="G15" s="11" t="n">
        <v>271353</v>
      </c>
      <c r="H15" s="11" t="n">
        <v>285804</v>
      </c>
      <c r="I15" s="11" t="n">
        <v>1111778.52</v>
      </c>
      <c r="J15" s="11" t="n">
        <v>1149246.53</v>
      </c>
      <c r="K15" s="11" t="n">
        <v>319718.4864015467</v>
      </c>
      <c r="L15" s="11" t="n">
        <v>338979.5981499978</v>
      </c>
      <c r="M15" s="4" t="n"/>
      <c r="N15" s="12">
        <f>(D15-C15)*(E15/C15-G15/C15)</f>
        <v/>
      </c>
      <c r="O15" s="12">
        <f>(F15/D15-E15/C15)*D15</f>
        <v/>
      </c>
      <c r="P15" s="12">
        <f>-(H15/D15-G15/C15)*D15</f>
        <v/>
      </c>
      <c r="Q15" s="12">
        <f>-(J15-I15)</f>
        <v/>
      </c>
      <c r="R15" s="12">
        <f>-(L15-K15)</f>
        <v/>
      </c>
      <c r="S15" s="4" t="n"/>
    </row>
    <row r="16">
      <c r="A16" s="4" t="n"/>
      <c r="B16" s="9" t="inlineStr">
        <is>
          <t>MBway Paris</t>
        </is>
      </c>
      <c r="C16" s="10" t="n">
        <v>362</v>
      </c>
      <c r="D16" s="11" t="n">
        <v>382</v>
      </c>
      <c r="E16" s="11" t="n">
        <v>2974600</v>
      </c>
      <c r="F16" s="11" t="n">
        <v>3138840</v>
      </c>
      <c r="G16" s="11" t="n">
        <v>370591</v>
      </c>
      <c r="H16" s="11" t="n">
        <v>391525</v>
      </c>
      <c r="I16" s="11" t="n">
        <v>1648776.64</v>
      </c>
      <c r="J16" s="11" t="n">
        <v>1707251.49</v>
      </c>
      <c r="K16" s="11" t="n">
        <v>414832.3340357959</v>
      </c>
      <c r="L16" s="11" t="n">
        <v>440443.3705915956</v>
      </c>
      <c r="M16" s="4" t="n"/>
      <c r="N16" s="12">
        <f>(D16-C16)*(E16/C16-G16/C16)</f>
        <v/>
      </c>
      <c r="O16" s="12">
        <f>(F16/D16-E16/C16)*D16</f>
        <v/>
      </c>
      <c r="P16" s="12">
        <f>-(H16/D16-G16/C16)*D16</f>
        <v/>
      </c>
      <c r="Q16" s="12">
        <f>-(J16-I16)</f>
        <v/>
      </c>
      <c r="R16" s="12">
        <f>-(L16-K16)</f>
        <v/>
      </c>
      <c r="S16" s="4" t="n"/>
    </row>
    <row r="17">
      <c r="A17" s="4" t="n"/>
      <c r="B17" s="9" t="inlineStr">
        <is>
          <t>Pigier Bordeaux</t>
        </is>
      </c>
      <c r="C17" s="10" t="n">
        <v>166</v>
      </c>
      <c r="D17" s="11" t="n">
        <v>176</v>
      </c>
      <c r="E17" s="11" t="n">
        <v>1068270</v>
      </c>
      <c r="F17" s="11" t="n">
        <v>1132650</v>
      </c>
      <c r="G17" s="11" t="n">
        <v>162584</v>
      </c>
      <c r="H17" s="11" t="n">
        <v>171389</v>
      </c>
      <c r="I17" s="11" t="n">
        <v>508701.5699999999</v>
      </c>
      <c r="J17" s="11" t="n">
        <v>530872.76</v>
      </c>
      <c r="K17" s="11" t="n">
        <v>185745.8159994536</v>
      </c>
      <c r="L17" s="11" t="n">
        <v>198146.4540348334</v>
      </c>
      <c r="M17" s="4" t="n"/>
      <c r="N17" s="12">
        <f>(D17-C17)*(E17/C17-G17/C17)</f>
        <v/>
      </c>
      <c r="O17" s="12">
        <f>(F17/D17-E17/C17)*D17</f>
        <v/>
      </c>
      <c r="P17" s="12">
        <f>-(H17/D17-G17/C17)*D17</f>
        <v/>
      </c>
      <c r="Q17" s="12">
        <f>-(J17-I17)</f>
        <v/>
      </c>
      <c r="R17" s="12">
        <f>-(L17-K17)</f>
        <v/>
      </c>
      <c r="S17" s="4" t="n"/>
    </row>
    <row r="18">
      <c r="A18" s="4" t="n"/>
      <c r="B18" s="9" t="inlineStr">
        <is>
          <t>Pigier Lyon</t>
        </is>
      </c>
      <c r="C18" s="10" t="n">
        <v>211</v>
      </c>
      <c r="D18" s="11" t="n">
        <v>226</v>
      </c>
      <c r="E18" s="11" t="n">
        <v>1469340</v>
      </c>
      <c r="F18" s="11" t="n">
        <v>1573830</v>
      </c>
      <c r="G18" s="11" t="n">
        <v>190103</v>
      </c>
      <c r="H18" s="11" t="n">
        <v>200917</v>
      </c>
      <c r="I18" s="11" t="n">
        <v>736369.5600000001</v>
      </c>
      <c r="J18" s="11" t="n">
        <v>778456.91</v>
      </c>
      <c r="K18" s="11" t="n">
        <v>236099.0885076113</v>
      </c>
      <c r="L18" s="11" t="n">
        <v>254438.5895015823</v>
      </c>
      <c r="M18" s="4" t="n"/>
      <c r="N18" s="12">
        <f>(D18-C18)*(E18/C18-G18/C18)</f>
        <v/>
      </c>
      <c r="O18" s="12">
        <f>(F18/D18-E18/C18)*D18</f>
        <v/>
      </c>
      <c r="P18" s="12">
        <f>-(H18/D18-G18/C18)*D18</f>
        <v/>
      </c>
      <c r="Q18" s="12">
        <f>-(J18-I18)</f>
        <v/>
      </c>
      <c r="R18" s="12">
        <f>-(L18-K18)</f>
        <v/>
      </c>
      <c r="S18" s="4" t="n"/>
    </row>
    <row r="19">
      <c r="A19" s="4" t="n"/>
      <c r="B19" s="9" t="inlineStr">
        <is>
          <t>Tunon Lyon</t>
        </is>
      </c>
      <c r="C19" s="10" t="n">
        <v>111</v>
      </c>
      <c r="D19" s="11" t="n">
        <v>117</v>
      </c>
      <c r="E19" s="11" t="n">
        <v>819270</v>
      </c>
      <c r="F19" s="11" t="n">
        <v>863550</v>
      </c>
      <c r="G19" s="11" t="n">
        <v>127825</v>
      </c>
      <c r="H19" s="11" t="n">
        <v>134823</v>
      </c>
      <c r="I19" s="11" t="n">
        <v>523989.18</v>
      </c>
      <c r="J19" s="11" t="n">
        <v>561046.28</v>
      </c>
      <c r="K19" s="11" t="n">
        <v>127153.9396992599</v>
      </c>
      <c r="L19" s="11" t="n">
        <v>134851.3780311536</v>
      </c>
      <c r="M19" s="4" t="n"/>
      <c r="N19" s="12">
        <f>(D19-C19)*(E19/C19-G19/C19)</f>
        <v/>
      </c>
      <c r="O19" s="12">
        <f>(F19/D19-E19/C19)*D19</f>
        <v/>
      </c>
      <c r="P19" s="12">
        <f>-(H19/D19-G19/C19)*D19</f>
        <v/>
      </c>
      <c r="Q19" s="12">
        <f>-(J19-I19)</f>
        <v/>
      </c>
      <c r="R19" s="12">
        <f>-(L19-K19)</f>
        <v/>
      </c>
      <c r="S19" s="4" t="n"/>
    </row>
    <row r="20">
      <c r="A20" s="4" t="n"/>
      <c r="B20" s="9" t="inlineStr">
        <is>
          <t>Tunon Paris</t>
        </is>
      </c>
      <c r="C20" s="10" t="n">
        <v>129</v>
      </c>
      <c r="D20" s="11" t="n">
        <v>138</v>
      </c>
      <c r="E20" s="11" t="n">
        <v>1015320</v>
      </c>
      <c r="F20" s="11" t="n">
        <v>1086150</v>
      </c>
      <c r="G20" s="11" t="n">
        <v>145638</v>
      </c>
      <c r="H20" s="11" t="n">
        <v>154027</v>
      </c>
      <c r="I20" s="11" t="n">
        <v>664829.1599999999</v>
      </c>
      <c r="J20" s="11" t="n">
        <v>724171.6999999998</v>
      </c>
      <c r="K20" s="11" t="n">
        <v>147773.5365570392</v>
      </c>
      <c r="L20" s="11" t="n">
        <v>159055.5135753902</v>
      </c>
      <c r="M20" s="4" t="n"/>
      <c r="N20" s="12">
        <f>(D20-C20)*(E20/C20-G20/C20)</f>
        <v/>
      </c>
      <c r="O20" s="12">
        <f>(F20/D20-E20/C20)*D20</f>
        <v/>
      </c>
      <c r="P20" s="12">
        <f>-(H20/D20-G20/C20)*D20</f>
        <v/>
      </c>
      <c r="Q20" s="12">
        <f>-(J20-I20)</f>
        <v/>
      </c>
      <c r="R20" s="12">
        <f>-(L20-K20)</f>
        <v/>
      </c>
      <c r="S20" s="4" t="n"/>
    </row>
    <row r="21">
      <c r="A21" s="4" t="n"/>
      <c r="B21" s="13" t="inlineStr">
        <is>
          <t>TOTAL</t>
        </is>
      </c>
      <c r="C21" s="14">
        <f>SUM(C7:C20)</f>
        <v/>
      </c>
      <c r="D21" s="14">
        <f>SUM(D7:D20)</f>
        <v/>
      </c>
      <c r="E21" s="14">
        <f>SUM(E7:E20)</f>
        <v/>
      </c>
      <c r="F21" s="14">
        <f>SUM(F7:F20)</f>
        <v/>
      </c>
      <c r="G21" s="14">
        <f>SUM(G7:G20)</f>
        <v/>
      </c>
      <c r="H21" s="14">
        <f>SUM(H7:H20)</f>
        <v/>
      </c>
      <c r="I21" s="14">
        <f>SUM(I7:I20)</f>
        <v/>
      </c>
      <c r="J21" s="14">
        <f>SUM(J7:J20)</f>
        <v/>
      </c>
      <c r="K21" s="14">
        <f>SUM(K7:K20)</f>
        <v/>
      </c>
      <c r="L21" s="14">
        <f>SUM(L7:L20)</f>
        <v/>
      </c>
      <c r="M21" s="4" t="n"/>
      <c r="N21" s="14">
        <f>SUM(N7:N20)</f>
        <v/>
      </c>
      <c r="O21" s="14">
        <f>SUM(O7:O20)</f>
        <v/>
      </c>
      <c r="P21" s="14">
        <f>SUM(P7:P20)</f>
        <v/>
      </c>
      <c r="Q21" s="14">
        <f>SUM(Q7:Q20)</f>
        <v/>
      </c>
      <c r="R21" s="14">
        <f>SUM(R7:R20)</f>
        <v/>
      </c>
      <c r="S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</row>
    <row r="23">
      <c r="A23" s="4" t="n"/>
      <c r="B23" s="5" t="inlineStr">
        <is>
          <t>Le tableau du drill</t>
        </is>
      </c>
      <c r="C23" s="4" t="n"/>
      <c r="D23" s="4" t="n"/>
      <c r="E23" s="6" t="inlineStr">
        <is>
          <t xml:space="preserve">formules  </t>
        </is>
      </c>
      <c r="F23" s="4" t="n"/>
      <c r="G23" s="5" t="inlineStr">
        <is>
          <t>La cascade du graphe</t>
        </is>
      </c>
      <c r="H23" s="4" t="n"/>
      <c r="I23" s="4" t="n"/>
      <c r="J23" s="4" t="n"/>
      <c r="K23" s="6" t="inlineStr">
        <is>
          <t xml:space="preserve">formules  </t>
        </is>
      </c>
      <c r="L23" s="4" t="n"/>
      <c r="M23" s="4" t="n"/>
      <c r="N23" s="4" t="n"/>
      <c r="O23" s="4" t="n"/>
      <c r="P23" s="4" t="n"/>
      <c r="Q23" s="4" t="n"/>
      <c r="R23" s="4" t="n"/>
      <c r="S23" s="4" t="n"/>
    </row>
    <row r="24">
      <c r="A24" s="4" t="n"/>
      <c r="B24" s="7" t="inlineStr">
        <is>
          <t>RANG</t>
        </is>
      </c>
      <c r="C24" s="8" t="inlineStr">
        <is>
          <t>EFFET</t>
        </is>
      </c>
      <c r="D24" s="8" t="inlineStr">
        <is>
          <t>MONTANT</t>
        </is>
      </c>
      <c r="E24" s="8" t="inlineStr">
        <is>
          <t>PART_VAR</t>
        </is>
      </c>
      <c r="F24" s="4" t="n"/>
      <c r="G24" s="7" t="inlineStr">
        <is>
          <t>ETAPE</t>
        </is>
      </c>
      <c r="H24" s="8" t="inlineStr">
        <is>
          <t>SOCLE</t>
        </is>
      </c>
      <c r="I24" s="8" t="inlineStr">
        <is>
          <t>ANCRE</t>
        </is>
      </c>
      <c r="J24" s="8" t="inlineStr">
        <is>
          <t>HAUSSE</t>
        </is>
      </c>
      <c r="K24" s="8" t="inlineStr">
        <is>
          <t>BAISSE</t>
        </is>
      </c>
      <c r="L24" s="4" t="n"/>
      <c r="M24" s="4" t="n"/>
      <c r="N24" s="4" t="n"/>
      <c r="O24" s="4" t="n"/>
      <c r="P24" s="4" t="n"/>
      <c r="Q24" s="4" t="n"/>
      <c r="R24" s="4" t="n"/>
      <c r="S24" s="4" t="n"/>
    </row>
    <row r="25">
      <c r="A25" s="4" t="n"/>
      <c r="B25" s="15" t="n">
        <v>1</v>
      </c>
      <c r="C25" s="16" t="inlineStr">
        <is>
          <t>EBITDA 2025</t>
        </is>
      </c>
      <c r="D25" s="17">
        <f>SUM(E7:E20)-SUM(G7:G20)-SUM(I7:I20)-SUM(K7:K20)</f>
        <v/>
      </c>
      <c r="E25" s="18" t="n"/>
      <c r="F25" s="4" t="n"/>
      <c r="G25" s="19" t="inlineStr">
        <is>
          <t>EBITDA 2025</t>
        </is>
      </c>
      <c r="H25" s="20" t="n">
        <v>0</v>
      </c>
      <c r="I25" s="20">
        <f>D25</f>
        <v/>
      </c>
      <c r="J25" s="20" t="n">
        <v>0</v>
      </c>
      <c r="K25" s="20" t="n">
        <v>0</v>
      </c>
      <c r="L25" s="4" t="n"/>
      <c r="M25" s="4" t="n"/>
      <c r="N25" s="4" t="n"/>
      <c r="O25" s="4" t="n"/>
      <c r="P25" s="4" t="n"/>
      <c r="Q25" s="4" t="n"/>
      <c r="R25" s="4" t="n"/>
      <c r="S25" s="4" t="n"/>
    </row>
    <row r="26">
      <c r="A26" s="4" t="n"/>
      <c r="B26" s="21" t="n">
        <v>2</v>
      </c>
      <c r="C26" s="9" t="inlineStr">
        <is>
          <t>Effet effectifs</t>
        </is>
      </c>
      <c r="D26" s="22">
        <f>N21</f>
        <v/>
      </c>
      <c r="E26" s="23">
        <f>IFERROR(D26/(D31-D25),"")</f>
        <v/>
      </c>
      <c r="F26" s="4" t="n"/>
      <c r="G26" s="9" t="inlineStr">
        <is>
          <t>Effet effectifs</t>
        </is>
      </c>
      <c r="H26" s="11">
        <f>MIN(D25,D25+SUM(D26:D26))</f>
        <v/>
      </c>
      <c r="I26" s="11" t="n">
        <v>0</v>
      </c>
      <c r="J26" s="11">
        <f>MAX(D26,0)</f>
        <v/>
      </c>
      <c r="K26" s="11">
        <f>MAX(-D26,0)</f>
        <v/>
      </c>
      <c r="L26" s="4" t="n"/>
      <c r="M26" s="4" t="n"/>
      <c r="N26" s="4" t="n"/>
      <c r="O26" s="4" t="n"/>
      <c r="P26" s="4" t="n"/>
      <c r="Q26" s="4" t="n"/>
      <c r="R26" s="4" t="n"/>
      <c r="S26" s="4" t="n"/>
    </row>
    <row r="27">
      <c r="A27" s="4" t="n"/>
      <c r="B27" s="21" t="n">
        <v>3</v>
      </c>
      <c r="C27" s="9" t="inlineStr">
        <is>
          <t>Effet prix et mix</t>
        </is>
      </c>
      <c r="D27" s="22">
        <f>O21</f>
        <v/>
      </c>
      <c r="E27" s="23">
        <f>IFERROR(D27/(D31-D25),"")</f>
        <v/>
      </c>
      <c r="F27" s="4" t="n"/>
      <c r="G27" s="9" t="inlineStr">
        <is>
          <t>Effet prix et mix</t>
        </is>
      </c>
      <c r="H27" s="11">
        <f>MIN(D25+SUM(D26:D26),D25+SUM(D26:D27))</f>
        <v/>
      </c>
      <c r="I27" s="11" t="n">
        <v>0</v>
      </c>
      <c r="J27" s="11">
        <f>MAX(D27,0)</f>
        <v/>
      </c>
      <c r="K27" s="11">
        <f>MAX(-D27,0)</f>
        <v/>
      </c>
      <c r="L27" s="4" t="n"/>
      <c r="M27" s="4" t="n"/>
      <c r="N27" s="4" t="n"/>
      <c r="O27" s="4" t="n"/>
      <c r="P27" s="4" t="n"/>
      <c r="Q27" s="4" t="n"/>
      <c r="R27" s="4" t="n"/>
      <c r="S27" s="4" t="n"/>
    </row>
    <row r="28">
      <c r="A28" s="4" t="n"/>
      <c r="B28" s="21" t="n">
        <v>4</v>
      </c>
      <c r="C28" s="9" t="inlineStr">
        <is>
          <t>Effet coût var. unitaire</t>
        </is>
      </c>
      <c r="D28" s="22">
        <f>P21</f>
        <v/>
      </c>
      <c r="E28" s="23">
        <f>IFERROR(D28/(D31-D25),"")</f>
        <v/>
      </c>
      <c r="F28" s="4" t="n"/>
      <c r="G28" s="9" t="inlineStr">
        <is>
          <t>Effet coût var. unitaire</t>
        </is>
      </c>
      <c r="H28" s="11">
        <f>MIN(D25+SUM(D26:D27),D25+SUM(D26:D28))</f>
        <v/>
      </c>
      <c r="I28" s="11" t="n">
        <v>0</v>
      </c>
      <c r="J28" s="11">
        <f>MAX(D28,0)</f>
        <v/>
      </c>
      <c r="K28" s="11">
        <f>MAX(-D28,0)</f>
        <v/>
      </c>
      <c r="L28" s="4" t="n"/>
      <c r="M28" s="4" t="n"/>
      <c r="N28" s="4" t="n"/>
      <c r="O28" s="4" t="n"/>
      <c r="P28" s="4" t="n"/>
      <c r="Q28" s="4" t="n"/>
      <c r="R28" s="4" t="n"/>
      <c r="S28" s="4" t="n"/>
    </row>
    <row r="29">
      <c r="A29" s="4" t="n"/>
      <c r="B29" s="21" t="n">
        <v>5</v>
      </c>
      <c r="C29" s="9" t="inlineStr">
        <is>
          <t>Effet coûts directs</t>
        </is>
      </c>
      <c r="D29" s="22">
        <f>Q21</f>
        <v/>
      </c>
      <c r="E29" s="23">
        <f>IFERROR(D29/(D31-D25),"")</f>
        <v/>
      </c>
      <c r="F29" s="4" t="n"/>
      <c r="G29" s="9" t="inlineStr">
        <is>
          <t>Effet coûts directs</t>
        </is>
      </c>
      <c r="H29" s="11">
        <f>MIN(D25+SUM(D26:D28),D25+SUM(D26:D29))</f>
        <v/>
      </c>
      <c r="I29" s="11" t="n">
        <v>0</v>
      </c>
      <c r="J29" s="11">
        <f>MAX(D29,0)</f>
        <v/>
      </c>
      <c r="K29" s="11">
        <f>MAX(-D29,0)</f>
        <v/>
      </c>
      <c r="L29" s="4" t="n"/>
      <c r="M29" s="4" t="n"/>
      <c r="N29" s="4" t="n"/>
      <c r="O29" s="4" t="n"/>
      <c r="P29" s="4" t="n"/>
      <c r="Q29" s="4" t="n"/>
      <c r="R29" s="4" t="n"/>
      <c r="S29" s="4" t="n"/>
    </row>
    <row r="30">
      <c r="A30" s="4" t="n"/>
      <c r="B30" s="21" t="n">
        <v>6</v>
      </c>
      <c r="C30" s="9" t="inlineStr">
        <is>
          <t>Effet siège</t>
        </is>
      </c>
      <c r="D30" s="22">
        <f>R21</f>
        <v/>
      </c>
      <c r="E30" s="23">
        <f>IFERROR(D30/(D31-D25),"")</f>
        <v/>
      </c>
      <c r="F30" s="4" t="n"/>
      <c r="G30" s="9" t="inlineStr">
        <is>
          <t>Effet siège</t>
        </is>
      </c>
      <c r="H30" s="11">
        <f>MIN(D25+SUM(D26:D29),D25+SUM(D26:D30))</f>
        <v/>
      </c>
      <c r="I30" s="11" t="n">
        <v>0</v>
      </c>
      <c r="J30" s="11">
        <f>MAX(D30,0)</f>
        <v/>
      </c>
      <c r="K30" s="11">
        <f>MAX(-D30,0)</f>
        <v/>
      </c>
      <c r="L30" s="4" t="n"/>
      <c r="M30" s="4" t="n"/>
      <c r="N30" s="4" t="n"/>
      <c r="O30" s="4" t="n"/>
      <c r="P30" s="4" t="n"/>
      <c r="Q30" s="4" t="n"/>
      <c r="R30" s="4" t="n"/>
      <c r="S30" s="4" t="n"/>
    </row>
    <row r="31">
      <c r="A31" s="4" t="n"/>
      <c r="B31" s="15" t="n">
        <v>7</v>
      </c>
      <c r="C31" s="16" t="inlineStr">
        <is>
          <t>EBITDA 2026</t>
        </is>
      </c>
      <c r="D31" s="17">
        <f>SUM(F7:F20)-SUM(H7:H20)-SUM(J7:J20)-SUM(L7:L20)</f>
        <v/>
      </c>
      <c r="E31" s="18" t="n"/>
      <c r="F31" s="4" t="n"/>
      <c r="G31" s="19" t="inlineStr">
        <is>
          <t>EBITDA 2026</t>
        </is>
      </c>
      <c r="H31" s="20" t="n">
        <v>0</v>
      </c>
      <c r="I31" s="20">
        <f>D31</f>
        <v/>
      </c>
      <c r="J31" s="20" t="n">
        <v>0</v>
      </c>
      <c r="K31" s="20" t="n">
        <v>0</v>
      </c>
      <c r="L31" s="4" t="n"/>
      <c r="M31" s="4" t="n"/>
      <c r="N31" s="4" t="n"/>
      <c r="O31" s="4" t="n"/>
      <c r="P31" s="4" t="n"/>
      <c r="Q31" s="4" t="n"/>
      <c r="R31" s="4" t="n"/>
      <c r="S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</row>
    <row r="33">
      <c r="A33" s="4" t="n"/>
      <c r="B33" s="4" t="n"/>
      <c r="C33" s="24" t="inlineStr">
        <is>
          <t>Contrôle · somme des cinq effets moins la variation</t>
        </is>
      </c>
      <c r="D33" s="25">
        <f>SUM(D26:D30)-(D31-D25)</f>
        <v/>
      </c>
      <c r="E33" s="26" t="inlineStr">
        <is>
          <t>doit valoir 0,00 €</t>
        </is>
      </c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</row>
    <row r="56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</row>
    <row r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</row>
  </sheetData>
  <conditionalFormatting sqref="D26:D3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2026-09-06T21:54:07Z</dcterms:created>
  <dcterms:modified xsi:type="dcterms:W3CDTF">2026-09-06T21:54:07Z</dcterms:modified>
</cp:coreProperties>
</file>