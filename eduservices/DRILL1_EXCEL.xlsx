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ll EBIT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.0%"/>
    <numFmt numFmtId="166" formatCode="0.00&quot; €&quot;"/>
  </numFmts>
  <fonts count="12">
    <font>
      <name val="Calibri"/>
      <family val="2"/>
      <color theme="1"/>
      <sz val="11"/>
      <scheme val="minor"/>
    </font>
    <font>
      <name val="Fira Sans Medium"/>
      <b val="1"/>
      <color rgb="00FFFFFF"/>
      <sz val="15"/>
    </font>
    <font>
      <name val="Arial"/>
      <color rgb="00B8C6DA"/>
      <sz val="8"/>
    </font>
    <font>
      <name val="Fira Sans Medium"/>
      <b val="1"/>
      <color rgb="00202733"/>
      <sz val="10"/>
    </font>
    <font>
      <name val="Arial"/>
      <i val="1"/>
      <color rgb="0069778B"/>
      <sz val="7.5"/>
    </font>
    <font>
      <name val="Fira Sans Medium"/>
      <b val="1"/>
      <color rgb="00FFFFFF"/>
      <sz val="8"/>
    </font>
    <font>
      <name val="Arial"/>
      <color rgb="00202733"/>
      <sz val="8.5"/>
    </font>
    <font>
      <name val="Arial"/>
      <b val="1"/>
      <color rgb="00202733"/>
      <sz val="8.5"/>
    </font>
    <font>
      <name val="Arial"/>
      <color rgb="0069778B"/>
      <sz val="7.5"/>
    </font>
    <font>
      <name val="Arial"/>
      <color rgb="0069778B"/>
      <sz val="8.5"/>
    </font>
    <font>
      <name val="Arial"/>
      <b val="1"/>
      <color rgb="0069778B"/>
      <sz val="8"/>
    </font>
    <font>
      <name val="Arial"/>
      <b val="1"/>
      <color rgb="001E9E89"/>
      <sz val="10"/>
    </font>
  </fonts>
  <fills count="8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2033"/>
      </patternFill>
    </fill>
    <fill>
      <patternFill patternType="solid">
        <fgColor rgb="00526071"/>
      </patternFill>
    </fill>
    <fill>
      <patternFill patternType="solid">
        <fgColor rgb="00FFFFFF"/>
      </patternFill>
    </fill>
    <fill>
      <patternFill patternType="solid">
        <fgColor rgb="00FFF1E8"/>
      </patternFill>
    </fill>
    <fill>
      <patternFill patternType="solid">
        <fgColor rgb="00EAF2FC"/>
      </patternFill>
    </fill>
  </fills>
  <borders count="4">
    <border>
      <left/>
      <right/>
      <top/>
      <bottom/>
      <diagonal/>
    </border>
    <border>
      <left style="thin">
        <color rgb="00526071"/>
      </left>
      <right style="thin">
        <color rgb="00526071"/>
      </right>
      <top style="thin">
        <color rgb="00526071"/>
      </top>
      <bottom style="thin">
        <color rgb="00526071"/>
      </bottom>
    </border>
    <border>
      <bottom style="thin">
        <color rgb="00E9EDF3"/>
      </bottom>
    </border>
    <border>
      <top style="medium">
        <color rgb="00526071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3" fontId="6" fillId="5" borderId="2" applyAlignment="1" pivotButton="0" quotePrefix="0" xfId="0">
      <alignment horizontal="left" vertical="center" indent="1"/>
    </xf>
    <xf numFmtId="3" fontId="6" fillId="5" borderId="2" applyAlignment="1" pivotButton="0" quotePrefix="0" xfId="0">
      <alignment horizontal="right" vertical="center"/>
    </xf>
    <xf numFmtId="4" fontId="6" fillId="5" borderId="2" applyAlignment="1" pivotButton="0" quotePrefix="0" xfId="0">
      <alignment horizontal="right" vertical="center"/>
    </xf>
    <xf numFmtId="3" fontId="6" fillId="6" borderId="2" applyAlignment="1" pivotButton="0" quotePrefix="0" xfId="0">
      <alignment horizontal="right" vertical="center"/>
    </xf>
    <xf numFmtId="0" fontId="7" fillId="7" borderId="3" applyAlignment="1" pivotButton="0" quotePrefix="0" xfId="0">
      <alignment horizontal="left" vertical="center" indent="1"/>
    </xf>
    <xf numFmtId="3" fontId="7" fillId="7" borderId="3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indent="1"/>
    </xf>
    <xf numFmtId="164" fontId="7" fillId="7" borderId="2" applyAlignment="1" pivotButton="0" quotePrefix="0" xfId="0">
      <alignment horizontal="right" vertical="center"/>
    </xf>
    <xf numFmtId="0" fontId="0" fillId="7" borderId="2" pivotButton="0" quotePrefix="0" xfId="0"/>
    <xf numFmtId="0" fontId="6" fillId="7" borderId="2" applyAlignment="1" pivotButton="0" quotePrefix="0" xfId="0">
      <alignment horizontal="left" vertical="center" indent="1"/>
    </xf>
    <xf numFmtId="3" fontId="6" fillId="7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indent="1"/>
    </xf>
    <xf numFmtId="164" fontId="6" fillId="5" borderId="2" applyAlignment="1" pivotButton="0" quotePrefix="0" xfId="0">
      <alignment horizontal="right" vertical="center"/>
    </xf>
    <xf numFmtId="165" fontId="9" fillId="5" borderId="2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 indent="1"/>
    </xf>
    <xf numFmtId="166" fontId="11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name val="Arial"/>
        <color rgb="001E9E89"/>
        <sz val="8.5"/>
      </font>
    </dxf>
    <dxf>
      <font>
        <name val="Arial"/>
        <color rgb="00D64545"/>
        <sz val="8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spPr>
            <a:noFill/>
            <a:ln>
              <a:prstDash val="solid"/>
            </a:ln>
          </spPr>
          <cat>
            <strRef>
              <f>'Drill EBITDA'!$G$25:$G$31</f>
            </strRef>
          </cat>
          <val>
            <numRef>
              <f>'Drill EBITDA'!$H$25:$H$31</f>
            </numRef>
          </val>
        </ser>
        <ser>
          <idx val="1"/>
          <order val="1"/>
          <spPr>
            <a:solidFill>
              <a:srgbClr val="526071"/>
            </a:solidFill>
            <a:ln>
              <a:noFill/>
              <a:prstDash val="solid"/>
            </a:ln>
          </spPr>
          <cat>
            <strRef>
              <f>'Drill EBITDA'!$G$25:$G$31</f>
            </strRef>
          </cat>
          <val>
            <numRef>
              <f>'Drill EBITDA'!$I$25:$I$31</f>
            </numRef>
          </val>
        </ser>
        <ser>
          <idx val="2"/>
          <order val="2"/>
          <spPr>
            <a:solidFill>
              <a:srgbClr val="1E9E89"/>
            </a:solidFill>
            <a:ln>
              <a:noFill/>
              <a:prstDash val="solid"/>
            </a:ln>
          </spPr>
          <cat>
            <strRef>
              <f>'Drill EBITDA'!$G$25:$G$31</f>
            </strRef>
          </cat>
          <val>
            <numRef>
              <f>'Drill EBITDA'!$J$25:$J$31</f>
            </numRef>
          </val>
        </ser>
        <ser>
          <idx val="3"/>
          <order val="3"/>
          <spPr>
            <a:solidFill>
              <a:srgbClr val="D64545"/>
            </a:solidFill>
            <a:ln>
              <a:noFill/>
              <a:prstDash val="solid"/>
            </a:ln>
          </spPr>
          <cat>
            <strRef>
              <f>'Drill EBITDA'!$G$25:$G$31</f>
            </strRef>
          </cat>
          <val>
            <numRef>
              <f>'Drill EBITDA'!$K$25:$K$31</f>
            </numRef>
          </val>
        </ser>
        <gapWidth val="4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34</row>
      <rowOff>0</rowOff>
    </from>
    <ext cx="79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6" customHeight="1">
      <c r="A2" s="1" t="n"/>
      <c r="B2" s="2" t="inlineStr">
        <is>
          <t>POURQUOI L'EBITDA A BOUGÉ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15" customHeight="1">
      <c r="A3" s="1" t="n"/>
      <c r="B3" s="3" t="inlineStr">
        <is>
          <t>drill sur EDUSERVICES · 2026 contre 2025 · la requête ne renvoie que des sommes, tout le reste est formule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17" customHeight="1">
      <c r="A5" s="4" t="n"/>
      <c r="B5" s="5" t="inlineStr">
        <is>
          <t>CE QUE LA REQUÊTE RENVOIE  ·  Q_D1_SOCLE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6" t="inlineStr">
        <is>
          <t xml:space="preserve">une ligne par campus  </t>
        </is>
      </c>
      <c r="Q5" s="4" t="n"/>
      <c r="R5" s="4" t="n"/>
      <c r="S5" s="5" t="inlineStr">
        <is>
          <t>CE QUE LE CLASSEUR CALCULE</t>
        </is>
      </c>
      <c r="T5" s="4" t="n"/>
      <c r="U5" s="4" t="n"/>
      <c r="V5" s="4" t="n"/>
      <c r="W5" s="6" t="inlineStr">
        <is>
          <t xml:space="preserve">une multiplication par effet, aucune division  </t>
        </is>
      </c>
      <c r="X5" s="4" t="n"/>
    </row>
    <row r="6" ht="30" customHeight="1">
      <c r="A6" s="4" t="n"/>
      <c r="B6" s="7" t="inlineStr">
        <is>
          <t>Campus</t>
        </is>
      </c>
      <c r="C6" s="8" t="inlineStr">
        <is>
          <t>Effectifs 2025</t>
        </is>
      </c>
      <c r="D6" s="8" t="inlineStr">
        <is>
          <t>Effectifs 2026</t>
        </is>
      </c>
      <c r="E6" s="8" t="inlineStr">
        <is>
          <t>Élèves gagnés</t>
        </is>
      </c>
      <c r="F6" s="8" t="inlineStr">
        <is>
          <t>CA par élève 2025</t>
        </is>
      </c>
      <c r="G6" s="8" t="inlineStr">
        <is>
          <t>CA par élève 2026</t>
        </is>
      </c>
      <c r="H6" s="8" t="inlineStr">
        <is>
          <t>Coût var. par élève 2025</t>
        </is>
      </c>
      <c r="I6" s="8" t="inlineStr">
        <is>
          <t>Coût var. par élève 2026</t>
        </is>
      </c>
      <c r="J6" s="8" t="inlineStr">
        <is>
          <t>Marge sur coût var. par élève 2025</t>
        </is>
      </c>
      <c r="K6" s="8" t="inlineStr">
        <is>
          <t>Coûts directs 2025</t>
        </is>
      </c>
      <c r="L6" s="8" t="inlineStr">
        <is>
          <t>Coûts directs 2026</t>
        </is>
      </c>
      <c r="M6" s="8" t="inlineStr">
        <is>
          <t>Siège 2025</t>
        </is>
      </c>
      <c r="N6" s="8" t="inlineStr">
        <is>
          <t>Siège 2026</t>
        </is>
      </c>
      <c r="O6" s="8" t="inlineStr">
        <is>
          <t>EBITDA 2025</t>
        </is>
      </c>
      <c r="P6" s="8" t="inlineStr">
        <is>
          <t>EBITDA 2026</t>
        </is>
      </c>
      <c r="Q6" s="4" t="n"/>
      <c r="R6" s="4" t="n"/>
      <c r="S6" s="7" t="inlineStr">
        <is>
          <t>Effet effectifs</t>
        </is>
      </c>
      <c r="T6" s="8" t="inlineStr">
        <is>
          <t>Effet prix et mix</t>
        </is>
      </c>
      <c r="U6" s="8" t="inlineStr">
        <is>
          <t>Effet coût var. unitaire</t>
        </is>
      </c>
      <c r="V6" s="8" t="inlineStr">
        <is>
          <t>Effet coûts directs</t>
        </is>
      </c>
      <c r="W6" s="8" t="inlineStr">
        <is>
          <t>Effet siège</t>
        </is>
      </c>
      <c r="X6" s="4" t="n"/>
    </row>
    <row r="7">
      <c r="A7" s="4" t="n"/>
      <c r="B7" s="9" t="inlineStr">
        <is>
          <t>ISCOM Lille</t>
        </is>
      </c>
      <c r="C7" s="10" t="n">
        <v>229</v>
      </c>
      <c r="D7" s="10" t="n">
        <v>244</v>
      </c>
      <c r="E7" s="10" t="n">
        <v>15</v>
      </c>
      <c r="F7" s="11" t="n">
        <v>7196.50655</v>
      </c>
      <c r="G7" s="11" t="n">
        <v>7196.106557</v>
      </c>
      <c r="H7" s="11" t="n">
        <v>981.7074239999999</v>
      </c>
      <c r="I7" s="11" t="n">
        <v>970.245902</v>
      </c>
      <c r="J7" s="11" t="n">
        <v>6214.799127</v>
      </c>
      <c r="K7" s="10" t="n">
        <v>901529.53</v>
      </c>
      <c r="L7" s="10" t="n">
        <v>948506.29</v>
      </c>
      <c r="M7" s="10" t="n">
        <v>261958.4339533122</v>
      </c>
      <c r="N7" s="10" t="n">
        <v>280833.8246002989</v>
      </c>
      <c r="O7" s="10" t="n">
        <v>259701.0360466878</v>
      </c>
      <c r="P7" s="10" t="n">
        <v>289769.8853997011</v>
      </c>
      <c r="Q7" s="4" t="n"/>
      <c r="R7" s="4" t="n"/>
      <c r="S7" s="12">
        <f>E7*J7</f>
        <v/>
      </c>
      <c r="T7" s="12">
        <f>(G7-F7)*D7</f>
        <v/>
      </c>
      <c r="U7" s="12">
        <f>-(I7-H7)*D7</f>
        <v/>
      </c>
      <c r="V7" s="12">
        <f>-(L7-K7)</f>
        <v/>
      </c>
      <c r="W7" s="12">
        <f>-(N7-M7)</f>
        <v/>
      </c>
      <c r="X7" s="4" t="n"/>
    </row>
    <row r="8">
      <c r="A8" s="4" t="n"/>
      <c r="B8" s="9" t="inlineStr">
        <is>
          <t>ISCOM Paris</t>
        </is>
      </c>
      <c r="C8" s="10" t="n">
        <v>334</v>
      </c>
      <c r="D8" s="10" t="n">
        <v>354</v>
      </c>
      <c r="E8" s="10" t="n">
        <v>20</v>
      </c>
      <c r="F8" s="11" t="n">
        <v>8217.005988000001</v>
      </c>
      <c r="G8" s="11" t="n">
        <v>8216.723164000001</v>
      </c>
      <c r="H8" s="11" t="n">
        <v>1059.389222</v>
      </c>
      <c r="I8" s="11" t="n">
        <v>1055.412429</v>
      </c>
      <c r="J8" s="11" t="n">
        <v>7157.616766</v>
      </c>
      <c r="K8" s="10" t="n">
        <v>1532006.33</v>
      </c>
      <c r="L8" s="10" t="n">
        <v>1601085.78</v>
      </c>
      <c r="M8" s="10" t="n">
        <v>382070.6040951031</v>
      </c>
      <c r="N8" s="10" t="n">
        <v>407439.4766752479</v>
      </c>
      <c r="O8" s="10" t="n">
        <v>476567.0659048968</v>
      </c>
      <c r="P8" s="10" t="n">
        <v>526578.7433247521</v>
      </c>
      <c r="Q8" s="4" t="n"/>
      <c r="R8" s="4" t="n"/>
      <c r="S8" s="12">
        <f>E8*J8</f>
        <v/>
      </c>
      <c r="T8" s="12">
        <f>(G8-F8)*D8</f>
        <v/>
      </c>
      <c r="U8" s="12">
        <f>-(I8-H8)*D8</f>
        <v/>
      </c>
      <c r="V8" s="12">
        <f>-(L8-K8)</f>
        <v/>
      </c>
      <c r="W8" s="12">
        <f>-(N8-M8)</f>
        <v/>
      </c>
      <c r="X8" s="4" t="n"/>
    </row>
    <row r="9">
      <c r="A9" s="4" t="n"/>
      <c r="B9" s="9" t="inlineStr">
        <is>
          <t>ISCOM Toulouse</t>
        </is>
      </c>
      <c r="C9" s="10" t="n">
        <v>216</v>
      </c>
      <c r="D9" s="10" t="n">
        <v>231</v>
      </c>
      <c r="E9" s="10" t="n">
        <v>15</v>
      </c>
      <c r="F9" s="11" t="n">
        <v>7047.777778</v>
      </c>
      <c r="G9" s="11" t="n">
        <v>7047.532468</v>
      </c>
      <c r="H9" s="11" t="n">
        <v>1006.217593</v>
      </c>
      <c r="I9" s="11" t="n">
        <v>990.3290040000001</v>
      </c>
      <c r="J9" s="11" t="n">
        <v>6041.560185</v>
      </c>
      <c r="K9" s="10" t="n">
        <v>822578.02</v>
      </c>
      <c r="L9" s="10" t="n">
        <v>869560.28</v>
      </c>
      <c r="M9" s="10" t="n">
        <v>247087.0060874675</v>
      </c>
      <c r="N9" s="10" t="n">
        <v>265870.9093532066</v>
      </c>
      <c r="O9" s="10" t="n">
        <v>235311.9739125325</v>
      </c>
      <c r="P9" s="10" t="n">
        <v>263782.8106467934</v>
      </c>
      <c r="Q9" s="4" t="n"/>
      <c r="R9" s="4" t="n"/>
      <c r="S9" s="12">
        <f>E9*J9</f>
        <v/>
      </c>
      <c r="T9" s="12">
        <f>(G9-F9)*D9</f>
        <v/>
      </c>
      <c r="U9" s="12">
        <f>-(I9-H9)*D9</f>
        <v/>
      </c>
      <c r="V9" s="12">
        <f>-(L9-K9)</f>
        <v/>
      </c>
      <c r="W9" s="12">
        <f>-(N9-M9)</f>
        <v/>
      </c>
      <c r="X9" s="4" t="n"/>
    </row>
    <row r="10">
      <c r="A10" s="4" t="n"/>
      <c r="B10" s="9" t="inlineStr">
        <is>
          <t>Ipac Montpellier</t>
        </is>
      </c>
      <c r="C10" s="10" t="n">
        <v>111</v>
      </c>
      <c r="D10" s="10" t="n">
        <v>117</v>
      </c>
      <c r="E10" s="10" t="n">
        <v>6</v>
      </c>
      <c r="F10" s="11" t="n">
        <v>6680.810811</v>
      </c>
      <c r="G10" s="11" t="n">
        <v>6680.769231</v>
      </c>
      <c r="H10" s="11" t="n">
        <v>1121.504505</v>
      </c>
      <c r="I10" s="11" t="n">
        <v>1120.948718</v>
      </c>
      <c r="J10" s="11" t="n">
        <v>5559.306306</v>
      </c>
      <c r="K10" s="10" t="n">
        <v>398826.0100000001</v>
      </c>
      <c r="L10" s="10" t="n">
        <v>410605.25</v>
      </c>
      <c r="M10" s="10" t="n">
        <v>124469.3147420315</v>
      </c>
      <c r="N10" s="10" t="n">
        <v>132004.2356159417</v>
      </c>
      <c r="O10" s="10" t="n">
        <v>93787.6752579684</v>
      </c>
      <c r="P10" s="10" t="n">
        <v>107889.5143840583</v>
      </c>
      <c r="Q10" s="4" t="n"/>
      <c r="R10" s="4" t="n"/>
      <c r="S10" s="12">
        <f>E10*J10</f>
        <v/>
      </c>
      <c r="T10" s="12">
        <f>(G10-F10)*D10</f>
        <v/>
      </c>
      <c r="U10" s="12">
        <f>-(I10-H10)*D10</f>
        <v/>
      </c>
      <c r="V10" s="12">
        <f>-(L10-K10)</f>
        <v/>
      </c>
      <c r="W10" s="12">
        <f>-(N10-M10)</f>
        <v/>
      </c>
      <c r="X10" s="4" t="n"/>
    </row>
    <row r="11">
      <c r="A11" s="4" t="n"/>
      <c r="B11" s="9" t="inlineStr">
        <is>
          <t>Ipac Nantes</t>
        </is>
      </c>
      <c r="C11" s="10" t="n">
        <v>136</v>
      </c>
      <c r="D11" s="10" t="n">
        <v>145</v>
      </c>
      <c r="E11" s="10" t="n">
        <v>9</v>
      </c>
      <c r="F11" s="11" t="n">
        <v>7031.102941</v>
      </c>
      <c r="G11" s="11" t="n">
        <v>7031.034483</v>
      </c>
      <c r="H11" s="11" t="n">
        <v>1032.455882</v>
      </c>
      <c r="I11" s="11" t="n">
        <v>1021.737931</v>
      </c>
      <c r="J11" s="11" t="n">
        <v>5998.647059</v>
      </c>
      <c r="K11" s="10" t="n">
        <v>533738.6800000001</v>
      </c>
      <c r="L11" s="10" t="n">
        <v>557856.2</v>
      </c>
      <c r="M11" s="10" t="n">
        <v>152502.7022939203</v>
      </c>
      <c r="N11" s="10" t="n">
        <v>163594.7333690526</v>
      </c>
      <c r="O11" s="10" t="n">
        <v>129574.6177060797</v>
      </c>
      <c r="P11" s="10" t="n">
        <v>149897.0666309475</v>
      </c>
      <c r="Q11" s="4" t="n"/>
      <c r="R11" s="4" t="n"/>
      <c r="S11" s="12">
        <f>E11*J11</f>
        <v/>
      </c>
      <c r="T11" s="12">
        <f>(G11-F11)*D11</f>
        <v/>
      </c>
      <c r="U11" s="12">
        <f>-(I11-H11)*D11</f>
        <v/>
      </c>
      <c r="V11" s="12">
        <f>-(L11-K11)</f>
        <v/>
      </c>
      <c r="W11" s="12">
        <f>-(N11-M11)</f>
        <v/>
      </c>
      <c r="X11" s="4" t="n"/>
    </row>
    <row r="12">
      <c r="A12" s="4" t="n"/>
      <c r="B12" s="9" t="inlineStr">
        <is>
          <t>Ipac Rennes</t>
        </is>
      </c>
      <c r="C12" s="10" t="n">
        <v>111</v>
      </c>
      <c r="D12" s="10" t="n">
        <v>117</v>
      </c>
      <c r="E12" s="10" t="n">
        <v>6</v>
      </c>
      <c r="F12" s="11" t="n">
        <v>6680.810811</v>
      </c>
      <c r="G12" s="11" t="n">
        <v>6680.769231</v>
      </c>
      <c r="H12" s="11" t="n">
        <v>1119.495495</v>
      </c>
      <c r="I12" s="11" t="n">
        <v>1118.854701</v>
      </c>
      <c r="J12" s="11" t="n">
        <v>5561.315315</v>
      </c>
      <c r="K12" s="10" t="n">
        <v>399049.03</v>
      </c>
      <c r="L12" s="10" t="n">
        <v>410850.2499999999</v>
      </c>
      <c r="M12" s="10" t="n">
        <v>124469.3147420315</v>
      </c>
      <c r="N12" s="10" t="n">
        <v>132004.2356159417</v>
      </c>
      <c r="O12" s="10" t="n">
        <v>93787.65525796849</v>
      </c>
      <c r="P12" s="10" t="n">
        <v>107889.5143840584</v>
      </c>
      <c r="Q12" s="4" t="n"/>
      <c r="R12" s="4" t="n"/>
      <c r="S12" s="12">
        <f>E12*J12</f>
        <v/>
      </c>
      <c r="T12" s="12">
        <f>(G12-F12)*D12</f>
        <v/>
      </c>
      <c r="U12" s="12">
        <f>-(I12-H12)*D12</f>
        <v/>
      </c>
      <c r="V12" s="12">
        <f>-(L12-K12)</f>
        <v/>
      </c>
      <c r="W12" s="12">
        <f>-(N12-M12)</f>
        <v/>
      </c>
      <c r="X12" s="4" t="n"/>
    </row>
    <row r="13">
      <c r="A13" s="4" t="n"/>
      <c r="B13" s="9" t="inlineStr">
        <is>
          <t>MBway Bordeaux</t>
        </is>
      </c>
      <c r="C13" s="10" t="n">
        <v>234</v>
      </c>
      <c r="D13" s="10" t="n">
        <v>249</v>
      </c>
      <c r="E13" s="10" t="n">
        <v>15</v>
      </c>
      <c r="F13" s="11" t="n">
        <v>7123.311966</v>
      </c>
      <c r="G13" s="11" t="n">
        <v>7122.931727</v>
      </c>
      <c r="H13" s="11" t="n">
        <v>967.162393</v>
      </c>
      <c r="I13" s="11" t="n">
        <v>957.044177</v>
      </c>
      <c r="J13" s="11" t="n">
        <v>6156.149573</v>
      </c>
      <c r="K13" s="10" t="n">
        <v>901334.7799999998</v>
      </c>
      <c r="L13" s="10" t="n">
        <v>943075.91</v>
      </c>
      <c r="M13" s="10" t="n">
        <v>268151.2278180838</v>
      </c>
      <c r="N13" s="10" t="n">
        <v>287095.221903666</v>
      </c>
      <c r="O13" s="10" t="n">
        <v>271052.9921819164</v>
      </c>
      <c r="P13" s="10" t="n">
        <v>305134.8680963339</v>
      </c>
      <c r="Q13" s="4" t="n"/>
      <c r="R13" s="4" t="n"/>
      <c r="S13" s="12">
        <f>E13*J13</f>
        <v/>
      </c>
      <c r="T13" s="12">
        <f>(G13-F13)*D13</f>
        <v/>
      </c>
      <c r="U13" s="12">
        <f>-(I13-H13)*D13</f>
        <v/>
      </c>
      <c r="V13" s="12">
        <f>-(L13-K13)</f>
        <v/>
      </c>
      <c r="W13" s="12">
        <f>-(N13-M13)</f>
        <v/>
      </c>
      <c r="X13" s="4" t="n"/>
    </row>
    <row r="14">
      <c r="A14" s="4" t="n"/>
      <c r="B14" s="9" t="inlineStr">
        <is>
          <t>MBway Lyon</t>
        </is>
      </c>
      <c r="C14" s="10" t="n">
        <v>304</v>
      </c>
      <c r="D14" s="10" t="n">
        <v>324</v>
      </c>
      <c r="E14" s="10" t="n">
        <v>20</v>
      </c>
      <c r="F14" s="11" t="n">
        <v>7706.200658</v>
      </c>
      <c r="G14" s="11" t="n">
        <v>7705.87963</v>
      </c>
      <c r="H14" s="11" t="n">
        <v>996.2171049999999</v>
      </c>
      <c r="I14" s="11" t="n">
        <v>985.4629629999999</v>
      </c>
      <c r="J14" s="11" t="n">
        <v>6709.983553</v>
      </c>
      <c r="K14" s="10" t="n">
        <v>1284681.03</v>
      </c>
      <c r="L14" s="10" t="n">
        <v>1346872.36</v>
      </c>
      <c r="M14" s="10" t="n">
        <v>348367.1950673439</v>
      </c>
      <c r="N14" s="10" t="n">
        <v>373569.4589820922</v>
      </c>
      <c r="O14" s="10" t="n">
        <v>406786.7749326563</v>
      </c>
      <c r="P14" s="10" t="n">
        <v>456973.1810179077</v>
      </c>
      <c r="Q14" s="4" t="n"/>
      <c r="R14" s="4" t="n"/>
      <c r="S14" s="12">
        <f>E14*J14</f>
        <v/>
      </c>
      <c r="T14" s="12">
        <f>(G14-F14)*D14</f>
        <v/>
      </c>
      <c r="U14" s="12">
        <f>-(I14-H14)*D14</f>
        <v/>
      </c>
      <c r="V14" s="12">
        <f>-(L14-K14)</f>
        <v/>
      </c>
      <c r="W14" s="12">
        <f>-(N14-M14)</f>
        <v/>
      </c>
      <c r="X14" s="4" t="n"/>
    </row>
    <row r="15">
      <c r="A15" s="4" t="n"/>
      <c r="B15" s="9" t="inlineStr">
        <is>
          <t>MBway Nantes</t>
        </is>
      </c>
      <c r="C15" s="10" t="n">
        <v>279</v>
      </c>
      <c r="D15" s="10" t="n">
        <v>294</v>
      </c>
      <c r="E15" s="10" t="n">
        <v>15</v>
      </c>
      <c r="F15" s="11" t="n">
        <v>7341.433692</v>
      </c>
      <c r="G15" s="11" t="n">
        <v>7341.156463</v>
      </c>
      <c r="H15" s="11" t="n">
        <v>972.591398</v>
      </c>
      <c r="I15" s="11" t="n">
        <v>972.122449</v>
      </c>
      <c r="J15" s="11" t="n">
        <v>6368.842294</v>
      </c>
      <c r="K15" s="10" t="n">
        <v>1111778.52</v>
      </c>
      <c r="L15" s="10" t="n">
        <v>1149246.53</v>
      </c>
      <c r="M15" s="10" t="n">
        <v>319718.4864015467</v>
      </c>
      <c r="N15" s="10" t="n">
        <v>338979.5981499978</v>
      </c>
      <c r="O15" s="10" t="n">
        <v>345409.9935984532</v>
      </c>
      <c r="P15" s="10" t="n">
        <v>384269.8718500021</v>
      </c>
      <c r="Q15" s="4" t="n"/>
      <c r="R15" s="4" t="n"/>
      <c r="S15" s="12">
        <f>E15*J15</f>
        <v/>
      </c>
      <c r="T15" s="12">
        <f>(G15-F15)*D15</f>
        <v/>
      </c>
      <c r="U15" s="12">
        <f>-(I15-H15)*D15</f>
        <v/>
      </c>
      <c r="V15" s="12">
        <f>-(L15-K15)</f>
        <v/>
      </c>
      <c r="W15" s="12">
        <f>-(N15-M15)</f>
        <v/>
      </c>
      <c r="X15" s="4" t="n"/>
    </row>
    <row r="16">
      <c r="A16" s="4" t="n"/>
      <c r="B16" s="9" t="inlineStr">
        <is>
          <t>MBway Paris</t>
        </is>
      </c>
      <c r="C16" s="10" t="n">
        <v>362</v>
      </c>
      <c r="D16" s="10" t="n">
        <v>382</v>
      </c>
      <c r="E16" s="10" t="n">
        <v>20</v>
      </c>
      <c r="F16" s="11" t="n">
        <v>8217.127071999999</v>
      </c>
      <c r="G16" s="11" t="n">
        <v>8216.858639</v>
      </c>
      <c r="H16" s="11" t="n">
        <v>1023.732044</v>
      </c>
      <c r="I16" s="11" t="n">
        <v>1024.934555</v>
      </c>
      <c r="J16" s="11" t="n">
        <v>7193.395028</v>
      </c>
      <c r="K16" s="10" t="n">
        <v>1648776.64</v>
      </c>
      <c r="L16" s="10" t="n">
        <v>1707251.49</v>
      </c>
      <c r="M16" s="10" t="n">
        <v>414832.3340357959</v>
      </c>
      <c r="N16" s="10" t="n">
        <v>440443.3705915956</v>
      </c>
      <c r="O16" s="10" t="n">
        <v>540400.0259642038</v>
      </c>
      <c r="P16" s="10" t="n">
        <v>599620.1394084045</v>
      </c>
      <c r="Q16" s="4" t="n"/>
      <c r="R16" s="4" t="n"/>
      <c r="S16" s="12">
        <f>E16*J16</f>
        <v/>
      </c>
      <c r="T16" s="12">
        <f>(G16-F16)*D16</f>
        <v/>
      </c>
      <c r="U16" s="12">
        <f>-(I16-H16)*D16</f>
        <v/>
      </c>
      <c r="V16" s="12">
        <f>-(L16-K16)</f>
        <v/>
      </c>
      <c r="W16" s="12">
        <f>-(N16-M16)</f>
        <v/>
      </c>
      <c r="X16" s="4" t="n"/>
    </row>
    <row r="17">
      <c r="A17" s="4" t="n"/>
      <c r="B17" s="9" t="inlineStr">
        <is>
          <t>Pigier Bordeaux</t>
        </is>
      </c>
      <c r="C17" s="10" t="n">
        <v>166</v>
      </c>
      <c r="D17" s="10" t="n">
        <v>176</v>
      </c>
      <c r="E17" s="10" t="n">
        <v>10</v>
      </c>
      <c r="F17" s="11" t="n">
        <v>6435.361446</v>
      </c>
      <c r="G17" s="11" t="n">
        <v>6435.511364</v>
      </c>
      <c r="H17" s="11" t="n">
        <v>979.421687</v>
      </c>
      <c r="I17" s="11" t="n">
        <v>973.801136</v>
      </c>
      <c r="J17" s="11" t="n">
        <v>5455.939759</v>
      </c>
      <c r="K17" s="10" t="n">
        <v>508701.5699999999</v>
      </c>
      <c r="L17" s="10" t="n">
        <v>530872.76</v>
      </c>
      <c r="M17" s="10" t="n">
        <v>185745.8159994536</v>
      </c>
      <c r="N17" s="10" t="n">
        <v>198146.4540348334</v>
      </c>
      <c r="O17" s="10" t="n">
        <v>211238.6140005465</v>
      </c>
      <c r="P17" s="10" t="n">
        <v>232241.7859651666</v>
      </c>
      <c r="Q17" s="4" t="n"/>
      <c r="R17" s="4" t="n"/>
      <c r="S17" s="12">
        <f>E17*J17</f>
        <v/>
      </c>
      <c r="T17" s="12">
        <f>(G17-F17)*D17</f>
        <v/>
      </c>
      <c r="U17" s="12">
        <f>-(I17-H17)*D17</f>
        <v/>
      </c>
      <c r="V17" s="12">
        <f>-(L17-K17)</f>
        <v/>
      </c>
      <c r="W17" s="12">
        <f>-(N17-M17)</f>
        <v/>
      </c>
      <c r="X17" s="4" t="n"/>
    </row>
    <row r="18">
      <c r="A18" s="4" t="n"/>
      <c r="B18" s="9" t="inlineStr">
        <is>
          <t>Pigier Lyon</t>
        </is>
      </c>
      <c r="C18" s="10" t="n">
        <v>211</v>
      </c>
      <c r="D18" s="10" t="n">
        <v>226</v>
      </c>
      <c r="E18" s="10" t="n">
        <v>15</v>
      </c>
      <c r="F18" s="11" t="n">
        <v>6963.696682</v>
      </c>
      <c r="G18" s="11" t="n">
        <v>6963.849558</v>
      </c>
      <c r="H18" s="11" t="n">
        <v>900.962085</v>
      </c>
      <c r="I18" s="11" t="n">
        <v>889.013274</v>
      </c>
      <c r="J18" s="11" t="n">
        <v>6062.734597</v>
      </c>
      <c r="K18" s="10" t="n">
        <v>736369.5600000001</v>
      </c>
      <c r="L18" s="10" t="n">
        <v>778456.91</v>
      </c>
      <c r="M18" s="10" t="n">
        <v>236099.0885076113</v>
      </c>
      <c r="N18" s="10" t="n">
        <v>254438.5895015823</v>
      </c>
      <c r="O18" s="10" t="n">
        <v>306768.3514923886</v>
      </c>
      <c r="P18" s="10" t="n">
        <v>340017.5004984176</v>
      </c>
      <c r="Q18" s="4" t="n"/>
      <c r="R18" s="4" t="n"/>
      <c r="S18" s="12">
        <f>E18*J18</f>
        <v/>
      </c>
      <c r="T18" s="12">
        <f>(G18-F18)*D18</f>
        <v/>
      </c>
      <c r="U18" s="12">
        <f>-(I18-H18)*D18</f>
        <v/>
      </c>
      <c r="V18" s="12">
        <f>-(L18-K18)</f>
        <v/>
      </c>
      <c r="W18" s="12">
        <f>-(N18-M18)</f>
        <v/>
      </c>
      <c r="X18" s="4" t="n"/>
    </row>
    <row r="19">
      <c r="A19" s="4" t="n"/>
      <c r="B19" s="9" t="inlineStr">
        <is>
          <t>Tunon Lyon</t>
        </is>
      </c>
      <c r="C19" s="10" t="n">
        <v>111</v>
      </c>
      <c r="D19" s="10" t="n">
        <v>117</v>
      </c>
      <c r="E19" s="10" t="n">
        <v>6</v>
      </c>
      <c r="F19" s="11" t="n">
        <v>7380.810811</v>
      </c>
      <c r="G19" s="11" t="n">
        <v>7380.769231</v>
      </c>
      <c r="H19" s="11" t="n">
        <v>1151.576577</v>
      </c>
      <c r="I19" s="11" t="n">
        <v>1152.333333</v>
      </c>
      <c r="J19" s="11" t="n">
        <v>6229.234234</v>
      </c>
      <c r="K19" s="10" t="n">
        <v>523989.18</v>
      </c>
      <c r="L19" s="10" t="n">
        <v>561046.28</v>
      </c>
      <c r="M19" s="10" t="n">
        <v>127153.9396992599</v>
      </c>
      <c r="N19" s="10" t="n">
        <v>134851.3780311536</v>
      </c>
      <c r="O19" s="10" t="n">
        <v>40301.88030074014</v>
      </c>
      <c r="P19" s="10" t="n">
        <v>32829.34196884636</v>
      </c>
      <c r="Q19" s="4" t="n"/>
      <c r="R19" s="4" t="n"/>
      <c r="S19" s="12">
        <f>E19*J19</f>
        <v/>
      </c>
      <c r="T19" s="12">
        <f>(G19-F19)*D19</f>
        <v/>
      </c>
      <c r="U19" s="12">
        <f>-(I19-H19)*D19</f>
        <v/>
      </c>
      <c r="V19" s="12">
        <f>-(L19-K19)</f>
        <v/>
      </c>
      <c r="W19" s="12">
        <f>-(N19-M19)</f>
        <v/>
      </c>
      <c r="X19" s="4" t="n"/>
    </row>
    <row r="20">
      <c r="A20" s="4" t="n"/>
      <c r="B20" s="9" t="inlineStr">
        <is>
          <t>Tunon Paris</t>
        </is>
      </c>
      <c r="C20" s="10" t="n">
        <v>129</v>
      </c>
      <c r="D20" s="10" t="n">
        <v>138</v>
      </c>
      <c r="E20" s="10" t="n">
        <v>9</v>
      </c>
      <c r="F20" s="11" t="n">
        <v>7870.697674</v>
      </c>
      <c r="G20" s="11" t="n">
        <v>7870.652174</v>
      </c>
      <c r="H20" s="11" t="n">
        <v>1128.976744</v>
      </c>
      <c r="I20" s="11" t="n">
        <v>1116.137681</v>
      </c>
      <c r="J20" s="11" t="n">
        <v>6741.72093</v>
      </c>
      <c r="K20" s="10" t="n">
        <v>664829.1599999999</v>
      </c>
      <c r="L20" s="10" t="n">
        <v>724171.6999999998</v>
      </c>
      <c r="M20" s="10" t="n">
        <v>147773.5365570392</v>
      </c>
      <c r="N20" s="10" t="n">
        <v>159055.5135753902</v>
      </c>
      <c r="O20" s="10" t="n">
        <v>57079.30344296087</v>
      </c>
      <c r="P20" s="10" t="n">
        <v>48895.78642460998</v>
      </c>
      <c r="Q20" s="4" t="n"/>
      <c r="R20" s="4" t="n"/>
      <c r="S20" s="12">
        <f>E20*J20</f>
        <v/>
      </c>
      <c r="T20" s="12">
        <f>(G20-F20)*D20</f>
        <v/>
      </c>
      <c r="U20" s="12">
        <f>-(I20-H20)*D20</f>
        <v/>
      </c>
      <c r="V20" s="12">
        <f>-(L20-K20)</f>
        <v/>
      </c>
      <c r="W20" s="12">
        <f>-(N20-M20)</f>
        <v/>
      </c>
      <c r="X20" s="4" t="n"/>
    </row>
    <row r="21">
      <c r="A21" s="4" t="n"/>
      <c r="B21" s="13" t="inlineStr">
        <is>
          <t>TOTAL du périmètre</t>
        </is>
      </c>
      <c r="C21" s="14">
        <f>SUM(C7:C20)</f>
        <v/>
      </c>
      <c r="D21" s="14">
        <f>SUM(D7:D20)</f>
        <v/>
      </c>
      <c r="E21" s="14">
        <f>SUM(E7:E20)</f>
        <v/>
      </c>
      <c r="F21" s="4" t="n"/>
      <c r="G21" s="4" t="n"/>
      <c r="H21" s="4" t="n"/>
      <c r="I21" s="4" t="n"/>
      <c r="J21" s="4" t="n"/>
      <c r="K21" s="14">
        <f>SUM(K7:K20)</f>
        <v/>
      </c>
      <c r="L21" s="14">
        <f>SUM(L7:L20)</f>
        <v/>
      </c>
      <c r="M21" s="14">
        <f>SUM(M7:M20)</f>
        <v/>
      </c>
      <c r="N21" s="14">
        <f>SUM(N7:N20)</f>
        <v/>
      </c>
      <c r="O21" s="14">
        <f>SUM(O7:O20)</f>
        <v/>
      </c>
      <c r="P21" s="14">
        <f>SUM(P7:P20)</f>
        <v/>
      </c>
      <c r="Q21" s="4" t="n"/>
      <c r="R21" s="4" t="n"/>
      <c r="S21" s="14">
        <f>SUM(S7:S20)</f>
        <v/>
      </c>
      <c r="T21" s="14">
        <f>SUM(T7:T20)</f>
        <v/>
      </c>
      <c r="U21" s="14">
        <f>SUM(U7:U20)</f>
        <v/>
      </c>
      <c r="V21" s="14">
        <f>SUM(V7:V20)</f>
        <v/>
      </c>
      <c r="W21" s="14">
        <f>SUM(W7:W20)</f>
        <v/>
      </c>
      <c r="X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5" t="inlineStr">
        <is>
          <t>LE TABLEAU DU DRILL</t>
        </is>
      </c>
      <c r="C23" s="4" t="n"/>
      <c r="D23" s="4" t="n"/>
      <c r="E23" s="6" t="inlineStr">
        <is>
          <t xml:space="preserve">formules  </t>
        </is>
      </c>
      <c r="F23" s="4" t="n"/>
      <c r="G23" s="5" t="inlineStr">
        <is>
          <t>LA CASCADE DU GRAPHE</t>
        </is>
      </c>
      <c r="H23" s="4" t="n"/>
      <c r="I23" s="4" t="n"/>
      <c r="J23" s="4" t="n"/>
      <c r="K23" s="6" t="inlineStr">
        <is>
          <t xml:space="preserve">formules  </t>
        </is>
      </c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 ht="30" customHeight="1">
      <c r="A24" s="4" t="n"/>
      <c r="B24" s="7" t="inlineStr">
        <is>
          <t>Ordre</t>
        </is>
      </c>
      <c r="C24" s="8" t="inlineStr">
        <is>
          <t>Effet</t>
        </is>
      </c>
      <c r="D24" s="8" t="inlineStr">
        <is>
          <t>Montant</t>
        </is>
      </c>
      <c r="E24" s="8" t="inlineStr">
        <is>
          <t>Part de la variation</t>
        </is>
      </c>
      <c r="F24" s="4" t="n"/>
      <c r="G24" s="7" t="inlineStr">
        <is>
          <t>Étape</t>
        </is>
      </c>
      <c r="H24" s="8" t="inlineStr">
        <is>
          <t>Socle invisible</t>
        </is>
      </c>
      <c r="I24" s="8" t="inlineStr">
        <is>
          <t>Ancre</t>
        </is>
      </c>
      <c r="J24" s="8" t="inlineStr">
        <is>
          <t>Hausse</t>
        </is>
      </c>
      <c r="K24" s="8" t="inlineStr">
        <is>
          <t>Baisse</t>
        </is>
      </c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15" t="n">
        <v>1</v>
      </c>
      <c r="C25" s="16" t="inlineStr">
        <is>
          <t>EBITDA 2025</t>
        </is>
      </c>
      <c r="D25" s="17">
        <f>SUM(O7:O20)</f>
        <v/>
      </c>
      <c r="E25" s="18" t="n"/>
      <c r="F25" s="4" t="n"/>
      <c r="G25" s="19" t="inlineStr">
        <is>
          <t>EBITDA 2025</t>
        </is>
      </c>
      <c r="H25" s="20" t="n">
        <v>0</v>
      </c>
      <c r="I25" s="20">
        <f>D25</f>
        <v/>
      </c>
      <c r="J25" s="20" t="n">
        <v>0</v>
      </c>
      <c r="K25" s="20" t="n">
        <v>0</v>
      </c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21" t="n">
        <v>2</v>
      </c>
      <c r="C26" s="22" t="inlineStr">
        <is>
          <t>Effet effectifs</t>
        </is>
      </c>
      <c r="D26" s="23">
        <f>S21</f>
        <v/>
      </c>
      <c r="E26" s="24">
        <f>IFERROR(D26/(D31-D25),"")</f>
        <v/>
      </c>
      <c r="F26" s="4" t="n"/>
      <c r="G26" s="22" t="inlineStr">
        <is>
          <t>Effet effectifs</t>
        </is>
      </c>
      <c r="H26" s="10">
        <f>MIN(D25,D25+SUM(D26:D26))</f>
        <v/>
      </c>
      <c r="I26" s="10" t="n">
        <v>0</v>
      </c>
      <c r="J26" s="10">
        <f>MAX(D26,0)</f>
        <v/>
      </c>
      <c r="K26" s="10">
        <f>MAX(-D26,0)</f>
        <v/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21" t="n">
        <v>3</v>
      </c>
      <c r="C27" s="22" t="inlineStr">
        <is>
          <t>Effet prix et mix</t>
        </is>
      </c>
      <c r="D27" s="23">
        <f>T21</f>
        <v/>
      </c>
      <c r="E27" s="24">
        <f>IFERROR(D27/(D31-D25),"")</f>
        <v/>
      </c>
      <c r="F27" s="4" t="n"/>
      <c r="G27" s="22" t="inlineStr">
        <is>
          <t>Effet prix et mix</t>
        </is>
      </c>
      <c r="H27" s="10">
        <f>MIN(D25+SUM(D26:D26),D25+SUM(D26:D27))</f>
        <v/>
      </c>
      <c r="I27" s="10" t="n">
        <v>0</v>
      </c>
      <c r="J27" s="10">
        <f>MAX(D27,0)</f>
        <v/>
      </c>
      <c r="K27" s="10">
        <f>MAX(-D27,0)</f>
        <v/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21" t="n">
        <v>4</v>
      </c>
      <c r="C28" s="22" t="inlineStr">
        <is>
          <t>Effet coût var. unitaire</t>
        </is>
      </c>
      <c r="D28" s="23">
        <f>U21</f>
        <v/>
      </c>
      <c r="E28" s="24">
        <f>IFERROR(D28/(D31-D25),"")</f>
        <v/>
      </c>
      <c r="F28" s="4" t="n"/>
      <c r="G28" s="22" t="inlineStr">
        <is>
          <t>Effet coût var. unitaire</t>
        </is>
      </c>
      <c r="H28" s="10">
        <f>MIN(D25+SUM(D26:D27),D25+SUM(D26:D28))</f>
        <v/>
      </c>
      <c r="I28" s="10" t="n">
        <v>0</v>
      </c>
      <c r="J28" s="10">
        <f>MAX(D28,0)</f>
        <v/>
      </c>
      <c r="K28" s="10">
        <f>MAX(-D28,0)</f>
        <v/>
      </c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21" t="n">
        <v>5</v>
      </c>
      <c r="C29" s="22" t="inlineStr">
        <is>
          <t>Effet coûts directs</t>
        </is>
      </c>
      <c r="D29" s="23">
        <f>V21</f>
        <v/>
      </c>
      <c r="E29" s="24">
        <f>IFERROR(D29/(D31-D25),"")</f>
        <v/>
      </c>
      <c r="F29" s="4" t="n"/>
      <c r="G29" s="22" t="inlineStr">
        <is>
          <t>Effet coûts directs</t>
        </is>
      </c>
      <c r="H29" s="10">
        <f>MIN(D25+SUM(D26:D28),D25+SUM(D26:D29))</f>
        <v/>
      </c>
      <c r="I29" s="10" t="n">
        <v>0</v>
      </c>
      <c r="J29" s="10">
        <f>MAX(D29,0)</f>
        <v/>
      </c>
      <c r="K29" s="10">
        <f>MAX(-D29,0)</f>
        <v/>
      </c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21" t="n">
        <v>6</v>
      </c>
      <c r="C30" s="22" t="inlineStr">
        <is>
          <t>Effet siège</t>
        </is>
      </c>
      <c r="D30" s="23">
        <f>W21</f>
        <v/>
      </c>
      <c r="E30" s="24">
        <f>IFERROR(D30/(D31-D25),"")</f>
        <v/>
      </c>
      <c r="F30" s="4" t="n"/>
      <c r="G30" s="22" t="inlineStr">
        <is>
          <t>Effet siège</t>
        </is>
      </c>
      <c r="H30" s="10">
        <f>MIN(D25+SUM(D26:D29),D25+SUM(D26:D30))</f>
        <v/>
      </c>
      <c r="I30" s="10" t="n">
        <v>0</v>
      </c>
      <c r="J30" s="10">
        <f>MAX(D30,0)</f>
        <v/>
      </c>
      <c r="K30" s="10">
        <f>MAX(-D30,0)</f>
        <v/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15" t="n">
        <v>7</v>
      </c>
      <c r="C31" s="16" t="inlineStr">
        <is>
          <t>EBITDA 2026</t>
        </is>
      </c>
      <c r="D31" s="17">
        <f>SUM(P7:P20)</f>
        <v/>
      </c>
      <c r="E31" s="18" t="n"/>
      <c r="F31" s="4" t="n"/>
      <c r="G31" s="19" t="inlineStr">
        <is>
          <t>EBITDA 2026</t>
        </is>
      </c>
      <c r="H31" s="20" t="n">
        <v>0</v>
      </c>
      <c r="I31" s="20">
        <f>D31</f>
        <v/>
      </c>
      <c r="J31" s="20" t="n">
        <v>0</v>
      </c>
      <c r="K31" s="20" t="n">
        <v>0</v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25" t="inlineStr">
        <is>
          <t>Contrôle · les cinq effets moins la variation d’EBITDA</t>
        </is>
      </c>
      <c r="D33" s="26">
        <f>SUM(D26:D30)-(D31-D25)</f>
        <v/>
      </c>
      <c r="E33" s="27" t="inlineStr">
        <is>
          <t>doit valoir 0,00 €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</sheetData>
  <conditionalFormatting sqref="D26:D3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2026-09-06T21:59:26Z</dcterms:created>
  <dcterms:modified xsi:type="dcterms:W3CDTF">2026-09-06T21:59:27Z</dcterms:modified>
</cp:coreProperties>
</file>